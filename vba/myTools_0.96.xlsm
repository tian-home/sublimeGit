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_TianProc\_shareFile_\_excel_vba\_myTools\"/>
    </mc:Choice>
  </mc:AlternateContent>
  <bookViews>
    <workbookView xWindow="0" yWindow="120" windowWidth="19428" windowHeight="7944" tabRatio="763" activeTab="12"/>
  </bookViews>
  <sheets>
    <sheet name="QN_CN" sheetId="34" r:id="rId1"/>
    <sheet name="colorCode" sheetId="7" r:id="rId2"/>
    <sheet name="my_func" sheetId="27" r:id="rId3"/>
    <sheet name="TH1" sheetId="33" r:id="rId4"/>
    <sheet name="TH0" sheetId="35" r:id="rId5"/>
    <sheet name="regex" sheetId="32" r:id="rId6"/>
    <sheet name="Code2oneHot" sheetId="13" r:id="rId7"/>
    <sheet name="FABrand" sheetId="14" r:id="rId8"/>
    <sheet name="FAcode" sheetId="5" r:id="rId9"/>
    <sheet name="FAraw" sheetId="6" r:id="rId10"/>
    <sheet name="sig" sheetId="16" r:id="rId11"/>
    <sheet name="pm510" sheetId="12" r:id="rId12"/>
    <sheet name="TH" sheetId="26" r:id="rId13"/>
    <sheet name="jp" sheetId="10" r:id="rId14"/>
    <sheet name="cn" sheetId="8" r:id="rId15"/>
    <sheet name="importPic" sheetId="24" r:id="rId16"/>
    <sheet name="coloration" sheetId="15" r:id="rId17"/>
    <sheet name="miss" sheetId="25" state="hidden" r:id="rId18"/>
    <sheet name="swot" sheetId="17" state="hidden" r:id="rId19"/>
    <sheet name="tu2" sheetId="20" state="hidden" r:id="rId20"/>
    <sheet name="quota" sheetId="28" r:id="rId21"/>
    <sheet name="varJoin" sheetId="29" r:id="rId22"/>
    <sheet name="flatten" sheetId="31" r:id="rId23"/>
  </sheets>
  <functionGroups builtInGroupCount="18"/>
  <definedNames>
    <definedName name="_xlnm._FilterDatabase" localSheetId="6" hidden="1">Code2oneHot!$C$1:$BK$805</definedName>
    <definedName name="_xlnm._FilterDatabase" localSheetId="16" hidden="1">coloration!$L$11:$N$13</definedName>
    <definedName name="_xlnm._FilterDatabase" localSheetId="1" hidden="1">colorCode!$G$1:$G$137</definedName>
    <definedName name="_xlnm._FilterDatabase" localSheetId="8" hidden="1">FAcode!$A$1:$B$486</definedName>
    <definedName name="_xlnm._FilterDatabase" localSheetId="9" hidden="1">FAraw!$A$1:$E$2501</definedName>
    <definedName name="_xlnm._FilterDatabase" localSheetId="17" hidden="1">miss!$A$1:$Q$151</definedName>
    <definedName name="_xlnm._FilterDatabase" localSheetId="0" hidden="1">QN_CN!$AD$1:$AD$853</definedName>
    <definedName name="_Order1" hidden="1">255</definedName>
    <definedName name="_Order2" hidden="1">255</definedName>
    <definedName name="anscount" hidden="1">1</definedName>
    <definedName name="sencount" hidden="1">1</definedName>
  </definedNames>
  <calcPr calcId="162913"/>
</workbook>
</file>

<file path=xl/calcChain.xml><?xml version="1.0" encoding="utf-8"?>
<calcChain xmlns="http://schemas.openxmlformats.org/spreadsheetml/2006/main">
  <c r="H27" i="32" l="1"/>
  <c r="H46" i="12" l="1"/>
  <c r="H47" i="12"/>
  <c r="H48" i="12"/>
  <c r="H49" i="12"/>
  <c r="H50" i="12"/>
  <c r="H51" i="12"/>
  <c r="H52" i="12"/>
  <c r="H53" i="12"/>
  <c r="H54" i="12"/>
  <c r="H55" i="12"/>
  <c r="H45" i="12"/>
  <c r="I95" i="15" l="1"/>
  <c r="J95" i="15" s="1"/>
  <c r="K95" i="15" s="1"/>
  <c r="L95" i="15" s="1"/>
  <c r="M95" i="15" s="1"/>
  <c r="N95" i="15" s="1"/>
  <c r="O95" i="15" s="1"/>
  <c r="P95" i="15" s="1"/>
  <c r="Q95" i="15" s="1"/>
  <c r="I96" i="15"/>
  <c r="J96" i="15" s="1"/>
  <c r="K96" i="15" s="1"/>
  <c r="L96" i="15" s="1"/>
  <c r="M96" i="15" s="1"/>
  <c r="N96" i="15" s="1"/>
  <c r="O96" i="15" s="1"/>
  <c r="P96" i="15" s="1"/>
  <c r="Q96" i="15" s="1"/>
  <c r="I97" i="15"/>
  <c r="J97" i="15" s="1"/>
  <c r="K97" i="15" s="1"/>
  <c r="L97" i="15" s="1"/>
  <c r="M97" i="15" s="1"/>
  <c r="N97" i="15" s="1"/>
  <c r="O97" i="15" s="1"/>
  <c r="P97" i="15" s="1"/>
  <c r="Q97" i="15" s="1"/>
  <c r="I98" i="15"/>
  <c r="J98" i="15" s="1"/>
  <c r="K98" i="15" s="1"/>
  <c r="L98" i="15" s="1"/>
  <c r="M98" i="15" s="1"/>
  <c r="N98" i="15" s="1"/>
  <c r="O98" i="15" s="1"/>
  <c r="P98" i="15" s="1"/>
  <c r="Q98" i="15" s="1"/>
  <c r="I99" i="15"/>
  <c r="J99" i="15" s="1"/>
  <c r="K99" i="15" s="1"/>
  <c r="L99" i="15" s="1"/>
  <c r="M99" i="15" s="1"/>
  <c r="N99" i="15" s="1"/>
  <c r="O99" i="15" s="1"/>
  <c r="P99" i="15" s="1"/>
  <c r="Q99" i="15" s="1"/>
  <c r="I100" i="15"/>
  <c r="J100" i="15" s="1"/>
  <c r="K100" i="15" s="1"/>
  <c r="L100" i="15" s="1"/>
  <c r="M100" i="15" s="1"/>
  <c r="N100" i="15" s="1"/>
  <c r="O100" i="15" s="1"/>
  <c r="P100" i="15" s="1"/>
  <c r="Q100" i="15" s="1"/>
  <c r="I101" i="15"/>
  <c r="J101" i="15" s="1"/>
  <c r="K101" i="15" s="1"/>
  <c r="L101" i="15" s="1"/>
  <c r="M101" i="15" s="1"/>
  <c r="N101" i="15" s="1"/>
  <c r="O101" i="15" s="1"/>
  <c r="P101" i="15" s="1"/>
  <c r="Q101" i="15" s="1"/>
  <c r="I102" i="15"/>
  <c r="J102" i="15" s="1"/>
  <c r="K102" i="15" s="1"/>
  <c r="L102" i="15" s="1"/>
  <c r="M102" i="15" s="1"/>
  <c r="N102" i="15" s="1"/>
  <c r="O102" i="15" s="1"/>
  <c r="P102" i="15" s="1"/>
  <c r="Q102" i="15" s="1"/>
  <c r="I103" i="15"/>
  <c r="J103" i="15" s="1"/>
  <c r="K103" i="15" s="1"/>
  <c r="L103" i="15" s="1"/>
  <c r="M103" i="15" s="1"/>
  <c r="N103" i="15" s="1"/>
  <c r="O103" i="15" s="1"/>
  <c r="P103" i="15" s="1"/>
  <c r="Q103" i="15" s="1"/>
  <c r="H14" i="25"/>
  <c r="J11" i="25"/>
  <c r="G107" i="15" l="1"/>
  <c r="AE55" i="15"/>
  <c r="W57" i="15"/>
  <c r="Y55" i="15"/>
  <c r="Y54" i="15"/>
  <c r="AA55" i="15"/>
  <c r="X56" i="15"/>
  <c r="W56" i="15"/>
  <c r="I19" i="20" l="1"/>
  <c r="I20" i="20"/>
  <c r="I21" i="20"/>
  <c r="I22" i="20"/>
  <c r="I23" i="20"/>
  <c r="I17" i="20" l="1"/>
  <c r="H17" i="20"/>
  <c r="G17" i="20"/>
  <c r="F17" i="20"/>
  <c r="E17" i="20"/>
  <c r="D19" i="20"/>
  <c r="D20" i="20"/>
  <c r="D21" i="20"/>
  <c r="D22" i="20"/>
  <c r="D23" i="20"/>
  <c r="D18" i="20"/>
  <c r="M84" i="15" l="1"/>
  <c r="L42" i="17" l="1"/>
  <c r="K42" i="17"/>
  <c r="J42" i="17"/>
  <c r="I42" i="17"/>
  <c r="E42" i="17"/>
  <c r="D42" i="17"/>
  <c r="C42" i="17"/>
  <c r="B42" i="17"/>
  <c r="F33" i="17"/>
  <c r="E33" i="17"/>
  <c r="D33" i="17"/>
  <c r="C33" i="17"/>
  <c r="B33" i="17"/>
  <c r="B10" i="17"/>
  <c r="B11" i="17"/>
  <c r="B12" i="17"/>
  <c r="B13" i="17"/>
  <c r="B9" i="17"/>
  <c r="C16" i="17" l="1"/>
  <c r="B15" i="17"/>
  <c r="F7" i="17"/>
  <c r="P4" i="17" s="1"/>
  <c r="E7" i="17"/>
  <c r="O6" i="17" s="1"/>
  <c r="D7" i="17"/>
  <c r="N6" i="17" s="1"/>
  <c r="C7" i="17"/>
  <c r="M3" i="17" s="1"/>
  <c r="B7" i="17"/>
  <c r="B14" i="17" s="1"/>
  <c r="P6" i="17"/>
  <c r="K6" i="17"/>
  <c r="J6" i="17"/>
  <c r="I6" i="17"/>
  <c r="H6" i="17"/>
  <c r="G6" i="17"/>
  <c r="K5" i="17"/>
  <c r="J5" i="17"/>
  <c r="I5" i="17"/>
  <c r="H5" i="17"/>
  <c r="G5" i="17"/>
  <c r="K4" i="17"/>
  <c r="J4" i="17"/>
  <c r="I4" i="17"/>
  <c r="H4" i="17"/>
  <c r="G4" i="17"/>
  <c r="P3" i="17"/>
  <c r="K3" i="17"/>
  <c r="J3" i="17"/>
  <c r="I3" i="17"/>
  <c r="H3" i="17"/>
  <c r="G3" i="17"/>
  <c r="P2" i="17"/>
  <c r="K2" i="17"/>
  <c r="J2" i="17"/>
  <c r="I2" i="17"/>
  <c r="H2" i="17"/>
  <c r="G2" i="17"/>
  <c r="M5" i="17" l="1"/>
  <c r="H20" i="17" s="1"/>
  <c r="M4" i="17"/>
  <c r="N3" i="17"/>
  <c r="I18" i="17" s="1"/>
  <c r="P5" i="17"/>
  <c r="K20" i="17" s="1"/>
  <c r="J21" i="17"/>
  <c r="K18" i="17"/>
  <c r="L3" i="17"/>
  <c r="G18" i="17" s="1"/>
  <c r="L4" i="17"/>
  <c r="G19" i="17" s="1"/>
  <c r="L5" i="17"/>
  <c r="L6" i="17"/>
  <c r="G21" i="17" s="1"/>
  <c r="L2" i="17"/>
  <c r="G17" i="17" s="1"/>
  <c r="N5" i="17"/>
  <c r="I20" i="17" s="1"/>
  <c r="I21" i="17"/>
  <c r="J33" i="17"/>
  <c r="I33" i="17"/>
  <c r="K33" i="17"/>
  <c r="M2" i="17"/>
  <c r="M6" i="17"/>
  <c r="H21" i="17" s="1"/>
  <c r="N2" i="17"/>
  <c r="I17" i="17" s="1"/>
  <c r="H18" i="17"/>
  <c r="O2" i="17"/>
  <c r="J17" i="17" s="1"/>
  <c r="K21" i="17"/>
  <c r="K17" i="17"/>
  <c r="K19" i="17"/>
  <c r="H19" i="17"/>
  <c r="O3" i="17"/>
  <c r="J18" i="17" s="1"/>
  <c r="O5" i="17"/>
  <c r="J20" i="17" s="1"/>
  <c r="N4" i="17"/>
  <c r="O4" i="17"/>
  <c r="J19" i="17" s="1"/>
  <c r="D38" i="16"/>
  <c r="U2" i="17" l="1"/>
  <c r="Z2" i="17" s="1"/>
  <c r="R2" i="17"/>
  <c r="W2" i="17" s="1"/>
  <c r="Q2" i="17"/>
  <c r="V2" i="17" s="1"/>
  <c r="G20" i="17"/>
  <c r="G23" i="17" s="1"/>
  <c r="H17" i="17"/>
  <c r="H23" i="17" s="1"/>
  <c r="S2" i="17"/>
  <c r="X2" i="17" s="1"/>
  <c r="J23" i="17"/>
  <c r="T2" i="17"/>
  <c r="Y2" i="17" s="1"/>
  <c r="K23" i="17"/>
  <c r="I19" i="17"/>
  <c r="I23" i="17" s="1"/>
  <c r="AD2" i="17" l="1"/>
  <c r="AI2" i="17" s="1"/>
  <c r="AB2" i="17"/>
  <c r="AG2" i="17" s="1"/>
  <c r="AA2" i="17"/>
  <c r="AF2" i="17" s="1"/>
  <c r="V7" i="17"/>
  <c r="AC2" i="17"/>
  <c r="AH2" i="17" s="1"/>
  <c r="AE2" i="17"/>
  <c r="AJ2" i="17" s="1"/>
  <c r="S70" i="15"/>
  <c r="R70" i="15"/>
  <c r="T69" i="15"/>
  <c r="S69" i="15"/>
  <c r="R69" i="15"/>
  <c r="Q69" i="15"/>
  <c r="T68" i="15"/>
  <c r="S68" i="15"/>
  <c r="R68" i="15"/>
  <c r="Q68" i="15"/>
  <c r="T67" i="15"/>
  <c r="S67" i="15"/>
  <c r="R67" i="15"/>
  <c r="Q67" i="15"/>
  <c r="T66" i="15"/>
  <c r="S66" i="15"/>
  <c r="R66" i="15"/>
  <c r="Q66" i="15"/>
  <c r="T65" i="15"/>
  <c r="S65" i="15"/>
  <c r="T64" i="15"/>
  <c r="S64" i="15"/>
  <c r="R64" i="15"/>
  <c r="R65" i="15" s="1"/>
  <c r="Q64" i="15"/>
  <c r="Q65" i="15" s="1"/>
  <c r="AF7" i="17" l="1"/>
  <c r="AA7" i="17"/>
  <c r="H72" i="15"/>
  <c r="H71" i="15"/>
  <c r="O70" i="15"/>
  <c r="N70" i="15"/>
  <c r="J70" i="15"/>
  <c r="I70" i="15"/>
  <c r="H70" i="15"/>
  <c r="P69" i="15"/>
  <c r="O69" i="15"/>
  <c r="N69" i="15"/>
  <c r="M69" i="15"/>
  <c r="L69" i="15"/>
  <c r="K69" i="15"/>
  <c r="J69" i="15"/>
  <c r="I69" i="15"/>
  <c r="H69" i="15"/>
  <c r="H78" i="15" s="1"/>
  <c r="P68" i="15"/>
  <c r="O68" i="15"/>
  <c r="N68" i="15"/>
  <c r="M68" i="15"/>
  <c r="L68" i="15"/>
  <c r="K68" i="15"/>
  <c r="J68" i="15"/>
  <c r="I68" i="15"/>
  <c r="H68" i="15"/>
  <c r="H77" i="15" s="1"/>
  <c r="P67" i="15"/>
  <c r="P76" i="15" s="1"/>
  <c r="P77" i="15" s="1"/>
  <c r="P78" i="15" s="1"/>
  <c r="O67" i="15"/>
  <c r="O76" i="15" s="1"/>
  <c r="O77" i="15" s="1"/>
  <c r="O78" i="15" s="1"/>
  <c r="N67" i="15"/>
  <c r="N76" i="15" s="1"/>
  <c r="N77" i="15" s="1"/>
  <c r="N78" i="15" s="1"/>
  <c r="M67" i="15"/>
  <c r="M76" i="15" s="1"/>
  <c r="M77" i="15" s="1"/>
  <c r="M78" i="15" s="1"/>
  <c r="L67" i="15"/>
  <c r="L76" i="15" s="1"/>
  <c r="L77" i="15" s="1"/>
  <c r="L78" i="15" s="1"/>
  <c r="K67" i="15"/>
  <c r="K76" i="15" s="1"/>
  <c r="K77" i="15" s="1"/>
  <c r="K78" i="15" s="1"/>
  <c r="J67" i="15"/>
  <c r="J76" i="15" s="1"/>
  <c r="J77" i="15" s="1"/>
  <c r="J78" i="15" s="1"/>
  <c r="I67" i="15"/>
  <c r="I76" i="15" s="1"/>
  <c r="I77" i="15" s="1"/>
  <c r="I78" i="15" s="1"/>
  <c r="H67" i="15"/>
  <c r="H76" i="15" s="1"/>
  <c r="P66" i="15"/>
  <c r="O66" i="15"/>
  <c r="N66" i="15"/>
  <c r="M66" i="15"/>
  <c r="L66" i="15"/>
  <c r="K66" i="15"/>
  <c r="J66" i="15"/>
  <c r="I66" i="15"/>
  <c r="H66" i="15"/>
  <c r="P65" i="15"/>
  <c r="O65" i="15"/>
  <c r="L65" i="15"/>
  <c r="I65" i="15"/>
  <c r="H65" i="15"/>
  <c r="P64" i="15"/>
  <c r="O64" i="15"/>
  <c r="N64" i="15"/>
  <c r="N65" i="15" s="1"/>
  <c r="M64" i="15"/>
  <c r="M65" i="15" s="1"/>
  <c r="L64" i="15"/>
  <c r="K64" i="15"/>
  <c r="K65" i="15" s="1"/>
  <c r="J64" i="15"/>
  <c r="J65" i="15" s="1"/>
  <c r="I64" i="15"/>
  <c r="H64" i="15"/>
</calcChain>
</file>

<file path=xl/sharedStrings.xml><?xml version="1.0" encoding="utf-8"?>
<sst xmlns="http://schemas.openxmlformats.org/spreadsheetml/2006/main" count="17909" uniqueCount="4110">
  <si>
    <t>content</t>
  </si>
  <si>
    <t>Babyzen</t>
  </si>
  <si>
    <t>cybex</t>
  </si>
  <si>
    <t>elittile</t>
  </si>
  <si>
    <t>Freekids</t>
  </si>
  <si>
    <t>Pouch</t>
  </si>
  <si>
    <t>Quinny</t>
  </si>
  <si>
    <t>STOKKE</t>
  </si>
  <si>
    <t>VINNG</t>
  </si>
  <si>
    <t>好的</t>
  </si>
  <si>
    <t>小米</t>
  </si>
  <si>
    <t>小龙人</t>
  </si>
  <si>
    <t>强生</t>
  </si>
  <si>
    <t>悠悠</t>
  </si>
  <si>
    <t>爱家</t>
  </si>
  <si>
    <t>爱的贝</t>
  </si>
  <si>
    <t>美的</t>
  </si>
  <si>
    <t>花王</t>
  </si>
  <si>
    <t>贝亲</t>
  </si>
  <si>
    <t>高景观</t>
  </si>
  <si>
    <t>Q1S1FA</t>
  </si>
  <si>
    <t>Q1S2FA</t>
  </si>
  <si>
    <t>Q1S3FA</t>
  </si>
  <si>
    <t>Q1S4FA</t>
  </si>
  <si>
    <t>Q1S5FA</t>
  </si>
  <si>
    <t>,10,</t>
  </si>
  <si>
    <t>,1,</t>
  </si>
  <si>
    <t>,9,</t>
  </si>
  <si>
    <t>,14,</t>
  </si>
  <si>
    <t>,1,9,</t>
  </si>
  <si>
    <t>,1,2,</t>
  </si>
  <si>
    <t>,1,5,9,</t>
  </si>
  <si>
    <t>,1,14,</t>
  </si>
  <si>
    <t>,1,2,9,</t>
  </si>
  <si>
    <t>,7,</t>
  </si>
  <si>
    <t>,1,2,11,</t>
  </si>
  <si>
    <t>,5,</t>
  </si>
  <si>
    <t>,1,10,</t>
  </si>
  <si>
    <t>,11,</t>
  </si>
  <si>
    <t>,4,</t>
  </si>
  <si>
    <t>,1,2,12,</t>
  </si>
  <si>
    <t>,31,</t>
  </si>
  <si>
    <t>,1,4,</t>
  </si>
  <si>
    <t>,1,3,</t>
  </si>
  <si>
    <t>,1,2,7,</t>
  </si>
  <si>
    <t>,1,7,</t>
  </si>
  <si>
    <t>,1,4,7,</t>
  </si>
  <si>
    <t>,2,</t>
  </si>
  <si>
    <t>,3,</t>
  </si>
  <si>
    <t>,1,9,11,</t>
  </si>
  <si>
    <t>,13,</t>
  </si>
  <si>
    <t>,8,</t>
  </si>
  <si>
    <t>,12,</t>
  </si>
  <si>
    <t>,2,4,</t>
  </si>
  <si>
    <t>,1,4,9,10,</t>
  </si>
  <si>
    <t>颜色</t>
  </si>
  <si>
    <t>英文代码</t>
  </si>
  <si>
    <t>形象描述</t>
  </si>
  <si>
    <t>十六进制</t>
  </si>
  <si>
    <t>RGB</t>
  </si>
  <si>
    <t>Red</t>
  </si>
  <si>
    <t>纯红</t>
  </si>
  <si>
    <t>#FF0000</t>
  </si>
  <si>
    <t>255,0,0</t>
  </si>
  <si>
    <t>Blue</t>
  </si>
  <si>
    <t>纯蓝</t>
  </si>
  <si>
    <t>#0000FF</t>
  </si>
  <si>
    <t>0,0,255</t>
  </si>
  <si>
    <t>ForestGreen</t>
  </si>
  <si>
    <t>森林绿</t>
  </si>
  <si>
    <t>#228B22</t>
  </si>
  <si>
    <t>34,139,34</t>
  </si>
  <si>
    <t>Black</t>
  </si>
  <si>
    <t>纯黑</t>
  </si>
  <si>
    <t>#000000</t>
  </si>
  <si>
    <t>0,0,0</t>
  </si>
  <si>
    <t>DarkVoilet</t>
  </si>
  <si>
    <t>深紫罗兰色</t>
  </si>
  <si>
    <t>#9400D3</t>
  </si>
  <si>
    <t>148,0,211</t>
  </si>
  <si>
    <t>Yellow</t>
  </si>
  <si>
    <t>纯黄</t>
  </si>
  <si>
    <t>#FFFF00</t>
  </si>
  <si>
    <t>255,255,0</t>
  </si>
  <si>
    <t>DarkOrange</t>
  </si>
  <si>
    <t>深橙色</t>
  </si>
  <si>
    <t>#FF8C00</t>
  </si>
  <si>
    <t>255,140,0</t>
  </si>
  <si>
    <t>Cyan</t>
  </si>
  <si>
    <t>青色</t>
  </si>
  <si>
    <t>#00FFFF</t>
  </si>
  <si>
    <t>0,255,255</t>
  </si>
  <si>
    <t>Orange</t>
  </si>
  <si>
    <t>橙色</t>
  </si>
  <si>
    <t>#FFA500</t>
  </si>
  <si>
    <t>255,165,0</t>
  </si>
  <si>
    <t>Olive</t>
  </si>
  <si>
    <t>橄榄</t>
  </si>
  <si>
    <t>#808000</t>
  </si>
  <si>
    <t>128,128,0</t>
  </si>
  <si>
    <t>Tan</t>
  </si>
  <si>
    <t>晒黑</t>
  </si>
  <si>
    <t>#D2B48C</t>
  </si>
  <si>
    <t>Magenta</t>
  </si>
  <si>
    <t>洋红</t>
  </si>
  <si>
    <t>#FF00FF</t>
  </si>
  <si>
    <t>255,0,255</t>
  </si>
  <si>
    <t>LightGrey</t>
  </si>
  <si>
    <t>浅灰色</t>
  </si>
  <si>
    <t>#D3D3D3</t>
  </si>
  <si>
    <t>LightPink</t>
  </si>
  <si>
    <t>浅粉红</t>
  </si>
  <si>
    <t>#FFB6C1</t>
  </si>
  <si>
    <t>Pink</t>
  </si>
  <si>
    <t>粉红</t>
  </si>
  <si>
    <t>#FFC0CB</t>
  </si>
  <si>
    <t>Crimson</t>
  </si>
  <si>
    <t>猩红</t>
  </si>
  <si>
    <t>#DC143C</t>
  </si>
  <si>
    <t>220,20,60</t>
  </si>
  <si>
    <t>LavenderBlush</t>
  </si>
  <si>
    <t>脸红的淡紫色</t>
  </si>
  <si>
    <t>#FFF0F5</t>
  </si>
  <si>
    <t>PaleVioletRed</t>
  </si>
  <si>
    <t>苍白的紫罗兰红色</t>
  </si>
  <si>
    <t>#DB7093</t>
  </si>
  <si>
    <t>HotPink</t>
  </si>
  <si>
    <t>热情的粉红</t>
  </si>
  <si>
    <t>#FF69B4</t>
  </si>
  <si>
    <t>DeepPink</t>
  </si>
  <si>
    <t>深粉色</t>
  </si>
  <si>
    <t>#FF1493</t>
  </si>
  <si>
    <t>255,20,147</t>
  </si>
  <si>
    <t>MediumVioletRed</t>
  </si>
  <si>
    <t>适中的紫罗兰红色</t>
  </si>
  <si>
    <t>#C71585</t>
  </si>
  <si>
    <t>199,21,133</t>
  </si>
  <si>
    <t>Orchid</t>
  </si>
  <si>
    <t>兰花的紫色</t>
  </si>
  <si>
    <t>#DA70D6</t>
  </si>
  <si>
    <t>Thistle</t>
  </si>
  <si>
    <t>蓟</t>
  </si>
  <si>
    <t>#D8BFD8</t>
  </si>
  <si>
    <t>plum</t>
  </si>
  <si>
    <t>李子</t>
  </si>
  <si>
    <t>#DDA0DD</t>
  </si>
  <si>
    <t>Violet</t>
  </si>
  <si>
    <t>紫罗兰</t>
  </si>
  <si>
    <t>#EE82EE</t>
  </si>
  <si>
    <t>Fuchsia</t>
  </si>
  <si>
    <t>灯笼海棠(紫红色)</t>
  </si>
  <si>
    <t>DarkMagenta</t>
  </si>
  <si>
    <t>深洋红色</t>
  </si>
  <si>
    <t>#8B008B</t>
  </si>
  <si>
    <t>139,0,139</t>
  </si>
  <si>
    <t>Purple</t>
  </si>
  <si>
    <t>紫色</t>
  </si>
  <si>
    <t>#800080</t>
  </si>
  <si>
    <t>128,0,128</t>
  </si>
  <si>
    <t>MediumOrchid</t>
  </si>
  <si>
    <t>适中的兰花紫</t>
  </si>
  <si>
    <t>#BA55D3</t>
  </si>
  <si>
    <t>186,85,211</t>
  </si>
  <si>
    <t>DarkOrchid</t>
  </si>
  <si>
    <t>深兰花紫</t>
  </si>
  <si>
    <t>#9932CC</t>
  </si>
  <si>
    <t>153,50,204</t>
  </si>
  <si>
    <t>Indigo</t>
  </si>
  <si>
    <t>靛青</t>
  </si>
  <si>
    <t>#4B0082</t>
  </si>
  <si>
    <t>75,0,130</t>
  </si>
  <si>
    <t>BlueViolet</t>
  </si>
  <si>
    <t>深紫罗兰的蓝色</t>
  </si>
  <si>
    <t>#8A2BE2</t>
  </si>
  <si>
    <t>138,43,226</t>
  </si>
  <si>
    <t>MediumPurple</t>
  </si>
  <si>
    <t>适中的紫色</t>
  </si>
  <si>
    <t>#9370DB</t>
  </si>
  <si>
    <t>MediumSlateBlue</t>
  </si>
  <si>
    <t>适中的板岩暗蓝灰色</t>
  </si>
  <si>
    <t>#7B68EE</t>
  </si>
  <si>
    <t>SlateBlue</t>
  </si>
  <si>
    <t>板岩暗蓝灰色</t>
  </si>
  <si>
    <t>#6A5ACD</t>
  </si>
  <si>
    <t>106,90,205</t>
  </si>
  <si>
    <t>DarkSlateBlue</t>
  </si>
  <si>
    <t>深岩暗蓝灰色</t>
  </si>
  <si>
    <t>#483D8B</t>
  </si>
  <si>
    <t>72,61,139</t>
  </si>
  <si>
    <t>Lavender</t>
  </si>
  <si>
    <t>熏衣草花的淡紫色</t>
  </si>
  <si>
    <t>#E6E6FA</t>
  </si>
  <si>
    <t>GhostWhite</t>
  </si>
  <si>
    <t>幽灵的白色</t>
  </si>
  <si>
    <t>#F8F8FF</t>
  </si>
  <si>
    <t>MediumBlue</t>
  </si>
  <si>
    <t>适中的蓝色</t>
  </si>
  <si>
    <t>#0000CD</t>
  </si>
  <si>
    <t>0,0,205</t>
  </si>
  <si>
    <t>MidnightBlue</t>
  </si>
  <si>
    <t>午夜的蓝色</t>
  </si>
  <si>
    <t>#191970</t>
  </si>
  <si>
    <t>25,25,112</t>
  </si>
  <si>
    <t>DarkBlue</t>
  </si>
  <si>
    <t>深蓝色</t>
  </si>
  <si>
    <t>#00008B</t>
  </si>
  <si>
    <t>0,0,139</t>
  </si>
  <si>
    <t>Navy</t>
  </si>
  <si>
    <t>海军蓝</t>
  </si>
  <si>
    <t>#000080</t>
  </si>
  <si>
    <t>0,0,128</t>
  </si>
  <si>
    <t>RoyalBlue</t>
  </si>
  <si>
    <t>皇家蓝</t>
  </si>
  <si>
    <t>#4169E1</t>
  </si>
  <si>
    <t>CornflowerBlue</t>
  </si>
  <si>
    <t>矢车菊的蓝色</t>
  </si>
  <si>
    <t>#6495ED</t>
  </si>
  <si>
    <t>LightSteelBlue</t>
  </si>
  <si>
    <t>淡钢蓝</t>
  </si>
  <si>
    <t>#B0C4DE</t>
  </si>
  <si>
    <t>LightSlateGray</t>
  </si>
  <si>
    <t>浅石板灰</t>
  </si>
  <si>
    <t>#778899</t>
  </si>
  <si>
    <t>SlateGray</t>
  </si>
  <si>
    <t>石板灰</t>
  </si>
  <si>
    <t>#708090</t>
  </si>
  <si>
    <t>DoderBlue</t>
  </si>
  <si>
    <t>道奇蓝</t>
  </si>
  <si>
    <t>#1E90FF</t>
  </si>
  <si>
    <t>AliceBlue</t>
  </si>
  <si>
    <t>爱丽丝蓝</t>
  </si>
  <si>
    <t>#F0F8FF</t>
  </si>
  <si>
    <t>SteelBlue</t>
  </si>
  <si>
    <t>钢蓝</t>
  </si>
  <si>
    <t>#4682B4</t>
  </si>
  <si>
    <t>LightSkyBlue</t>
  </si>
  <si>
    <t>淡蓝色</t>
  </si>
  <si>
    <t>#87CEFA</t>
  </si>
  <si>
    <t>SkyBlue</t>
  </si>
  <si>
    <t>天蓝色</t>
  </si>
  <si>
    <t>#87CEEB</t>
  </si>
  <si>
    <t>DeepSkyBlue</t>
  </si>
  <si>
    <t>深天蓝</t>
  </si>
  <si>
    <t>#00BFFF</t>
  </si>
  <si>
    <t>0,191,255</t>
  </si>
  <si>
    <t>LightBLue</t>
  </si>
  <si>
    <t>淡蓝</t>
  </si>
  <si>
    <t>#ADD8E6</t>
  </si>
  <si>
    <t>PowDerBlue</t>
  </si>
  <si>
    <t>火药蓝</t>
  </si>
  <si>
    <t>#B0E0E6</t>
  </si>
  <si>
    <t>CadetBlue</t>
  </si>
  <si>
    <t>军校蓝</t>
  </si>
  <si>
    <t>#5F9EA0</t>
  </si>
  <si>
    <t>Azure</t>
  </si>
  <si>
    <t>蔚蓝色</t>
  </si>
  <si>
    <t>#F0FFFF</t>
  </si>
  <si>
    <t>LightCyan</t>
  </si>
  <si>
    <t>淡青色</t>
  </si>
  <si>
    <t>#E1FFFF</t>
  </si>
  <si>
    <t>PaleTurquoise</t>
  </si>
  <si>
    <t>苍白的绿宝石</t>
  </si>
  <si>
    <t>#AFEEEE</t>
  </si>
  <si>
    <t>Aqua</t>
  </si>
  <si>
    <t>水绿色</t>
  </si>
  <si>
    <t>#D4F2E7</t>
  </si>
  <si>
    <t>DarkTurquoise</t>
  </si>
  <si>
    <t>深绿宝石</t>
  </si>
  <si>
    <t>#00CED1</t>
  </si>
  <si>
    <t>0,206,209</t>
  </si>
  <si>
    <t>DarkSlateGray</t>
  </si>
  <si>
    <t>深石板灰</t>
  </si>
  <si>
    <t>#2F4F4F</t>
  </si>
  <si>
    <t>47,79,79</t>
  </si>
  <si>
    <t>DarkCyan</t>
  </si>
  <si>
    <t>深青色</t>
  </si>
  <si>
    <t>#008B8B</t>
  </si>
  <si>
    <t>0,139,139</t>
  </si>
  <si>
    <t>Teal</t>
  </si>
  <si>
    <t>水鸭色</t>
  </si>
  <si>
    <t>#008080</t>
  </si>
  <si>
    <t>0,128,128</t>
  </si>
  <si>
    <t>MediumTurquoise</t>
  </si>
  <si>
    <t>适中的绿宝石</t>
  </si>
  <si>
    <t>#48D1CC</t>
  </si>
  <si>
    <t>LightSeaGreen</t>
  </si>
  <si>
    <t>浅海洋绿</t>
  </si>
  <si>
    <t>#20B2AA</t>
  </si>
  <si>
    <t>Turquoise</t>
  </si>
  <si>
    <t>绿宝石</t>
  </si>
  <si>
    <t>#40E0D0</t>
  </si>
  <si>
    <t>Auqamarin</t>
  </si>
  <si>
    <t>绿玉\碧绿色</t>
  </si>
  <si>
    <t>#7FFFAA</t>
  </si>
  <si>
    <t>MediumAquamarine</t>
  </si>
  <si>
    <t>适中的碧绿色</t>
  </si>
  <si>
    <t>#00FA9A</t>
  </si>
  <si>
    <t>0,250,154</t>
  </si>
  <si>
    <t>MediumSpringGreen</t>
  </si>
  <si>
    <t>适中的春天的绿色</t>
  </si>
  <si>
    <t>#00FF7F</t>
  </si>
  <si>
    <t>0,255,127</t>
  </si>
  <si>
    <t>MintCream</t>
  </si>
  <si>
    <t>薄荷奶油</t>
  </si>
  <si>
    <t>#F5FFFA</t>
  </si>
  <si>
    <t>SpringGreen</t>
  </si>
  <si>
    <t>春天的绿色</t>
  </si>
  <si>
    <t>#3CB371</t>
  </si>
  <si>
    <t>SeaGreen</t>
  </si>
  <si>
    <t>海洋绿</t>
  </si>
  <si>
    <t>#2E8B57</t>
  </si>
  <si>
    <t>46,139,87</t>
  </si>
  <si>
    <t>Honeydew</t>
  </si>
  <si>
    <t>蜂蜜</t>
  </si>
  <si>
    <t>#F0FFF0</t>
  </si>
  <si>
    <t>LightGreen</t>
  </si>
  <si>
    <t>淡绿色</t>
  </si>
  <si>
    <t>#90EE90</t>
  </si>
  <si>
    <t>PaleGreen</t>
  </si>
  <si>
    <t>苍白的绿色</t>
  </si>
  <si>
    <t>#98FB98</t>
  </si>
  <si>
    <t>DarkSeaGreen</t>
  </si>
  <si>
    <t>深海洋绿</t>
  </si>
  <si>
    <t>#8FBC8F</t>
  </si>
  <si>
    <t>LimeGreen</t>
  </si>
  <si>
    <t>酸橙绿</t>
  </si>
  <si>
    <t>#32CD32</t>
  </si>
  <si>
    <t>50,205,50</t>
  </si>
  <si>
    <t>Lime</t>
  </si>
  <si>
    <t>酸橙色</t>
  </si>
  <si>
    <t>#00FF00</t>
  </si>
  <si>
    <t>0,255,0</t>
    <phoneticPr fontId="4" type="noConversion"/>
  </si>
  <si>
    <t>Green</t>
  </si>
  <si>
    <t>纯绿</t>
  </si>
  <si>
    <t>#008000</t>
  </si>
  <si>
    <t>0,128,0</t>
  </si>
  <si>
    <t>DarkGreen</t>
  </si>
  <si>
    <t>深绿色</t>
  </si>
  <si>
    <t>#006400</t>
  </si>
  <si>
    <t>0,100,0</t>
  </si>
  <si>
    <t>Chartreuse</t>
  </si>
  <si>
    <t>查特酒绿</t>
  </si>
  <si>
    <t>#7FFF00</t>
  </si>
  <si>
    <t>127,255,0</t>
  </si>
  <si>
    <t>LawnGreen</t>
  </si>
  <si>
    <t>草坪绿</t>
  </si>
  <si>
    <t>#7CFC00</t>
  </si>
  <si>
    <t>124,252,0</t>
  </si>
  <si>
    <t>GreenYellow</t>
  </si>
  <si>
    <t>绿黄色</t>
  </si>
  <si>
    <t>#ADFF2F</t>
  </si>
  <si>
    <t>173,255,47</t>
  </si>
  <si>
    <t>OliveDrab</t>
  </si>
  <si>
    <t>橄榄土褐色</t>
  </si>
  <si>
    <t>#556B2F</t>
  </si>
  <si>
    <t>85,107,47</t>
  </si>
  <si>
    <t>Beige</t>
  </si>
  <si>
    <t>米色(浅褐色)</t>
  </si>
  <si>
    <t>#F5F5DC</t>
  </si>
  <si>
    <t>LightGoldenrodYellow</t>
  </si>
  <si>
    <t>浅秋麒麟黄</t>
  </si>
  <si>
    <t>#FAFAD2</t>
  </si>
  <si>
    <t>Ivory</t>
  </si>
  <si>
    <t>象牙</t>
  </si>
  <si>
    <t>#FFFFF0</t>
  </si>
  <si>
    <t>LightYellow</t>
  </si>
  <si>
    <t>浅黄色</t>
  </si>
  <si>
    <t>#FFFFE0</t>
  </si>
  <si>
    <t>DarkKhaki</t>
  </si>
  <si>
    <t>深卡其布</t>
  </si>
  <si>
    <t>#BDB76B</t>
  </si>
  <si>
    <t>LemonChiffon</t>
  </si>
  <si>
    <t>柠檬薄纱</t>
  </si>
  <si>
    <t>#FFFACD</t>
  </si>
  <si>
    <t>PaleGodenrod</t>
  </si>
  <si>
    <t>灰秋麒麟</t>
  </si>
  <si>
    <t>#EEE8AA</t>
  </si>
  <si>
    <t>Khaki</t>
  </si>
  <si>
    <t>卡其布</t>
  </si>
  <si>
    <t>#F0E68C</t>
  </si>
  <si>
    <t>Gold</t>
  </si>
  <si>
    <t>金</t>
  </si>
  <si>
    <t>#FFD700</t>
  </si>
  <si>
    <t>255,215,0</t>
  </si>
  <si>
    <t>Cornislk</t>
  </si>
  <si>
    <t>玉米色</t>
  </si>
  <si>
    <t>#FFF8DC</t>
  </si>
  <si>
    <t>GoldEnrod</t>
  </si>
  <si>
    <t>秋麒麟</t>
  </si>
  <si>
    <t>#DAA520</t>
  </si>
  <si>
    <t>218,165,32</t>
  </si>
  <si>
    <t>FloralWhite</t>
  </si>
  <si>
    <t>花的白色</t>
  </si>
  <si>
    <t>#FFFAF0</t>
  </si>
  <si>
    <t>OldLace</t>
  </si>
  <si>
    <t>老饰带</t>
  </si>
  <si>
    <t>#FDF5E6</t>
  </si>
  <si>
    <t>Wheat</t>
  </si>
  <si>
    <t>小麦色</t>
  </si>
  <si>
    <t>#F5DEB3</t>
  </si>
  <si>
    <t>Moccasin</t>
  </si>
  <si>
    <t>鹿皮鞋</t>
  </si>
  <si>
    <t>#FFE4B5</t>
  </si>
  <si>
    <t>PapayaWhip</t>
  </si>
  <si>
    <t>番木瓜</t>
  </si>
  <si>
    <t>#FFEFD5</t>
  </si>
  <si>
    <t>BlanchedAlmond</t>
  </si>
  <si>
    <t>漂白的杏仁</t>
  </si>
  <si>
    <t>#FFEBCD</t>
  </si>
  <si>
    <t>NavajoWhite</t>
  </si>
  <si>
    <t>纳瓦霍白</t>
  </si>
  <si>
    <t>#FFDEAD</t>
  </si>
  <si>
    <t>AntiqueWhite</t>
  </si>
  <si>
    <t>古代的白色</t>
  </si>
  <si>
    <t>#FAEBD7</t>
  </si>
  <si>
    <t>BrulyWood</t>
  </si>
  <si>
    <t>结实的树</t>
  </si>
  <si>
    <t>#DEB887</t>
  </si>
  <si>
    <t>Bisque</t>
  </si>
  <si>
    <t>(浓汤)乳脂,番茄等</t>
  </si>
  <si>
    <t>#FFE4C4</t>
  </si>
  <si>
    <t>Linen</t>
  </si>
  <si>
    <t>亚麻布</t>
  </si>
  <si>
    <t>#FAF0E6</t>
  </si>
  <si>
    <t>Peru</t>
  </si>
  <si>
    <t>秘鲁</t>
  </si>
  <si>
    <t>#CD853F</t>
  </si>
  <si>
    <t>205,133,63</t>
  </si>
  <si>
    <t>PeachPuff</t>
  </si>
  <si>
    <t>桃色</t>
  </si>
  <si>
    <t>#FFDAB9</t>
  </si>
  <si>
    <t>SandyBrown</t>
  </si>
  <si>
    <t>沙棕色</t>
  </si>
  <si>
    <t>#F4A460</t>
  </si>
  <si>
    <t>244,164,96</t>
  </si>
  <si>
    <t>Chocolate</t>
  </si>
  <si>
    <t>巧克力</t>
  </si>
  <si>
    <t>#D2691E</t>
  </si>
  <si>
    <t>210,105,30</t>
  </si>
  <si>
    <t>SaddleBrown</t>
  </si>
  <si>
    <t>马鞍棕色</t>
  </si>
  <si>
    <t>#8B4513</t>
  </si>
  <si>
    <t>139,69,19</t>
  </si>
  <si>
    <t>SeaShell</t>
  </si>
  <si>
    <t>海贝壳</t>
  </si>
  <si>
    <t>#FFF5EE</t>
  </si>
  <si>
    <t>Sienna</t>
  </si>
  <si>
    <t>黄土赭色</t>
  </si>
  <si>
    <t>#A0522D</t>
  </si>
  <si>
    <t>160,82,45</t>
  </si>
  <si>
    <t>LightSalmon</t>
  </si>
  <si>
    <t>浅鲜肉(鲑鱼)色</t>
  </si>
  <si>
    <t>#FFA07A</t>
  </si>
  <si>
    <t>Coral</t>
  </si>
  <si>
    <t>珊瑚</t>
  </si>
  <si>
    <t>#FF7F50</t>
  </si>
  <si>
    <t>255,127,80</t>
  </si>
  <si>
    <t>OrangeRed</t>
  </si>
  <si>
    <t>橙红色</t>
  </si>
  <si>
    <t>#FF4500</t>
  </si>
  <si>
    <t>255,69,0</t>
  </si>
  <si>
    <t>DarkSalmon</t>
  </si>
  <si>
    <t>深鲜肉(鲑鱼)色</t>
  </si>
  <si>
    <t>#E9967A</t>
  </si>
  <si>
    <t>Tomato</t>
  </si>
  <si>
    <t>番茄</t>
  </si>
  <si>
    <t>#FF6347</t>
  </si>
  <si>
    <t>255,99,71</t>
  </si>
  <si>
    <t>MistyRose</t>
  </si>
  <si>
    <t>薄雾玫瑰</t>
  </si>
  <si>
    <t>#FFE4E1</t>
  </si>
  <si>
    <t>Salmon</t>
  </si>
  <si>
    <t>鲜肉(鲑鱼)色</t>
  </si>
  <si>
    <t>#FA8072</t>
  </si>
  <si>
    <t>Snow</t>
  </si>
  <si>
    <t>雪</t>
  </si>
  <si>
    <t>#FFFAFA</t>
  </si>
  <si>
    <t>LightCoral</t>
  </si>
  <si>
    <t>淡珊瑚色</t>
  </si>
  <si>
    <t>#F08080</t>
  </si>
  <si>
    <t>RosyBrown</t>
  </si>
  <si>
    <t>玫瑰棕色</t>
  </si>
  <si>
    <t>#BC8F8F</t>
  </si>
  <si>
    <t>IndianRed</t>
  </si>
  <si>
    <t>印度红</t>
  </si>
  <si>
    <t>#CD5C5C</t>
  </si>
  <si>
    <t>205,92,92</t>
  </si>
  <si>
    <t>Brown</t>
  </si>
  <si>
    <t>棕色</t>
  </si>
  <si>
    <t>#A52A2A</t>
  </si>
  <si>
    <t>165,42,42</t>
  </si>
  <si>
    <t>FireBrick</t>
  </si>
  <si>
    <t>耐火砖</t>
  </si>
  <si>
    <t>#B22222</t>
  </si>
  <si>
    <t>178,34,34</t>
  </si>
  <si>
    <t>DarkRed</t>
  </si>
  <si>
    <t>深红色</t>
  </si>
  <si>
    <t>#8B0000</t>
  </si>
  <si>
    <t>139,0,0</t>
  </si>
  <si>
    <t>Maroon</t>
  </si>
  <si>
    <t>栗色</t>
  </si>
  <si>
    <t>#800000</t>
  </si>
  <si>
    <t>128,0,0</t>
  </si>
  <si>
    <t>White</t>
  </si>
  <si>
    <t>纯白</t>
  </si>
  <si>
    <t>#FFFFFF</t>
  </si>
  <si>
    <t>WhiteSmoke</t>
  </si>
  <si>
    <t>白烟</t>
  </si>
  <si>
    <t>#F5F5F5</t>
  </si>
  <si>
    <t>Gainsboro</t>
  </si>
  <si>
    <t>亮灰色</t>
  </si>
  <si>
    <t>#DCDCDC</t>
  </si>
  <si>
    <t>Silver</t>
  </si>
  <si>
    <t>银白色</t>
  </si>
  <si>
    <t>#C0C0C0</t>
  </si>
  <si>
    <t>DarkGray</t>
  </si>
  <si>
    <t>深灰色</t>
  </si>
  <si>
    <t>#A9A9A9</t>
  </si>
  <si>
    <t>Gray</t>
  </si>
  <si>
    <t>灰色</t>
  </si>
  <si>
    <t>#808080</t>
  </si>
  <si>
    <t>DimGray</t>
  </si>
  <si>
    <t>暗淡的灰色</t>
  </si>
  <si>
    <t>#696969</t>
  </si>
  <si>
    <t>New</t>
  </si>
  <si>
    <t>Question Number</t>
  </si>
  <si>
    <t>Question Type</t>
  </si>
  <si>
    <t>No. of Questions</t>
  </si>
  <si>
    <t>Variable</t>
  </si>
  <si>
    <t>Answer type</t>
  </si>
  <si>
    <t>No. of Categories</t>
  </si>
  <si>
    <t>Score</t>
  </si>
  <si>
    <t>Sort in tabs</t>
  </si>
  <si>
    <t>Column</t>
  </si>
  <si>
    <t>Table Heading</t>
  </si>
  <si>
    <t>Question</t>
  </si>
  <si>
    <t>Buffer</t>
  </si>
  <si>
    <t>Count</t>
  </si>
  <si>
    <t>Count Base</t>
  </si>
  <si>
    <t>Add Subtotals</t>
  </si>
  <si>
    <t>No. of Subtotals</t>
  </si>
  <si>
    <t>Subtotal 1</t>
  </si>
  <si>
    <t>Criterion 1</t>
  </si>
  <si>
    <t>Subtotal 2</t>
  </si>
  <si>
    <t>Criterion 2</t>
  </si>
  <si>
    <t>Subtotal 3</t>
  </si>
  <si>
    <t>Criterion 3</t>
  </si>
  <si>
    <t>Subtotal 4</t>
  </si>
  <si>
    <t>Criterion 4</t>
  </si>
  <si>
    <t>Subtotal 5</t>
  </si>
  <si>
    <t>Criterion 5</t>
  </si>
  <si>
    <t>Subtotal 6</t>
  </si>
  <si>
    <t>Criterion 6</t>
  </si>
  <si>
    <t>Subtotal 7</t>
  </si>
  <si>
    <t>Criterion 7</t>
  </si>
  <si>
    <t>Subtotal 8</t>
  </si>
  <si>
    <t>Criterion 8</t>
  </si>
  <si>
    <t>Subtotal 9</t>
  </si>
  <si>
    <t>Criterion 9</t>
  </si>
  <si>
    <t>Subtotal 10</t>
  </si>
  <si>
    <t>Criterion 10</t>
  </si>
  <si>
    <t>SAMPLEID</t>
  </si>
  <si>
    <t>N</t>
  </si>
  <si>
    <t>回答者ID</t>
  </si>
  <si>
    <t>ANSWERDATE</t>
  </si>
  <si>
    <t>D</t>
  </si>
  <si>
    <t>回答日期</t>
  </si>
  <si>
    <t>RESULT_QUOTA</t>
  </si>
  <si>
    <t>SA</t>
  </si>
  <si>
    <t>回答配额</t>
  </si>
  <si>
    <t>RESULT_QUOTANAME</t>
  </si>
  <si>
    <t>FA</t>
  </si>
  <si>
    <t>回答配额名称</t>
  </si>
  <si>
    <t>S1</t>
  </si>
  <si>
    <t>SAR</t>
  </si>
  <si>
    <t>上海</t>
  </si>
  <si>
    <t>北京</t>
  </si>
  <si>
    <t>广州</t>
  </si>
  <si>
    <t>成都</t>
  </si>
  <si>
    <t>其他地区</t>
  </si>
  <si>
    <t>S2</t>
  </si>
  <si>
    <t>S3</t>
  </si>
  <si>
    <t>FAS</t>
  </si>
  <si>
    <t>S4</t>
  </si>
  <si>
    <t>MTS</t>
  </si>
  <si>
    <t>个人月收入</t>
  </si>
  <si>
    <t>不到1,000元</t>
  </si>
  <si>
    <t>1,000～1,999元</t>
  </si>
  <si>
    <t>2,000～2,999元</t>
  </si>
  <si>
    <t>3,000～3,999元</t>
  </si>
  <si>
    <t>4,000～4,999元</t>
  </si>
  <si>
    <t>5,000～5,999元</t>
  </si>
  <si>
    <t>6,000～6,999元</t>
  </si>
  <si>
    <t>7,000～7,999元</t>
  </si>
  <si>
    <t>8,000～8,999元</t>
  </si>
  <si>
    <t>9,000～9,999元</t>
  </si>
  <si>
    <t>10,000～11,999元</t>
  </si>
  <si>
    <t>12,000～13,999元</t>
  </si>
  <si>
    <t>14,000～15,999元</t>
  </si>
  <si>
    <t>16,000～17,999元</t>
  </si>
  <si>
    <t>18,000～19,999元</t>
  </si>
  <si>
    <t>20,000～24,999元</t>
  </si>
  <si>
    <t>25,000～29,999元</t>
  </si>
  <si>
    <t>30,000～34,999元</t>
  </si>
  <si>
    <t>35,000～39,999元</t>
  </si>
  <si>
    <t>40,000元以上</t>
  </si>
  <si>
    <t>家庭月收入</t>
  </si>
  <si>
    <t>S5</t>
  </si>
  <si>
    <t>S6</t>
  </si>
  <si>
    <t>S7</t>
  </si>
  <si>
    <t>MAC</t>
  </si>
  <si>
    <t>MA</t>
  </si>
  <si>
    <t>其他（请注明：[   ]）</t>
  </si>
  <si>
    <t>MTM</t>
  </si>
  <si>
    <t>保鲜膜</t>
  </si>
  <si>
    <t>以上均无</t>
  </si>
  <si>
    <t>Q1</t>
  </si>
  <si>
    <t>Q2</t>
  </si>
  <si>
    <t>Q3</t>
  </si>
  <si>
    <t>Q4</t>
  </si>
  <si>
    <t>其他</t>
  </si>
  <si>
    <t>Q5</t>
  </si>
  <si>
    <t>Q6</t>
  </si>
  <si>
    <t>Q6S1</t>
  </si>
  <si>
    <t>Q6S2</t>
  </si>
  <si>
    <t>Q7</t>
  </si>
  <si>
    <t>Q8</t>
  </si>
  <si>
    <t>Q9</t>
  </si>
  <si>
    <t>Q10</t>
  </si>
  <si>
    <t>Q10_5FA</t>
  </si>
  <si>
    <t>Q11</t>
  </si>
  <si>
    <t>Q12</t>
  </si>
  <si>
    <t>Q12S1</t>
  </si>
  <si>
    <t>Q12S2</t>
  </si>
  <si>
    <t>Q13</t>
  </si>
  <si>
    <t>Q14</t>
  </si>
  <si>
    <t>技术领先的</t>
  </si>
  <si>
    <t>高级/高端的</t>
  </si>
  <si>
    <t>值得信赖的</t>
  </si>
  <si>
    <t>周围人的口碑好</t>
  </si>
  <si>
    <t>网上评价好</t>
  </si>
  <si>
    <t>使用方便的</t>
  </si>
  <si>
    <t>经常看到广告的</t>
  </si>
  <si>
    <t>Q15</t>
  </si>
  <si>
    <t>Q15S1</t>
  </si>
  <si>
    <t>Q15S2</t>
  </si>
  <si>
    <t>Q16</t>
  </si>
  <si>
    <t>Q17</t>
  </si>
  <si>
    <t>Q18</t>
  </si>
  <si>
    <t>妙洁</t>
  </si>
  <si>
    <t>GLAD 佳能</t>
  </si>
  <si>
    <t>旭包鲜</t>
  </si>
  <si>
    <t>克林莱</t>
  </si>
  <si>
    <t>美丽雅</t>
  </si>
  <si>
    <t>茶花</t>
  </si>
  <si>
    <t>家来纳</t>
  </si>
  <si>
    <t>可爱可</t>
  </si>
  <si>
    <t>洁成</t>
  </si>
  <si>
    <t>美嘉南</t>
  </si>
  <si>
    <t>宜洁</t>
  </si>
  <si>
    <t>Q19</t>
  </si>
  <si>
    <t>Q19S1</t>
  </si>
  <si>
    <t>Q19S2</t>
  </si>
  <si>
    <t>Q19S3</t>
  </si>
  <si>
    <t>Q20</t>
  </si>
  <si>
    <t>Q21</t>
  </si>
  <si>
    <t>Q22</t>
  </si>
  <si>
    <t>Q23</t>
  </si>
  <si>
    <t>Q24</t>
  </si>
  <si>
    <t>Q25</t>
  </si>
  <si>
    <t>Q25S1</t>
  </si>
  <si>
    <t>持负面印象</t>
  </si>
  <si>
    <t>不好说/不反感</t>
  </si>
  <si>
    <t>有些好感</t>
  </si>
  <si>
    <t>喜欢，且会考虑购买</t>
  </si>
  <si>
    <t>喜欢，且是主要候选</t>
  </si>
  <si>
    <t>Q25S2</t>
  </si>
  <si>
    <t>Q25S3</t>
  </si>
  <si>
    <t>Q25S4</t>
  </si>
  <si>
    <t>Q25S5</t>
  </si>
  <si>
    <t>Q25S6</t>
  </si>
  <si>
    <t>Q26</t>
  </si>
  <si>
    <t>Q26S1</t>
  </si>
  <si>
    <t>Q26S2</t>
  </si>
  <si>
    <t>Q26S3</t>
  </si>
  <si>
    <t>Q27</t>
  </si>
  <si>
    <t>Q27S1</t>
  </si>
  <si>
    <t>不太满意</t>
  </si>
  <si>
    <t>Q27S2</t>
  </si>
  <si>
    <t>Q27S3</t>
  </si>
  <si>
    <t>Q27S4</t>
  </si>
  <si>
    <t>Q27S5</t>
  </si>
  <si>
    <t>Q27S6</t>
  </si>
  <si>
    <t>Q27S7</t>
  </si>
  <si>
    <t>Q27S8</t>
  </si>
  <si>
    <t>Q27S9</t>
  </si>
  <si>
    <t>总体满意度</t>
  </si>
  <si>
    <t>Q28</t>
  </si>
  <si>
    <t>Q29</t>
  </si>
  <si>
    <t>Q30</t>
  </si>
  <si>
    <t>Q31</t>
  </si>
  <si>
    <t>天猫</t>
  </si>
  <si>
    <t>淘宝</t>
  </si>
  <si>
    <t>京东</t>
  </si>
  <si>
    <t>Q32</t>
  </si>
  <si>
    <t>Q33</t>
  </si>
  <si>
    <t>Q34</t>
  </si>
  <si>
    <t>国家公务员</t>
  </si>
  <si>
    <t>国有企业职员</t>
  </si>
  <si>
    <t>民营企业职员</t>
  </si>
  <si>
    <t>外资企业（欧美系）职员</t>
  </si>
  <si>
    <t>外资企业（日本系）职员</t>
  </si>
  <si>
    <t>外资企业（港台韩）职员</t>
  </si>
  <si>
    <t>外资企业（其他国家）职员</t>
  </si>
  <si>
    <t>个体户（包括农林牧渔劳动者）</t>
  </si>
  <si>
    <t>自由职业（作家、翻译、艺术家、运动员等）</t>
  </si>
  <si>
    <t>专职主妇（主夫）</t>
  </si>
  <si>
    <t>临时工/小时工</t>
  </si>
  <si>
    <t>学生（包括硕士/博士）</t>
  </si>
  <si>
    <t>无业/失业</t>
  </si>
  <si>
    <t>退休</t>
  </si>
  <si>
    <t>お住まいの都市をお知らせください。（SA）</t>
  </si>
  <si>
    <t>variable</t>
  </si>
  <si>
    <t>広州</t>
  </si>
  <si>
    <t>蘇州</t>
  </si>
  <si>
    <t>その他エリア</t>
  </si>
  <si>
    <t>1,000元未満</t>
  </si>
  <si>
    <t>一人暮らし</t>
  </si>
  <si>
    <t>その他（具体的に：[   ]）</t>
  </si>
  <si>
    <t>当てはまるものがない</t>
  </si>
  <si>
    <t>その他</t>
  </si>
  <si>
    <t>野菜果物新鮮保持 [冷蔵庫]</t>
  </si>
  <si>
    <t>料理新鮮保持 [冷蔵庫]</t>
  </si>
  <si>
    <t>生肉新鮮保持 [冷蔵庫]</t>
  </si>
  <si>
    <t>生魚新鮮保持 [冷蔵庫]</t>
  </si>
  <si>
    <t>野菜果物新鮮保持 [常温]</t>
  </si>
  <si>
    <t>料理新鮮保持 [常温]</t>
  </si>
  <si>
    <t>レンジ加熱</t>
  </si>
  <si>
    <t>[実店舗] ハイパー（如：カルフール、ウォールマート等）</t>
  </si>
  <si>
    <t>[実店舗] 普通のハイパー（如：華聯、聯華、京客隆等）</t>
  </si>
  <si>
    <t>[実店舗] 輸入品スーパー（如：OLE、BLT、CITY等）</t>
  </si>
  <si>
    <t>[実店舗] コンビニエンスストア</t>
  </si>
  <si>
    <t>[実店舗] その他</t>
  </si>
  <si>
    <t>[ECサイト] 天猫</t>
  </si>
  <si>
    <t>[ECサイト] その他</t>
  </si>
  <si>
    <t>技術がリードしている</t>
  </si>
  <si>
    <t>高級な</t>
  </si>
  <si>
    <t>信頼できる</t>
  </si>
  <si>
    <t>周りの口コミがよい</t>
  </si>
  <si>
    <t>ウェブ上口コミがよい</t>
  </si>
  <si>
    <t>使い勝手がよい</t>
  </si>
  <si>
    <t>お皿にくっつきやすい</t>
  </si>
  <si>
    <t>ニオイを通さない</t>
  </si>
  <si>
    <t>切りやすさ</t>
  </si>
  <si>
    <t>ハイパー独自ブランド</t>
  </si>
  <si>
    <t>あてはまるものがない</t>
  </si>
  <si>
    <t>ネガティブなイメージを持っている</t>
  </si>
  <si>
    <t>反感を持ってない</t>
  </si>
  <si>
    <t>まあまあ好感を持っている</t>
  </si>
  <si>
    <t>好き、購入を考慮する</t>
  </si>
  <si>
    <t>好き、購入の主要候補</t>
  </si>
  <si>
    <t>全く満足していない</t>
  </si>
  <si>
    <t>あまり満足していない</t>
  </si>
  <si>
    <t>どちらともいえない</t>
  </si>
  <si>
    <t>まあまあ満足している</t>
  </si>
  <si>
    <t>とても満足している</t>
  </si>
  <si>
    <t>分からない</t>
  </si>
  <si>
    <t>あなたの職業をお知らせください。（SA）</t>
  </si>
  <si>
    <t>国家公務員</t>
  </si>
  <si>
    <t>国有企業職員</t>
  </si>
  <si>
    <t>民営企業職員</t>
  </si>
  <si>
    <t>外資系企業（欧米系）職員</t>
  </si>
  <si>
    <t>外資系企業（日系）職員</t>
  </si>
  <si>
    <t>外資系企業（香港台湾韓国）職員</t>
  </si>
  <si>
    <t>外資系企業（それ以外）職員</t>
  </si>
  <si>
    <t>自営業(農業、林業、漁業を含む)</t>
  </si>
  <si>
    <t>専門職</t>
  </si>
  <si>
    <t>フリーター</t>
  </si>
  <si>
    <t>専門主婦（主夫）</t>
  </si>
  <si>
    <t>パート/アルバイト</t>
  </si>
  <si>
    <t>学生（修士/博士在学生を含む）</t>
  </si>
  <si>
    <t>無職/失業</t>
  </si>
  <si>
    <t>定年</t>
  </si>
  <si>
    <t>個人月収</t>
  </si>
  <si>
    <t>低収入層</t>
  </si>
  <si>
    <t>中等収入層</t>
  </si>
  <si>
    <t>高収入層</t>
  </si>
  <si>
    <t>世帯月収</t>
  </si>
  <si>
    <t>料理・点心作り・包み用</t>
  </si>
  <si>
    <t>[ECサイト] 京东</t>
  </si>
  <si>
    <t>[ECサイトor実店舗] ネットスーパー（如：盒马鲜生）</t>
  </si>
  <si>
    <t>一般実店舗</t>
  </si>
  <si>
    <t>一般EC</t>
  </si>
  <si>
    <t>丈夫・破れにくい</t>
  </si>
  <si>
    <t>0,1,2,3,4,5</t>
  </si>
  <si>
    <t>Top1</t>
  </si>
  <si>
    <t>はりがあり</t>
  </si>
  <si>
    <t>鮮度保持</t>
  </si>
  <si>
    <t>満足度全般</t>
  </si>
  <si>
    <t>妙潔</t>
  </si>
  <si>
    <t>3M</t>
  </si>
  <si>
    <t>洁能</t>
  </si>
  <si>
    <t>绿本</t>
  </si>
  <si>
    <t>心相印</t>
  </si>
  <si>
    <t>夫婦のみ</t>
  </si>
  <si>
    <t>夫婦+子供</t>
  </si>
  <si>
    <t>夫婦+子供+親</t>
  </si>
  <si>
    <t>BD1_city(S1)</t>
  </si>
  <si>
    <t>Base=</t>
  </si>
  <si>
    <t>Total</t>
  </si>
  <si>
    <t>25-29</t>
  </si>
  <si>
    <t>30-34</t>
  </si>
  <si>
    <t>35-39</t>
  </si>
  <si>
    <t>40-44</t>
  </si>
  <si>
    <t>45-59</t>
  </si>
  <si>
    <t>未既婚_子供なし</t>
  </si>
  <si>
    <t>既婚_子供あり</t>
  </si>
  <si>
    <t>子供_0-6歳</t>
  </si>
  <si>
    <t>子供_7-12歳</t>
  </si>
  <si>
    <t>子供_13歳以上</t>
  </si>
  <si>
    <t>夕食作り_高頻度</t>
  </si>
  <si>
    <t>夕食作り_低頻度</t>
  </si>
  <si>
    <t>ラップ使用_高頻度</t>
  </si>
  <si>
    <t>ラップ使用_中低頻度</t>
  </si>
  <si>
    <t>[主使用] 妙潔</t>
  </si>
  <si>
    <t>[主使用] GLAD</t>
  </si>
  <si>
    <t>[主使用] 旭包鮮</t>
  </si>
  <si>
    <t>[主使用] 克林莱</t>
  </si>
  <si>
    <t>[主使用] 美麗雅</t>
  </si>
  <si>
    <t>[主使用] 茶花</t>
  </si>
  <si>
    <t>[経験] 旭包鮮</t>
  </si>
  <si>
    <t>3city</t>
  </si>
  <si>
    <t>Q24_1</t>
  </si>
  <si>
    <t>Q24_2</t>
  </si>
  <si>
    <t>Q24_3</t>
  </si>
  <si>
    <t>Q24_4</t>
  </si>
  <si>
    <t>Q24_5</t>
  </si>
  <si>
    <t>Q24_6</t>
  </si>
  <si>
    <t>Q24_7</t>
  </si>
  <si>
    <t>Q24_8</t>
  </si>
  <si>
    <t>Q24_9</t>
  </si>
  <si>
    <t>Q24_10</t>
  </si>
  <si>
    <t>Q24_11</t>
  </si>
  <si>
    <t>Q24_12</t>
  </si>
  <si>
    <t>Q24_13</t>
  </si>
  <si>
    <t>Q24_14</t>
  </si>
  <si>
    <t>Q24_15</t>
  </si>
  <si>
    <t>Q24_16</t>
  </si>
  <si>
    <t>Q24_17</t>
  </si>
  <si>
    <t>Q24_18</t>
  </si>
  <si>
    <t>Q24_19</t>
  </si>
  <si>
    <t>Q24_20</t>
  </si>
  <si>
    <t>Q24_21</t>
  </si>
  <si>
    <t>Q24_22</t>
  </si>
  <si>
    <t>Q24_23</t>
  </si>
  <si>
    <t>Q24_24</t>
  </si>
  <si>
    <t>Q24_25</t>
  </si>
  <si>
    <t>Q24_26</t>
  </si>
  <si>
    <t>Q24_27</t>
  </si>
  <si>
    <t>Q24_28</t>
  </si>
  <si>
    <t>Q24_29</t>
  </si>
  <si>
    <t>Q24_30</t>
  </si>
  <si>
    <t>Q24_31</t>
  </si>
  <si>
    <t>Q24_32</t>
  </si>
  <si>
    <t>Q24_33</t>
  </si>
  <si>
    <t>Q24_34</t>
  </si>
  <si>
    <t>Q24_35</t>
  </si>
  <si>
    <t>Q24_36</t>
  </si>
  <si>
    <t>Q24_37</t>
  </si>
  <si>
    <t>Q24_38</t>
  </si>
  <si>
    <t>Q24_39</t>
  </si>
  <si>
    <t>Q24_40</t>
  </si>
  <si>
    <t>Q24_41</t>
  </si>
  <si>
    <t>Q24_42</t>
  </si>
  <si>
    <t>Q24_43</t>
  </si>
  <si>
    <t>Q24_44</t>
  </si>
  <si>
    <t>Q24_45</t>
  </si>
  <si>
    <t>Q24_46</t>
  </si>
  <si>
    <t>Q24_47</t>
  </si>
  <si>
    <t>Q24_48</t>
  </si>
  <si>
    <t>Q24_49</t>
  </si>
  <si>
    <t>Q24_50</t>
  </si>
  <si>
    <t>Q24_51</t>
  </si>
  <si>
    <t>Q24_52</t>
  </si>
  <si>
    <t>Q24_53</t>
  </si>
  <si>
    <t>Q24_54</t>
  </si>
  <si>
    <t>Q24_55</t>
  </si>
  <si>
    <t>Q24_56</t>
  </si>
  <si>
    <t>Q24_57</t>
  </si>
  <si>
    <t>Q24_58</t>
  </si>
  <si>
    <t>Q24_59</t>
  </si>
  <si>
    <t>Q24_60</t>
  </si>
  <si>
    <t>,1,2,6,23</t>
  </si>
  <si>
    <t>,2,3,</t>
  </si>
  <si>
    <t>,2,6,</t>
  </si>
  <si>
    <t>,1,5,14,</t>
  </si>
  <si>
    <t>,1,8,</t>
  </si>
  <si>
    <t>,1,2,6,</t>
  </si>
  <si>
    <t>,1,6,12,</t>
  </si>
  <si>
    <t>,1,3,9,</t>
  </si>
  <si>
    <t>,1,2,3,</t>
  </si>
  <si>
    <t>,1,11,14,</t>
  </si>
  <si>
    <t>,2,14,</t>
  </si>
  <si>
    <t>,1,2,5,</t>
  </si>
  <si>
    <t>,2,3,4,</t>
  </si>
  <si>
    <t>,1,3,12,</t>
  </si>
  <si>
    <t>,1,6,11,</t>
  </si>
  <si>
    <t>,1,12,</t>
  </si>
  <si>
    <t>,1,2,4,</t>
  </si>
  <si>
    <t>,6,</t>
  </si>
  <si>
    <t>,1,3,6,</t>
  </si>
  <si>
    <t>,1,3,4,</t>
  </si>
  <si>
    <t>,1,6,</t>
  </si>
  <si>
    <t>,1,9,14,</t>
  </si>
  <si>
    <t>,5,9,</t>
  </si>
  <si>
    <t>,1,6,14,</t>
  </si>
  <si>
    <t>,1,5,6,</t>
  </si>
  <si>
    <t>,5,12,</t>
  </si>
  <si>
    <t>,9,10,</t>
  </si>
  <si>
    <t>,1,3,14,</t>
  </si>
  <si>
    <t>,2,5,7,</t>
  </si>
  <si>
    <t>,2,5,</t>
  </si>
  <si>
    <t>,1,2,14,</t>
  </si>
  <si>
    <t>,1,5,</t>
  </si>
  <si>
    <t>,9,11,</t>
  </si>
  <si>
    <t>,2,6,11,</t>
  </si>
  <si>
    <t>,1,12,14,</t>
  </si>
  <si>
    <t>,1,6,10,</t>
  </si>
  <si>
    <t>,1,4,6,</t>
  </si>
  <si>
    <t>,5,8,10,</t>
  </si>
  <si>
    <t>,5,11,</t>
  </si>
  <si>
    <t>,1,6,9,</t>
  </si>
  <si>
    <t>,2,12,14,</t>
  </si>
  <si>
    <t>,5,6,</t>
  </si>
  <si>
    <t>,1,10,14,</t>
  </si>
  <si>
    <t>,8,9,</t>
  </si>
  <si>
    <t>,1,4,5,</t>
  </si>
  <si>
    <t>,3,6,</t>
  </si>
  <si>
    <t>,2,5,12,</t>
  </si>
  <si>
    <t>,2,10,</t>
  </si>
  <si>
    <t>,6,9,10,</t>
  </si>
  <si>
    <t>,6,10,</t>
  </si>
  <si>
    <t>,6,9,11,</t>
  </si>
  <si>
    <t>,5,7,9,</t>
  </si>
  <si>
    <t>,6,9,</t>
  </si>
  <si>
    <t>,3,5,11,</t>
  </si>
  <si>
    <t>,1,11,</t>
  </si>
  <si>
    <t>,2,7,</t>
  </si>
  <si>
    <t>,1,3,5,</t>
  </si>
  <si>
    <t>,1,3,8,</t>
  </si>
  <si>
    <t>,2,11,</t>
  </si>
  <si>
    <t>,6,8,10,</t>
  </si>
  <si>
    <t>,1,4,9,</t>
  </si>
  <si>
    <t>,5,13,</t>
  </si>
  <si>
    <t>,1,2,10,</t>
  </si>
  <si>
    <t>,1,4,12,</t>
  </si>
  <si>
    <t>,1,5,11,</t>
  </si>
  <si>
    <t>,5,6,9,</t>
  </si>
  <si>
    <t>,1,10,11,</t>
  </si>
  <si>
    <t>,4,8,</t>
  </si>
  <si>
    <t>,5,6,13,</t>
  </si>
  <si>
    <t>,3,11,</t>
  </si>
  <si>
    <t>,2,9,</t>
  </si>
  <si>
    <t>,1,6,7,</t>
  </si>
  <si>
    <t>,4,6,</t>
  </si>
  <si>
    <t>,6,14,</t>
  </si>
  <si>
    <t>,3,7,</t>
  </si>
  <si>
    <t>,5,8,</t>
  </si>
  <si>
    <t>,8,10,</t>
  </si>
  <si>
    <t>,8,9,10,</t>
  </si>
  <si>
    <t>,2,5,11,</t>
  </si>
  <si>
    <t>,3,8,</t>
  </si>
  <si>
    <t>,4,12,</t>
  </si>
  <si>
    <t>,4,6,9,</t>
  </si>
  <si>
    <t>,2,8,</t>
  </si>
  <si>
    <t>,6,7,8,</t>
  </si>
  <si>
    <t>,1,5,8,</t>
  </si>
  <si>
    <t>,6,8,</t>
  </si>
  <si>
    <t>,1,7,11,</t>
  </si>
  <si>
    <t>,2,5,10,</t>
  </si>
  <si>
    <t>,5,12,14,</t>
  </si>
  <si>
    <t>,10,14,</t>
  </si>
  <si>
    <t>,8,14,</t>
  </si>
  <si>
    <t>,3,4,</t>
  </si>
  <si>
    <t>,4,5,6,</t>
  </si>
  <si>
    <t>,6,60,</t>
  </si>
  <si>
    <t>佳能</t>
  </si>
  <si>
    <t>鑫峰</t>
  </si>
  <si>
    <t>妙杰</t>
  </si>
  <si>
    <t>3m</t>
  </si>
  <si>
    <t>家乐</t>
  </si>
  <si>
    <t>kirkland</t>
  </si>
  <si>
    <t>秒洁</t>
  </si>
  <si>
    <t>乐扣乐扣</t>
  </si>
  <si>
    <t>新迪</t>
  </si>
  <si>
    <t>好媳妇</t>
  </si>
  <si>
    <t>美舒洁</t>
  </si>
  <si>
    <t>优奥</t>
  </si>
  <si>
    <t>e洁</t>
  </si>
  <si>
    <t>南亚</t>
  </si>
  <si>
    <t>振兴</t>
  </si>
  <si>
    <t>美丽亚</t>
  </si>
  <si>
    <t>家莱纳</t>
  </si>
  <si>
    <t>喇叭花</t>
  </si>
  <si>
    <t>白洁</t>
  </si>
  <si>
    <t>杰仕</t>
  </si>
  <si>
    <t>中欣</t>
  </si>
  <si>
    <t>三荣</t>
  </si>
  <si>
    <t>结成</t>
  </si>
  <si>
    <t>美甲</t>
  </si>
  <si>
    <t>旭保鲜</t>
  </si>
  <si>
    <t>佳乐</t>
  </si>
  <si>
    <t>保鲜</t>
  </si>
  <si>
    <t>宜家</t>
  </si>
  <si>
    <t>千良</t>
  </si>
  <si>
    <t>云娜</t>
  </si>
  <si>
    <t>好婆媳</t>
  </si>
  <si>
    <t>世家</t>
  </si>
  <si>
    <t>炒洁</t>
  </si>
  <si>
    <t>优能</t>
  </si>
  <si>
    <t>美佳美</t>
  </si>
  <si>
    <t>美之净</t>
  </si>
  <si>
    <t>常鲜</t>
  </si>
  <si>
    <t>白猫</t>
  </si>
  <si>
    <t>食美</t>
  </si>
  <si>
    <t>旭包新</t>
  </si>
  <si>
    <t>妙佳</t>
  </si>
  <si>
    <t>七天</t>
  </si>
  <si>
    <t>密保诺</t>
  </si>
  <si>
    <t>家乐福</t>
  </si>
  <si>
    <t>洁丽雅</t>
  </si>
  <si>
    <t>丝高</t>
  </si>
  <si>
    <t>美洁</t>
  </si>
  <si>
    <t>好太太</t>
  </si>
  <si>
    <t>巧媳妇</t>
  </si>
  <si>
    <t>洁冠</t>
  </si>
  <si>
    <t>美麗雅</t>
  </si>
  <si>
    <t>Glad佳能</t>
  </si>
  <si>
    <t>Cleanwrap克林莱</t>
  </si>
  <si>
    <t>美好家</t>
  </si>
  <si>
    <t>立白</t>
  </si>
  <si>
    <t>妙管家</t>
  </si>
  <si>
    <t>妙素</t>
  </si>
  <si>
    <t>美佳南</t>
  </si>
  <si>
    <t>汇百利</t>
  </si>
  <si>
    <t>欧凯斯</t>
  </si>
  <si>
    <t>旭日鲜</t>
  </si>
  <si>
    <t>优思居</t>
  </si>
  <si>
    <t>好爸爸</t>
  </si>
  <si>
    <t>妙美</t>
  </si>
  <si>
    <t>旭保险</t>
  </si>
  <si>
    <t>汉世刘家</t>
  </si>
  <si>
    <t>加加</t>
  </si>
  <si>
    <t>克莱林</t>
  </si>
  <si>
    <t>高洁</t>
  </si>
  <si>
    <t>妙招</t>
  </si>
  <si>
    <t>洁云</t>
  </si>
  <si>
    <t>宝洁</t>
  </si>
  <si>
    <t>妙渍</t>
  </si>
  <si>
    <t>好帮手</t>
  </si>
  <si>
    <t>适然</t>
  </si>
  <si>
    <t>利得</t>
  </si>
  <si>
    <t>没嘉南</t>
  </si>
  <si>
    <t>佳洁</t>
  </si>
  <si>
    <t>乐而雅</t>
  </si>
  <si>
    <t>绿坝</t>
  </si>
  <si>
    <t>妙龄</t>
  </si>
  <si>
    <t>天平</t>
  </si>
  <si>
    <t>超能</t>
  </si>
  <si>
    <t>保洁</t>
  </si>
  <si>
    <t>美嘉男</t>
  </si>
  <si>
    <t>大卷</t>
  </si>
  <si>
    <t>乐彼</t>
  </si>
  <si>
    <t>妙洁保鲜膜</t>
  </si>
  <si>
    <t>妙碶</t>
  </si>
  <si>
    <t>佳诺</t>
  </si>
  <si>
    <t>妙届</t>
  </si>
  <si>
    <t>笑妈妈</t>
  </si>
  <si>
    <t>佳佳能</t>
  </si>
  <si>
    <t>万和</t>
  </si>
  <si>
    <t>乐扣</t>
  </si>
  <si>
    <t>恩希爱</t>
  </si>
  <si>
    <t>好膜膜</t>
  </si>
  <si>
    <t>世韩</t>
  </si>
  <si>
    <t>亿美</t>
  </si>
  <si>
    <t>佳能保鲜膜</t>
  </si>
  <si>
    <t>旭保</t>
  </si>
  <si>
    <t>洁而雅</t>
  </si>
  <si>
    <t>旭包装</t>
  </si>
  <si>
    <t>美丽雅保鲜膜</t>
  </si>
  <si>
    <t>巧手</t>
  </si>
  <si>
    <t>佳洁士</t>
  </si>
  <si>
    <t>一帆</t>
  </si>
  <si>
    <t>春暄</t>
  </si>
  <si>
    <t>南亞</t>
  </si>
  <si>
    <t>易优家</t>
  </si>
  <si>
    <t>清亮</t>
  </si>
  <si>
    <t>洁派</t>
  </si>
  <si>
    <t>洁莱雅</t>
  </si>
  <si>
    <t>3n</t>
  </si>
  <si>
    <t>阳光</t>
  </si>
  <si>
    <t>佳节</t>
  </si>
  <si>
    <t>鑫锋</t>
  </si>
  <si>
    <t>妙可</t>
  </si>
  <si>
    <t>妈妈一选</t>
  </si>
  <si>
    <t>八千行</t>
  </si>
  <si>
    <t>美嘉儿</t>
  </si>
  <si>
    <t>佳丽</t>
  </si>
  <si>
    <t>美丽呀</t>
  </si>
  <si>
    <t>可爱多</t>
  </si>
  <si>
    <t>脱普</t>
  </si>
  <si>
    <t>博仕之家</t>
  </si>
  <si>
    <t>美丽</t>
  </si>
  <si>
    <t>优+能的</t>
  </si>
  <si>
    <t>博士之家</t>
  </si>
  <si>
    <t>奇颠</t>
  </si>
  <si>
    <t>优+能</t>
  </si>
  <si>
    <t>PE</t>
  </si>
  <si>
    <t>无</t>
  </si>
  <si>
    <t>马头912</t>
  </si>
  <si>
    <t>雷洛兹</t>
  </si>
  <si>
    <t>联华</t>
  </si>
  <si>
    <t>三星</t>
  </si>
  <si>
    <t>旭宝鲜</t>
  </si>
  <si>
    <t>美尔雅</t>
  </si>
  <si>
    <t>洁妙</t>
  </si>
  <si>
    <t>立鲜</t>
  </si>
  <si>
    <t>爱之佳</t>
  </si>
  <si>
    <t>秒结</t>
  </si>
  <si>
    <t>思高</t>
  </si>
  <si>
    <t>京惠思</t>
  </si>
  <si>
    <t>鑫天地</t>
  </si>
  <si>
    <t>优芬</t>
  </si>
  <si>
    <t>和则兴</t>
  </si>
  <si>
    <t>美甲难</t>
  </si>
  <si>
    <t>GLAD佳能</t>
  </si>
  <si>
    <t>妙诘</t>
  </si>
  <si>
    <t>幸福</t>
  </si>
  <si>
    <t>洁丽</t>
  </si>
  <si>
    <t>南亚牌</t>
  </si>
  <si>
    <t>RGB(211,211,211)</t>
    <phoneticPr fontId="4" type="noConversion"/>
  </si>
  <si>
    <t>重視要素(MA)</t>
  </si>
  <si>
    <t>重視要素(三つまで)</t>
  </si>
  <si>
    <t>瀋陽</t>
    <phoneticPr fontId="4" type="noConversion"/>
  </si>
  <si>
    <t>武漢</t>
    <phoneticPr fontId="4" type="noConversion"/>
  </si>
  <si>
    <t>平均</t>
    <phoneticPr fontId="4" type="noConversion"/>
  </si>
  <si>
    <t>1</t>
    <phoneticPr fontId="4" type="noConversion"/>
  </si>
  <si>
    <t>2</t>
    <phoneticPr fontId="4" type="noConversion"/>
  </si>
  <si>
    <t>3</t>
  </si>
  <si>
    <t>4</t>
  </si>
  <si>
    <t>5</t>
  </si>
  <si>
    <t>6</t>
  </si>
  <si>
    <t>7</t>
  </si>
  <si>
    <t>8</t>
  </si>
  <si>
    <t>Q2 下記「保鮮膜」ブランドに関して、ご存知のものすべてお知らせください。（MA）</t>
  </si>
  <si>
    <t/>
  </si>
  <si>
    <t xml:space="preserve">"+++"0.0_ </t>
    <phoneticPr fontId="4" type="noConversion"/>
  </si>
  <si>
    <t xml:space="preserve">"---"0.0_ </t>
    <phoneticPr fontId="4" type="noConversion"/>
  </si>
  <si>
    <t>A,a</t>
    <phoneticPr fontId="4" type="noConversion"/>
  </si>
  <si>
    <t>B,b</t>
    <phoneticPr fontId="4" type="noConversion"/>
  </si>
  <si>
    <t>C,c</t>
    <phoneticPr fontId="4" type="noConversion"/>
  </si>
  <si>
    <t>D,d</t>
    <phoneticPr fontId="4" type="noConversion"/>
  </si>
  <si>
    <t>E,e</t>
    <phoneticPr fontId="4" type="noConversion"/>
  </si>
  <si>
    <t>A,a</t>
  </si>
  <si>
    <t>B,b</t>
  </si>
  <si>
    <t>C,c</t>
  </si>
  <si>
    <t>D,d</t>
  </si>
  <si>
    <t>E,e</t>
  </si>
  <si>
    <t>https://keisan.casio.jp/exec/user/1491916580</t>
    <phoneticPr fontId="4" type="noConversion"/>
  </si>
  <si>
    <t>机会分布数据
（外部-专家访谈）</t>
    <phoneticPr fontId="4" type="noConversion"/>
  </si>
  <si>
    <t>1_电商在销售渠道地位凸显</t>
    <phoneticPr fontId="4" type="noConversion"/>
  </si>
  <si>
    <t>2_国内消费者信息指数攀升</t>
    <phoneticPr fontId="4" type="noConversion"/>
  </si>
  <si>
    <t>3_电子商务交易额迅速增长</t>
    <phoneticPr fontId="4" type="noConversion"/>
  </si>
  <si>
    <t>4_通过电商加强用户资源管理</t>
    <phoneticPr fontId="4" type="noConversion"/>
  </si>
  <si>
    <t>5_国家政策的扶持</t>
    <phoneticPr fontId="4" type="noConversion"/>
  </si>
  <si>
    <t>P(1)</t>
    <phoneticPr fontId="4" type="noConversion"/>
  </si>
  <si>
    <t>P(2)</t>
    <phoneticPr fontId="4" type="noConversion"/>
  </si>
  <si>
    <t>P(3)</t>
    <phoneticPr fontId="4" type="noConversion"/>
  </si>
  <si>
    <t>P(4)</t>
    <phoneticPr fontId="4" type="noConversion"/>
  </si>
  <si>
    <t>P(5)</t>
    <phoneticPr fontId="4" type="noConversion"/>
  </si>
  <si>
    <t>A(1)</t>
    <phoneticPr fontId="4" type="noConversion"/>
  </si>
  <si>
    <t>A(2)</t>
    <phoneticPr fontId="4" type="noConversion"/>
  </si>
  <si>
    <t>A(3)</t>
    <phoneticPr fontId="4" type="noConversion"/>
  </si>
  <si>
    <t>A(4)</t>
    <phoneticPr fontId="4" type="noConversion"/>
  </si>
  <si>
    <t>A(5)</t>
    <phoneticPr fontId="4" type="noConversion"/>
  </si>
  <si>
    <t>δ1</t>
    <phoneticPr fontId="4" type="noConversion"/>
  </si>
  <si>
    <t>δ2</t>
    <phoneticPr fontId="4" type="noConversion"/>
  </si>
  <si>
    <t>δ3</t>
    <phoneticPr fontId="4" type="noConversion"/>
  </si>
  <si>
    <t>δ4</t>
    <phoneticPr fontId="4" type="noConversion"/>
  </si>
  <si>
    <t>δ5</t>
    <phoneticPr fontId="4" type="noConversion"/>
  </si>
  <si>
    <t>V1</t>
    <phoneticPr fontId="4" type="noConversion"/>
  </si>
  <si>
    <t>V2</t>
  </si>
  <si>
    <t>V3</t>
  </si>
  <si>
    <t>V4</t>
  </si>
  <si>
    <t>V5</t>
  </si>
  <si>
    <t>=($A2-B$7)^2</t>
    <phoneticPr fontId="4" type="noConversion"/>
  </si>
  <si>
    <t>=SQRT(SUMPRODUCT(G2:G6,L2:L6))</t>
    <phoneticPr fontId="4" type="noConversion"/>
  </si>
  <si>
    <t>=Q2/B7</t>
    <phoneticPr fontId="4" type="noConversion"/>
  </si>
  <si>
    <t>=Q2/B7</t>
    <phoneticPr fontId="4" type="noConversion"/>
  </si>
  <si>
    <t>=Q2/B7</t>
    <phoneticPr fontId="4" type="noConversion"/>
  </si>
  <si>
    <t>* 分值越大表明对该购物中心影响越大</t>
    <phoneticPr fontId="4" type="noConversion"/>
  </si>
  <si>
    <t>威胁分布数据
（外部-专家访谈）</t>
    <phoneticPr fontId="4" type="noConversion"/>
  </si>
  <si>
    <t>1_激烈的市场竞争</t>
    <phoneticPr fontId="4" type="noConversion"/>
  </si>
  <si>
    <t>2_电子商务诚信制度未完善</t>
    <phoneticPr fontId="4" type="noConversion"/>
  </si>
  <si>
    <t>3_网络安全缺乏坚实保障</t>
    <phoneticPr fontId="4" type="noConversion"/>
  </si>
  <si>
    <t>优势分布数据
（内部-消费者调研）</t>
    <phoneticPr fontId="4" type="noConversion"/>
  </si>
  <si>
    <t>1_实例强大的实体商城</t>
    <phoneticPr fontId="4" type="noConversion"/>
  </si>
  <si>
    <t>2_消费者信誉良好</t>
    <phoneticPr fontId="4" type="noConversion"/>
  </si>
  <si>
    <t>3_良好的企业形象</t>
    <phoneticPr fontId="4" type="noConversion"/>
  </si>
  <si>
    <t>4_透明化的贴心服务</t>
    <phoneticPr fontId="4" type="noConversion"/>
  </si>
  <si>
    <t>劣势分布数据
（内部-消费者调研）</t>
    <phoneticPr fontId="4" type="noConversion"/>
  </si>
  <si>
    <t>1_缺乏电商运营经验</t>
    <phoneticPr fontId="4" type="noConversion"/>
  </si>
  <si>
    <t>2_缺少网购消费者群体</t>
    <phoneticPr fontId="4" type="noConversion"/>
  </si>
  <si>
    <t>3_网站建设不完整</t>
    <phoneticPr fontId="4" type="noConversion"/>
  </si>
  <si>
    <t>4_物流体系未真正建成</t>
    <phoneticPr fontId="4" type="noConversion"/>
  </si>
  <si>
    <t>W2</t>
  </si>
  <si>
    <t>W3</t>
  </si>
  <si>
    <t>W4</t>
  </si>
  <si>
    <t>W5</t>
  </si>
  <si>
    <t>WM2</t>
  </si>
  <si>
    <t>WM3</t>
  </si>
  <si>
    <t>WM4</t>
  </si>
  <si>
    <t>WM5</t>
  </si>
  <si>
    <t>W1</t>
    <phoneticPr fontId="4" type="noConversion"/>
  </si>
  <si>
    <t>WM1</t>
    <phoneticPr fontId="4" type="noConversion"/>
  </si>
  <si>
    <t>P(1)</t>
  </si>
  <si>
    <t>A(1)</t>
  </si>
  <si>
    <t>P(2)</t>
  </si>
  <si>
    <t>A(2)</t>
  </si>
  <si>
    <t>P(3)</t>
  </si>
  <si>
    <t>A(3)</t>
  </si>
  <si>
    <t>P(4)</t>
  </si>
  <si>
    <t>A(4)</t>
  </si>
  <si>
    <t>P(5)</t>
  </si>
  <si>
    <t>A(5)</t>
  </si>
  <si>
    <t>delta(1)</t>
  </si>
  <si>
    <t>delta(2)</t>
  </si>
  <si>
    <t>delta(3)</t>
  </si>
  <si>
    <t>v(1)</t>
    <phoneticPr fontId="4" type="noConversion"/>
  </si>
  <si>
    <t>v(2)</t>
    <phoneticPr fontId="4" type="noConversion"/>
  </si>
  <si>
    <t>v(3)</t>
  </si>
  <si>
    <t>v(4)</t>
  </si>
  <si>
    <t>v(5)</t>
  </si>
  <si>
    <t>w(1)</t>
  </si>
  <si>
    <t>w(2)</t>
  </si>
  <si>
    <t>w(3)</t>
  </si>
  <si>
    <t>w(4)</t>
  </si>
  <si>
    <t>w(5)</t>
  </si>
  <si>
    <t>vw(1)</t>
  </si>
  <si>
    <t>vw(2)</t>
  </si>
  <si>
    <t>vw(3)</t>
  </si>
  <si>
    <t>vw(4)</t>
  </si>
  <si>
    <t>vw(5)</t>
  </si>
  <si>
    <t>arr_vw_ttl</t>
  </si>
  <si>
    <t>v(1)</t>
    <phoneticPr fontId="4" type="noConversion"/>
  </si>
  <si>
    <t>v(2)</t>
    <phoneticPr fontId="4" type="noConversion"/>
  </si>
  <si>
    <t>P(1)</t>
    <phoneticPr fontId="4" type="noConversion"/>
  </si>
  <si>
    <t>A(1)</t>
    <phoneticPr fontId="4" type="noConversion"/>
  </si>
  <si>
    <t>delta(1)</t>
    <phoneticPr fontId="4" type="noConversion"/>
  </si>
  <si>
    <t>P(2)</t>
    <phoneticPr fontId="4" type="noConversion"/>
  </si>
  <si>
    <t>A(2)</t>
    <phoneticPr fontId="4" type="noConversion"/>
  </si>
  <si>
    <t>P(3)</t>
    <phoneticPr fontId="4" type="noConversion"/>
  </si>
  <si>
    <t>A(3)</t>
    <phoneticPr fontId="4" type="noConversion"/>
  </si>
  <si>
    <t>v(3)</t>
    <phoneticPr fontId="4" type="noConversion"/>
  </si>
  <si>
    <t>w(1)</t>
    <phoneticPr fontId="4" type="noConversion"/>
  </si>
  <si>
    <t>w(2)</t>
    <phoneticPr fontId="4" type="noConversion"/>
  </si>
  <si>
    <t>w(3)</t>
    <phoneticPr fontId="4" type="noConversion"/>
  </si>
  <si>
    <t>vw(1)</t>
    <phoneticPr fontId="4" type="noConversion"/>
  </si>
  <si>
    <t>vw(2)</t>
    <phoneticPr fontId="4" type="noConversion"/>
  </si>
  <si>
    <t>vw(3)</t>
    <phoneticPr fontId="4" type="noConversion"/>
  </si>
  <si>
    <t>arr_vw_ttl</t>
    <phoneticPr fontId="4" type="noConversion"/>
  </si>
  <si>
    <t>材料安心/においがない</t>
  </si>
  <si>
    <t>電子レンジ安心</t>
  </si>
  <si>
    <t>材料安心/においがない n=1250</t>
  </si>
  <si>
    <t>鮮度保持 n=1250</t>
  </si>
  <si>
    <t>ニオイを通さない n=1250</t>
  </si>
  <si>
    <t>お皿にくっつきやすい n=1250</t>
  </si>
  <si>
    <t>丈夫・破れにくい n=1250</t>
  </si>
  <si>
    <t>はりがあり n=1250</t>
  </si>
  <si>
    <t>女性　北京　子供0-6ヶ月</t>
  </si>
  <si>
    <t>女性　北京　子供7-12ヶ月</t>
  </si>
  <si>
    <t>女性　上海　子供0-6ヶ月</t>
  </si>
  <si>
    <t>女性　上海　子供7-12ヶ月</t>
  </si>
  <si>
    <t>女性　広州　子供0-6ヶ月</t>
  </si>
  <si>
    <t>女性　広州　子供7-12ヶ月</t>
  </si>
  <si>
    <t>女性　深セン　子供0-6ヶ月</t>
  </si>
  <si>
    <t>女性　深セン　子供7-12ヶ月</t>
  </si>
  <si>
    <t>深セン</t>
  </si>
  <si>
    <t>,,,,,,,22,27,32,37,</t>
  </si>
  <si>
    <t>あなたの性別と年齢をお知らせください。（SA)</t>
  </si>
  <si>
    <t>男性:不到20歳</t>
  </si>
  <si>
    <t>男性:20－24歳</t>
  </si>
  <si>
    <t>男性:25－29歳</t>
  </si>
  <si>
    <t>男性:30－34歳</t>
  </si>
  <si>
    <t>男性:35－39歳</t>
  </si>
  <si>
    <t>男性:40歳以上</t>
  </si>
  <si>
    <t>女性:不到20歳</t>
  </si>
  <si>
    <t>女性:20－24歳</t>
  </si>
  <si>
    <t>女性:25－29歳</t>
  </si>
  <si>
    <t>女性:30－34歳</t>
  </si>
  <si>
    <t>女性:35－39歳</t>
  </si>
  <si>
    <t>女性:40歳以上</t>
  </si>
  <si>
    <t>S3S1</t>
  </si>
  <si>
    <t>あなたの個人月収 と世帯月収 をお知らせください。（税込み） （MSA）</t>
  </si>
  <si>
    <t>S3S2</t>
  </si>
  <si>
    <t>現在、あなたには、【ご自身のお子さま】 がいらっしゃいますか。
いらっしゃる方は、あなたのお子さまの人数 をお答えください。（SA）</t>
  </si>
  <si>
    <t>1人</t>
  </si>
  <si>
    <t>2人</t>
  </si>
  <si>
    <t>3人以上</t>
  </si>
  <si>
    <t>（自身の）子供はいない</t>
  </si>
  <si>
    <t>S5S1</t>
  </si>
  <si>
    <t>前問で自身のお子様 が【いる】 とお答えの方にお聞きします。お子さまの年齢 をお教えください。（MSA)※同居している場合に限ります。</t>
  </si>
  <si>
    <t>1人目のお子さま</t>
  </si>
  <si>
    <t>生後0ヶ月～7ヶ月未満</t>
  </si>
  <si>
    <t>7ヶ月～12ヶ月未満</t>
  </si>
  <si>
    <t>1歳～1歳6ヶ月未満</t>
  </si>
  <si>
    <t>1歳6ヶ月～2歳未満</t>
  </si>
  <si>
    <t>2歳～3歳未満</t>
  </si>
  <si>
    <t>3歳～4歳未満</t>
  </si>
  <si>
    <t>4歳～5歳未満</t>
  </si>
  <si>
    <t>5歳～6歳未満</t>
  </si>
  <si>
    <t>6歳～7歳未満</t>
  </si>
  <si>
    <t>7歳～8歳未満</t>
  </si>
  <si>
    <t>8歳以上</t>
  </si>
  <si>
    <t>お子様とは同居していない</t>
  </si>
  <si>
    <t>S5S2</t>
  </si>
  <si>
    <t>末子のお子さま</t>
  </si>
  <si>
    <t>S6S1</t>
  </si>
  <si>
    <t>以下のあなたのお子さまの性別 をそれぞれお答えください。 （MSA）</t>
  </si>
  <si>
    <t>男の子</t>
  </si>
  <si>
    <t>女の子</t>
  </si>
  <si>
    <t>S6S2</t>
  </si>
  <si>
    <t>S7S1</t>
  </si>
  <si>
    <t>お宅には、いま保有・使用しているものをすべてお知らせください。（MA）
その中購入を決定 、もしくは購入決定に参加した ものをお知らせください。（MA）</t>
  </si>
  <si>
    <t>保有・使用している</t>
  </si>
  <si>
    <t>ベビーベッド</t>
  </si>
  <si>
    <t>マイカー</t>
  </si>
  <si>
    <t>チャイルドシート</t>
  </si>
  <si>
    <t>ベビーカー</t>
  </si>
  <si>
    <t>空気清浄機</t>
  </si>
  <si>
    <t>歩行器</t>
  </si>
  <si>
    <t>ベビーチェア</t>
  </si>
  <si>
    <t>上記あてはまらない</t>
  </si>
  <si>
    <t>S7S2</t>
  </si>
  <si>
    <t>その中購入決定、もしくは購入決定を参加したもの</t>
  </si>
  <si>
    <t>「ベビーカー」 に関してどんな、ブランド を思い出せますか。（自由回答）</t>
  </si>
  <si>
    <t>Q1S1 [   ]</t>
  </si>
  <si>
    <t>Q1S2 [   ]</t>
  </si>
  <si>
    <t>Q1S3 [   ]</t>
  </si>
  <si>
    <t>Q1S4 [   ]</t>
  </si>
  <si>
    <t>Q1S5 [   ]</t>
  </si>
  <si>
    <t>下記「ベビーカー」ブランド  に関して、ご存知のものすべて お知らせください。（MA）</t>
  </si>
  <si>
    <t xml:space="preserve">好孩子 Goodbaby </t>
  </si>
  <si>
    <t>愛貝麗 i-believe</t>
  </si>
  <si>
    <t>葛莱 GRACO</t>
  </si>
  <si>
    <t>宝得適 Britax</t>
  </si>
  <si>
    <t>阿普麗佳 Aprica</t>
  </si>
  <si>
    <t>瑞凱威 RECARO</t>
  </si>
  <si>
    <t>巧児宜 Joie</t>
  </si>
  <si>
    <t>康貝 Combi</t>
  </si>
  <si>
    <t>小龍哈彼 HAPPY DINO</t>
  </si>
  <si>
    <t>安児適</t>
  </si>
  <si>
    <t>英吉利那 Inglesina</t>
  </si>
  <si>
    <t>唯楽宝 Welebao</t>
  </si>
  <si>
    <t>昆塔斯 Quintus</t>
  </si>
  <si>
    <t xml:space="preserve">babycare </t>
  </si>
  <si>
    <t>童歌 babysing</t>
  </si>
  <si>
    <t>金宝 JINBAO</t>
  </si>
  <si>
    <t>威凱 VIKI</t>
  </si>
  <si>
    <t>晨輝 CH BABY</t>
  </si>
  <si>
    <t>小天使 angel</t>
  </si>
  <si>
    <t>YUYU 悠悠</t>
  </si>
  <si>
    <t>貝麗可 belecoo</t>
  </si>
  <si>
    <t>智児楽 wisesonle</t>
  </si>
  <si>
    <t>瑪格羅蘭 Maclaren</t>
  </si>
  <si>
    <t xml:space="preserve">cybex </t>
  </si>
  <si>
    <t>億宝莱 yibaolai</t>
  </si>
  <si>
    <t>貝龍児 Babyruler</t>
  </si>
  <si>
    <t>宝宝好 BBH</t>
  </si>
  <si>
    <t>薈智 Huizhi</t>
  </si>
  <si>
    <t>聖得貝 Seebaby</t>
  </si>
  <si>
    <t>博格歩 bugaboo</t>
  </si>
  <si>
    <t>多宝貝 Doux Bebe</t>
  </si>
  <si>
    <t xml:space="preserve">easy walker </t>
  </si>
  <si>
    <t>Q3S1</t>
  </si>
  <si>
    <t>あなたは下記ブランド に対してどんなイメージ をお持ちですか。（MMA）</t>
  </si>
  <si>
    <t>グッドベビーGoodbaby</t>
  </si>
  <si>
    <t>有名な・メジャーブランド</t>
  </si>
  <si>
    <t>プロフェッショナル</t>
  </si>
  <si>
    <t>ファッショナブル</t>
  </si>
  <si>
    <t>品質がよい</t>
  </si>
  <si>
    <t>安全な</t>
  </si>
  <si>
    <t>品格がある</t>
  </si>
  <si>
    <t>大衆化な</t>
  </si>
  <si>
    <t>機能が充実している</t>
  </si>
  <si>
    <t>耐久性がよい</t>
  </si>
  <si>
    <t>商品設計が人間に優しい</t>
  </si>
  <si>
    <t>商品ラインアップが豊富</t>
  </si>
  <si>
    <t>新商品が多い</t>
  </si>
  <si>
    <t>外観設計(構造)がよい</t>
  </si>
  <si>
    <t>色が組合わせがよい</t>
  </si>
  <si>
    <t>アフターサービスがよい</t>
  </si>
  <si>
    <t>コストパフォマンスがよい</t>
  </si>
  <si>
    <t>店頭店員の説明が充分</t>
  </si>
  <si>
    <t>広告がよく見当たる</t>
  </si>
  <si>
    <t>沢山の人が使っているのを見た</t>
  </si>
  <si>
    <t>Q3S2</t>
  </si>
  <si>
    <t>愛貝麗i-believe</t>
  </si>
  <si>
    <t>Q3S3</t>
  </si>
  <si>
    <t>グレコGRACO</t>
  </si>
  <si>
    <t>Q3S4</t>
  </si>
  <si>
    <t>ブリタックスBritax</t>
  </si>
  <si>
    <t>Q3S5</t>
  </si>
  <si>
    <t>アップリカAprica</t>
  </si>
  <si>
    <t>Q3S6</t>
  </si>
  <si>
    <t>ジョイーJoie</t>
  </si>
  <si>
    <t>Q3S7</t>
  </si>
  <si>
    <t>コンビCombi</t>
  </si>
  <si>
    <t>Q3S8</t>
  </si>
  <si>
    <t>クィントゥスQuintus</t>
  </si>
  <si>
    <t>Q3S9</t>
  </si>
  <si>
    <t>Q4S1</t>
  </si>
  <si>
    <t>あなたは下記ブランドに対して、最も近い 項目をお選びください。（MSA）</t>
  </si>
  <si>
    <t>好き、購入の主要候補で、他人にも推薦</t>
  </si>
  <si>
    <t>Q4S2</t>
  </si>
  <si>
    <t>Q4S3</t>
  </si>
  <si>
    <t>Q4S4</t>
  </si>
  <si>
    <t>Q4S5</t>
  </si>
  <si>
    <t>Q4S6</t>
  </si>
  <si>
    <t>Q4S7</t>
  </si>
  <si>
    <t>Q4S8</t>
  </si>
  <si>
    <t>Q4S9</t>
  </si>
  <si>
    <t>1,2,3.5</t>
  </si>
  <si>
    <t>あなたは「ベビーカー」 は何台 お持ちですか。（SA）</t>
  </si>
  <si>
    <t>１台</t>
  </si>
  <si>
    <t>２台</t>
  </si>
  <si>
    <t>３台以上</t>
  </si>
  <si>
    <t>あなたは保有している「ベビーカー」  の種類 をお知らせください。（SA）</t>
  </si>
  <si>
    <t>　　　　　　　　　　　　　　　　１台目</t>
  </si>
  <si>
    <t>推車</t>
  </si>
  <si>
    <t>傘車</t>
  </si>
  <si>
    <t>　　　　　　　　　　　　　　　　２台目</t>
  </si>
  <si>
    <t>Q6S3</t>
  </si>
  <si>
    <t>　　　　　　　　　　　　　　３台目以上</t>
  </si>
  <si>
    <t>【【推車（平らにリクライニングできる）】 に関する】】【【傘車（平らにリクライニングできない） に関する】】 あなたがご利用している「ベビーカー推車」  のブランド をお知らせください。（SA)
注：複数をお持ちする場合、主に使用しているものの状況をお答えください。</t>
  </si>
  <si>
    <t>その他（国産）：[   ]</t>
  </si>
  <si>
    <t>その他（海外ブランド）：[   ]</t>
  </si>
  <si>
    <t>Q7_40FA</t>
  </si>
  <si>
    <t>Q7_40 その他（国産）：[   ]</t>
  </si>
  <si>
    <t>Q7_41FA</t>
  </si>
  <si>
    <t>Q7_41 その他（海外ブランド）：[   ]</t>
  </si>
  <si>
    <t>【【推車】 に関する】】【【傘車 に関する】】 あなたが主にご利用している 【Q7的选择内容】  に関して、下記当てはまるものをお知らせください。（MA）</t>
  </si>
  <si>
    <t>四輪</t>
  </si>
  <si>
    <t>三輪</t>
  </si>
  <si>
    <t>ハイビュー</t>
  </si>
  <si>
    <t>対面・背面両方推せる</t>
  </si>
  <si>
    <t>カゴははずせる</t>
  </si>
  <si>
    <t>平らに倒せる（角度調整）</t>
  </si>
  <si>
    <t>大車輪</t>
  </si>
  <si>
    <t>風・雨防止カバー付</t>
  </si>
  <si>
    <t>【【推車】 に関する】】【【傘車 に関する】】 あなたが主にご利用している【Q7的选择内容】に関して、どんなタイミングで用意されましたか。（SA）</t>
  </si>
  <si>
    <t>出産前 4～6ケ月</t>
  </si>
  <si>
    <t>出産前 0～3ケ月</t>
  </si>
  <si>
    <t>子供 0～3ケ月未満</t>
  </si>
  <si>
    <t>子供 4～6ケ月未満</t>
  </si>
  <si>
    <t>子供 7～12ケ月未満</t>
  </si>
  <si>
    <t>【【推車】 に関する】】【【傘車 に関する】】 あなたが主にご利用している【Q7的选择内容】の入手経路をお知らせください。（SA）</t>
  </si>
  <si>
    <t>新品を購入した</t>
  </si>
  <si>
    <t>新品をプレゼントとしてもらった</t>
  </si>
  <si>
    <t>中古品を購入した</t>
  </si>
  <si>
    <t>他人からのお下がりもの</t>
  </si>
  <si>
    <t>その他 具体的に：[   ]</t>
  </si>
  <si>
    <t>Q10_5 その他 具体的に：[   ]</t>
  </si>
  <si>
    <t>Q11S1</t>
  </si>
  <si>
    <t>【【推車】 に関する】】【【傘車 に関する】】あなたが主にご利用している【Q7的选择内容】に関して、商品情報入手と購買はそれぞれどこで行いましたか。（MMA）</t>
  </si>
  <si>
    <t>商品情報確認</t>
  </si>
  <si>
    <t>リアル店舗</t>
  </si>
  <si>
    <t>ウェブサイト</t>
  </si>
  <si>
    <t>Q11S2</t>
  </si>
  <si>
    <t>購買</t>
  </si>
  <si>
    <t>【【推車】 に関する】】【【傘車 に関する】】 あなたが主にご利用している【Q7的选择内容】に関して、具体的にどんなリアル店舗 で商品情報確認もしくは購入 されましたか。（MMA）</t>
  </si>
  <si>
    <t>ショッピングモール　ベビーカーブランド専門店</t>
  </si>
  <si>
    <t>ショッピングモール　マザーベビー商品専門店</t>
  </si>
  <si>
    <t>百貨店　ベビーカーブランド専門店</t>
  </si>
  <si>
    <t>百貨店　マザーベビー商品専門店</t>
  </si>
  <si>
    <t>路面　ベビーカーブランド専門店</t>
  </si>
  <si>
    <t>路面　マザーベビー商品専門店</t>
  </si>
  <si>
    <t>ハイパーマーケット</t>
  </si>
  <si>
    <t>Q13S1</t>
  </si>
  <si>
    <t>【【推車】 に関する】】【【傘車 に関する】】 あなたが主にご利用している【Q7的选择内容】に関して、具体的にウェイブサイト で商品情報確認もしくは購入 されましたか。（MMA）</t>
  </si>
  <si>
    <t>天猫　T-mall.com</t>
  </si>
  <si>
    <t>タオバオ　Taobao.com</t>
  </si>
  <si>
    <t>京東　JD.com</t>
  </si>
  <si>
    <t>一号店　YHD.com</t>
  </si>
  <si>
    <t>アマゾン amazon.cn</t>
  </si>
  <si>
    <t>ブランドホームページ</t>
  </si>
  <si>
    <t>海外通販サイト</t>
  </si>
  <si>
    <t>唯品会</t>
  </si>
  <si>
    <t>Q13S2</t>
  </si>
  <si>
    <t>【【推車】 に関する】】【【傘車 に関する】】 あなたが主に購入された【Q7的选择内容】の金額 をお知らせください。（SA）</t>
  </si>
  <si>
    <t>200元未満</t>
  </si>
  <si>
    <t>200～400元未満</t>
  </si>
  <si>
    <t>400～600元未満</t>
  </si>
  <si>
    <t>600～800元未満</t>
  </si>
  <si>
    <t>800～1000元未満</t>
  </si>
  <si>
    <t>1000～1200元未満</t>
  </si>
  <si>
    <t>1200～1400元未満</t>
  </si>
  <si>
    <t>1400～1600元未満</t>
  </si>
  <si>
    <t>1600～1800元未満</t>
  </si>
  <si>
    <t>1800～2000元未満</t>
  </si>
  <si>
    <t>2000～2200元未満</t>
  </si>
  <si>
    <t>2200～2400元未満</t>
  </si>
  <si>
    <t>2400～2600元未満</t>
  </si>
  <si>
    <t>2600～2800元未満</t>
  </si>
  <si>
    <t>2800～3000元未満</t>
  </si>
  <si>
    <t>3000～3500元未満</t>
  </si>
  <si>
    <t>3500～4000元未満</t>
  </si>
  <si>
    <t>4000～4500元未満</t>
  </si>
  <si>
    <t>4500～5000元未満</t>
  </si>
  <si>
    <t>5000元以上</t>
  </si>
  <si>
    <t>【【推車】 に関する】】【【傘車 に関する】】 あなたが主に購入された【Q7的选择内容】を購入した際、重視する項目 をお知らせください。（MMA）
その中、最も重視する項目をお知らせください。（MA三つまで）</t>
  </si>
  <si>
    <t>重視する</t>
  </si>
  <si>
    <t>最重視(3つまで)</t>
  </si>
  <si>
    <t>【【推車】 に関する】】【【傘車 に関する】】 あなたが購入された【Q7的选择内容】を購入した際、当初商品機能面では重視する項目を思い出してください。（MMA）</t>
  </si>
  <si>
    <t>[本体]車体が丈夫</t>
  </si>
  <si>
    <t>[本体]重量が低い</t>
  </si>
  <si>
    <t>[本体]クッションがよい</t>
  </si>
  <si>
    <t>[本体]クリーニングしやすい</t>
  </si>
  <si>
    <t>[車輪]押しやすい・動きがよい</t>
  </si>
  <si>
    <t>[車輪]厚い</t>
  </si>
  <si>
    <t>[車輪]大きい</t>
  </si>
  <si>
    <t>[シート]角度調整しやすい</t>
  </si>
  <si>
    <t>[シート]１８０°平らかに倒せる</t>
  </si>
  <si>
    <t>[シート]クッションがよい</t>
  </si>
  <si>
    <t>[シート]通気性がよい</t>
  </si>
  <si>
    <t>[シート]高さが高い</t>
  </si>
  <si>
    <t>[シート]幅の広さが充分</t>
  </si>
  <si>
    <t>[ハンドル]高さがちょうどよい</t>
  </si>
  <si>
    <t>[ハンドル]高さが調整できる</t>
  </si>
  <si>
    <t>[ハンドル]方向をコントロールしやすい</t>
  </si>
  <si>
    <t>[ハンドル]片手でも推しやすい</t>
  </si>
  <si>
    <t>[ハンドル]対面・背面の両方で使える</t>
  </si>
  <si>
    <t>[畳む]たたんだ後コンパクト</t>
  </si>
  <si>
    <t>[畳む]折り畳みやすい（片手でできないが）</t>
  </si>
  <si>
    <t>[畳む]片手で折り畳める</t>
  </si>
  <si>
    <t>[畳む]たたんだ時に自立する</t>
  </si>
  <si>
    <t>[畳む]たたんだ後携帯しやすい</t>
  </si>
  <si>
    <t>[畳む]たたんで背負うことできる</t>
  </si>
  <si>
    <t>[その他]雨・風防止カバーの取り扱いが簡単</t>
  </si>
  <si>
    <t>[その他]外国産である</t>
  </si>
  <si>
    <t>[その他]国産である</t>
  </si>
  <si>
    <t>[その他]中国国家標準認定商品</t>
  </si>
  <si>
    <t>[その他]欧州・米国標準認定商品</t>
  </si>
  <si>
    <t>[その他]３歳まで使える</t>
  </si>
  <si>
    <t>[その他]４歳まで使える</t>
  </si>
  <si>
    <t>[その他]雨・風防止カバー収納後コンパクト</t>
  </si>
  <si>
    <t>[その他]コップささえがついている</t>
  </si>
  <si>
    <t>[その他]幌の遮光角度がよい</t>
  </si>
  <si>
    <t>[その他]幌に天窓がついている</t>
  </si>
  <si>
    <t>[その他]下の収納カゴがたくさんものおける</t>
  </si>
  <si>
    <t>[その他]シートベルト設計がよい</t>
  </si>
  <si>
    <t>[その他]ブレーキの設計がよい</t>
  </si>
  <si>
    <t>その他　具体的に：[   ]　</t>
  </si>
  <si>
    <t>Q16_39FA</t>
  </si>
  <si>
    <t>Q16_39 その他　具体的に：[   ]　</t>
  </si>
  <si>
    <t xml:space="preserve">【【推車】 に関する】】【【傘車 に関する】】 あなたが購入された【Q7的选择内容】を購入した際、当初商品機能面では最も重視する項目を三つまでお知らせください。（MA三つまで） </t>
  </si>
  <si>
    <t>Q17_39FA</t>
  </si>
  <si>
    <t>Q17_39 その他　具体的に：[   ]　</t>
  </si>
  <si>
    <t>【【推車】 に関する】】【【傘車 に関する】】もし今後あなたが購入するとしたら、商品機能面では重視する項目をお知らせください。</t>
  </si>
  <si>
    <t>Q18_39FA</t>
  </si>
  <si>
    <t>Q18_39 その他　具体的に：[   ]　</t>
  </si>
  <si>
    <t>1,2,3,4,5</t>
  </si>
  <si>
    <t>【【推車】 に関する】】【【傘車 に関する】】 現在ご使用している【Q7的选择内容】について、満足 していますか？_x000D_
項目別で当てはまるものをお知らせください。（MSA）</t>
  </si>
  <si>
    <t>安全面</t>
  </si>
  <si>
    <t>クッション面</t>
  </si>
  <si>
    <t>押しやすさ</t>
  </si>
  <si>
    <t>Q19S4</t>
  </si>
  <si>
    <t>使い勝手（折り畳みなど）</t>
  </si>
  <si>
    <t>Q19S5</t>
  </si>
  <si>
    <t>軽さ（同類商品比）</t>
  </si>
  <si>
    <t>Q19S6</t>
  </si>
  <si>
    <t>体積が適合（同類商品比）</t>
  </si>
  <si>
    <t>Q19S7</t>
  </si>
  <si>
    <t>【【推車】 に関する】】【【傘車 に関する】】 現在ご使用している【Q7的选择内容】のは普段主にどこにおいてありますか。（SA）</t>
  </si>
  <si>
    <t>リヴィングルーム</t>
  </si>
  <si>
    <t>寝室</t>
  </si>
  <si>
    <t>玄関（室内）</t>
  </si>
  <si>
    <t>ベランダー</t>
  </si>
  <si>
    <t>門外（廊下）</t>
  </si>
  <si>
    <t>貯蔵室</t>
  </si>
  <si>
    <t>車のトランク</t>
  </si>
  <si>
    <t>コミュニティの車庫（スクーター・自転車）</t>
  </si>
  <si>
    <t>Q20_9FA</t>
  </si>
  <si>
    <t>Q20_9 その他（具体的に：[   ]）</t>
  </si>
  <si>
    <t>【【推車】 に関する】】【【傘車 に関する】】 現在ご使用している【Q7的选择内容】のは普段主どんな形でおいていますか。（SA）</t>
  </si>
  <si>
    <t>畳んだまま</t>
  </si>
  <si>
    <t>開いたまま</t>
  </si>
  <si>
    <t>あなたがベビーカーもって子供を連れて外出する時、主にどんな交通手段を利用されますか。（SA）</t>
  </si>
  <si>
    <t>タクシー</t>
  </si>
  <si>
    <t>地下鉄</t>
  </si>
  <si>
    <t>バス</t>
  </si>
  <si>
    <t>Q22_5FA</t>
  </si>
  <si>
    <t>Q22_5 その他（具体的に：[   ]）</t>
  </si>
  <si>
    <t>いま同居している人をお知らせください。（MA）</t>
  </si>
  <si>
    <t>旦那</t>
  </si>
  <si>
    <t>親（自分or旦那の）</t>
  </si>
  <si>
    <t>お手伝いさん</t>
  </si>
  <si>
    <t>Q23_4FA</t>
  </si>
  <si>
    <t>Q23_4 その他（具体的に：[   ]）</t>
  </si>
  <si>
    <t>家庭全員を含め、下記どんなシーンでよくベビーカーを利用されていますか。 （MA）</t>
  </si>
  <si>
    <t>散歩する</t>
  </si>
  <si>
    <t>日差しを浴びる</t>
  </si>
  <si>
    <t>子供をあやす</t>
  </si>
  <si>
    <t>ショッピングしに行く使う</t>
  </si>
  <si>
    <t>レストランに行く時使う</t>
  </si>
  <si>
    <t>ハイキング・遊園地に行く時使う</t>
  </si>
  <si>
    <t>医院に行く時使う</t>
  </si>
  <si>
    <t>殆ど使わない・当てはまるものがない</t>
  </si>
  <si>
    <t>下記利用シーンについて、それぞれどんな時間帯で利用されていますか。 （MMA）</t>
  </si>
  <si>
    <t>[平日] 朝</t>
  </si>
  <si>
    <t>[平日] 昼</t>
  </si>
  <si>
    <t>[平日] 晩</t>
  </si>
  <si>
    <t>[休日] 朝</t>
  </si>
  <si>
    <t>[休日] 昼</t>
  </si>
  <si>
    <t>[休日] 晩</t>
  </si>
  <si>
    <t>子供をあやして寝る</t>
  </si>
  <si>
    <t>下記利用シーンの中、最も頻度高い、第二、第三はそれぞれどれですか。 （MSA）</t>
  </si>
  <si>
    <t>頻度１位</t>
  </si>
  <si>
    <t>[平日] 朝   散歩する</t>
  </si>
  <si>
    <t>[平日] 朝   日差しを浴びる</t>
  </si>
  <si>
    <t>[平日] 朝   子供をあやして寝る</t>
  </si>
  <si>
    <t>[平日] 朝   ショッピングしに行く使う</t>
  </si>
  <si>
    <t>[平日] 朝   レストランに行く時使う</t>
  </si>
  <si>
    <t>[平日] 朝   ハイキング・遊園地に行く時使う</t>
  </si>
  <si>
    <t>[平日] 昼   散歩する</t>
  </si>
  <si>
    <t>[平日] 昼   日差しを浴びる</t>
  </si>
  <si>
    <t>[平日] 昼   子供をあやして寝る</t>
  </si>
  <si>
    <t>[平日] 昼   ショッピングしに行く使う</t>
  </si>
  <si>
    <t>[平日] 昼   レストランに行く時使う</t>
  </si>
  <si>
    <t>[平日] 昼   ハイキング・遊園地に行く時使う</t>
  </si>
  <si>
    <t>[平日] 夜   散歩する</t>
  </si>
  <si>
    <t>[平日] 夜   日差しを浴びる</t>
  </si>
  <si>
    <t>[平日] 夜   子供をあやして寝る</t>
  </si>
  <si>
    <t>[平日] 夜   ショッピングしに行く使う</t>
  </si>
  <si>
    <t>[平日] 夜   レストランに行く時使う</t>
  </si>
  <si>
    <t>[平日] 夜   ハイキング・遊園地に行く時使う</t>
  </si>
  <si>
    <t>[休日] 朝   散歩する</t>
  </si>
  <si>
    <t>[休日] 朝   日差しを浴びる</t>
  </si>
  <si>
    <t>[休日] 朝   子供をあやして寝る</t>
  </si>
  <si>
    <t>[休日] 朝   ショッピングしに行く使う</t>
  </si>
  <si>
    <t>[休日] 朝   レストランに行く時使う</t>
  </si>
  <si>
    <t>[休日] 朝   ハイキング・遊園地に行く時使う</t>
  </si>
  <si>
    <t>[休日] 昼   散歩する</t>
  </si>
  <si>
    <t>[休日] 昼   日差しを浴びる</t>
  </si>
  <si>
    <t>[休日] 昼   子供をあやして寝る</t>
  </si>
  <si>
    <t>[休日] 昼   ショッピングしに行く使う</t>
  </si>
  <si>
    <t>[休日] 昼   レストランに行く時使う</t>
  </si>
  <si>
    <t>[休日] 昼   ハイキング・遊園地に行く時使う</t>
  </si>
  <si>
    <t>[休日] 夜   散歩する</t>
  </si>
  <si>
    <t>[休日] 夜   日差しを浴びる</t>
  </si>
  <si>
    <t>[休日] 夜   子供をあやして寝る</t>
  </si>
  <si>
    <t>[休日] 夜   ショッピングしに行く使う</t>
  </si>
  <si>
    <t>[休日] 夜   レストランに行く時使う</t>
  </si>
  <si>
    <t>[休日] 夜   ハイキング・遊園地に行く時使う</t>
  </si>
  <si>
    <t>頻度２位</t>
  </si>
  <si>
    <t>頻度３位</t>
  </si>
  <si>
    <t>下記利用シーンの中、それぞれ主にどなたがベビーカーを使っていますか。 （MSA）</t>
  </si>
  <si>
    <t>私</t>
  </si>
  <si>
    <t>親</t>
  </si>
  <si>
    <t>Q27S10</t>
  </si>
  <si>
    <t>Q27S11</t>
  </si>
  <si>
    <t>Q27S12</t>
  </si>
  <si>
    <t>Q27S13</t>
  </si>
  <si>
    <t>Q27S14</t>
  </si>
  <si>
    <t>Q27S15</t>
  </si>
  <si>
    <t>Q27S16</t>
  </si>
  <si>
    <t>Q27S17</t>
  </si>
  <si>
    <t>Q27S18</t>
  </si>
  <si>
    <t>Q27S19</t>
  </si>
  <si>
    <t>Q27S20</t>
  </si>
  <si>
    <t>Q27S21</t>
  </si>
  <si>
    <t>Q27S22</t>
  </si>
  <si>
    <t>Q27S23</t>
  </si>
  <si>
    <t>Q27S24</t>
  </si>
  <si>
    <t>Q27S25</t>
  </si>
  <si>
    <t>Q27S26</t>
  </si>
  <si>
    <t>Q27S27</t>
  </si>
  <si>
    <t>Q27S28</t>
  </si>
  <si>
    <t>Q27S29</t>
  </si>
  <si>
    <t>Q27S30</t>
  </si>
  <si>
    <t>Q27S31</t>
  </si>
  <si>
    <t>Q27S32</t>
  </si>
  <si>
    <t>Q27S33</t>
  </si>
  <si>
    <t>Q27S34</t>
  </si>
  <si>
    <t>Q27S35</t>
  </si>
  <si>
    <t>Q27S36</t>
  </si>
  <si>
    <t>あなたが今ご使用している「ベビーカー」に関して、大きなキャンペーンに合わして、購入時期を決めているかどうか、当てはまるものをお知らせください。（SA）注：例えば、双11、618、国慶節、元旦などオンライン、オフライン等、ただそれらに限らない。</t>
  </si>
  <si>
    <t>キャンペーンがあるかどうか考えずに購入した</t>
  </si>
  <si>
    <t>キャンペーンがあるまで待てずに購入した</t>
  </si>
  <si>
    <t>キャンペーンの時期を待て、購入した</t>
  </si>
  <si>
    <t>あなたが今ご使用している「ベビーカー」に関して、どんなキャンペーンをまって、購入しましたか。（SA）
注：下記キャンペーンはオンライン、オフライン両方含まれるものとお考えください。</t>
  </si>
  <si>
    <t>双11</t>
  </si>
  <si>
    <t>双12</t>
  </si>
  <si>
    <t>国慶節</t>
  </si>
  <si>
    <t>労働節</t>
  </si>
  <si>
    <t>元旦/クリスマス</t>
  </si>
  <si>
    <t>38婦人節</t>
  </si>
  <si>
    <t>児童節</t>
  </si>
  <si>
    <t>Q29_9FA</t>
  </si>
  <si>
    <t>Q29_9 その他（具体的に：[   ]）</t>
  </si>
  <si>
    <t>あなたが今ご使用している「ベビーカー」に関して、どんなキャンペーンを待てなかったか。（SA）
注：下記キャンペーンはオンライン、オフライン両方含まれるものとお考えください。</t>
  </si>
  <si>
    <t>Q30_9FA</t>
  </si>
  <si>
    <t>Q30_9 その他（具体的に：[   ]）</t>
  </si>
  <si>
    <t>FAL</t>
  </si>
  <si>
    <t>Q31FA</t>
  </si>
  <si>
    <t>ベビーカーを使用中で、どんな時に楽しい、幸せと感じましたか。 （FA）
何でもいいですから、できれば詳しく下記にご記入ください。</t>
  </si>
  <si>
    <t>Q32FA</t>
  </si>
  <si>
    <t>ベビーカーを使用中で、どんな時に苦しい、辛いと感じましたか。 （FA）
何でもいいですから、できれば詳しく下記にご記入ください。</t>
  </si>
  <si>
    <t>あなたが「インフライトストローラー」とご存知ですか、興味をお持ちですか、当てはまるものをお知らせください。（SA）
注：インフライトストローラーとは、飛行機機内に持ち込めるサイズに折り畳むことができるコンパクトなベビーカーである。</t>
  </si>
  <si>
    <t>知らない・興味がない</t>
  </si>
  <si>
    <t>知らない・興味がある</t>
  </si>
  <si>
    <t>知っている・興味がない</t>
  </si>
  <si>
    <t>知っている・興味がある</t>
  </si>
  <si>
    <t>使用している「推車」はまさに「インフライトストローラー」である</t>
  </si>
  <si>
    <t>使用している「傘車」はまさに「インフライトストローラー」である</t>
  </si>
  <si>
    <t>Q34FA</t>
  </si>
  <si>
    <t>なぜインフライトストローラーに興味を持ちましたか（例えば：期待するポイント、使用するシーン、注意を引かれるとことなど、ただそれらには限らない）　（FA）
何でもいいですから、できれば詳しく下記にご記入ください。</t>
  </si>
  <si>
    <t>Q35</t>
  </si>
  <si>
    <t>ベビーカーの「安全性」について、下記の中、重要な項目を三つまでお知らせください。（MA三つまで）</t>
  </si>
  <si>
    <t>車体が丈夫</t>
  </si>
  <si>
    <t>体積が大きい・重量が重い</t>
  </si>
  <si>
    <t>衝撃に強い・丈夫</t>
  </si>
  <si>
    <t>材料が安心・においがない・ホルムアルデヒド無し</t>
  </si>
  <si>
    <t>平穏・転ばない</t>
  </si>
  <si>
    <t>ストッパーの設計がよい</t>
  </si>
  <si>
    <t>クッションがよい</t>
  </si>
  <si>
    <t>産業検定基準・認定を取れている</t>
  </si>
  <si>
    <t>車体方向をコントロールしやすい</t>
  </si>
  <si>
    <t>車輪の動きがよい</t>
  </si>
  <si>
    <t>車輪滑りを防止できる</t>
  </si>
  <si>
    <t>車輪が大きい</t>
  </si>
  <si>
    <t>子供を観察することができる</t>
  </si>
  <si>
    <t>手すりが押しやすい</t>
  </si>
  <si>
    <t>シートベルトの設計が合理</t>
  </si>
  <si>
    <t>高景観・シートが高い</t>
  </si>
  <si>
    <t>Q35_17FA</t>
  </si>
  <si>
    <t>Q35_17 その他（具体的に：[   ]）</t>
  </si>
  <si>
    <t>Q36</t>
  </si>
  <si>
    <t>下記ベビーカーのアクセサリー・設計について、もしメーカー設計・生産のものであれば、ご興味があるものをお知らせください。 （MA）</t>
  </si>
  <si>
    <t>夜間蛍光テープ</t>
  </si>
  <si>
    <t>安全紐（保護者の手とベービーカー）</t>
  </si>
  <si>
    <t>蚊や</t>
  </si>
  <si>
    <t>夏用ござ</t>
  </si>
  <si>
    <t>保温布団</t>
  </si>
  <si>
    <t>新生児用クッション敷物</t>
  </si>
  <si>
    <t>雨用カバー</t>
  </si>
  <si>
    <t>日差しカバー</t>
  </si>
  <si>
    <t>温度・湿度計</t>
  </si>
  <si>
    <t>飲み物置き用（二人分）</t>
  </si>
  <si>
    <t>衣服収納かばん（ベビーカーにかけられる）</t>
  </si>
  <si>
    <t>底バスケットの仕切り</t>
  </si>
  <si>
    <t>臨時置きポケット（携帯・ハンカチ・眼鏡等）</t>
  </si>
  <si>
    <t>フック</t>
  </si>
  <si>
    <t>ママ用バッグ</t>
  </si>
  <si>
    <t>食事用プレート（取り外し可）</t>
  </si>
  <si>
    <t>Q37</t>
  </si>
  <si>
    <t>その他　具体的に：[   ]</t>
  </si>
  <si>
    <t>Q37_16FA</t>
  </si>
  <si>
    <t>Q37_16 その他　具体的に：[   ]</t>
  </si>
  <si>
    <t>Q38</t>
  </si>
  <si>
    <t>現在、あなたのお住まいの類型をお知らせください。（SA）</t>
  </si>
  <si>
    <t>新式マンション</t>
  </si>
  <si>
    <t>古いアパート</t>
  </si>
  <si>
    <t>ホテルサービス式マンション</t>
  </si>
  <si>
    <t>別荘</t>
  </si>
  <si>
    <t>Q38_5FA</t>
  </si>
  <si>
    <t>Q38_5 その他　具体的に：[   ]</t>
  </si>
  <si>
    <t>Q39</t>
  </si>
  <si>
    <t>現在、あなたのお住まいの階数とエレベーターの有無をお知らせください。（SA）</t>
  </si>
  <si>
    <t>[エレベーター無]  １階</t>
  </si>
  <si>
    <t>[エレベーター無]  ２階</t>
  </si>
  <si>
    <t>[エレベーター無]  ３階</t>
  </si>
  <si>
    <t>[エレベーター無]  ４階</t>
  </si>
  <si>
    <t>[エレベーター無]  ５階</t>
  </si>
  <si>
    <t>[エレベーター無]  ６階</t>
  </si>
  <si>
    <t>[エレベーター無]  ７階以上</t>
  </si>
  <si>
    <t>[エレベーター有]  １階</t>
  </si>
  <si>
    <t>[エレベーター有]  ２階</t>
  </si>
  <si>
    <t>[エレベーター有]  ３階</t>
  </si>
  <si>
    <t>[エレベーター有]  ４階</t>
  </si>
  <si>
    <t>[エレベーター有]  ５階</t>
  </si>
  <si>
    <t>[エレベーター有]  ６階</t>
  </si>
  <si>
    <t>[エレベーター有]  ７階以上</t>
  </si>
  <si>
    <t>Q40</t>
  </si>
  <si>
    <t>現在、あなたが保有する車の種類をお知らせください。（SA）</t>
  </si>
  <si>
    <t>軽自動車 （例えば：QQ、アルト、スマート）</t>
  </si>
  <si>
    <t>小型自動車（例えば：フィットサルーン、セイル、ポロ、スイフト、フォード・フィエスタ等）</t>
  </si>
  <si>
    <t>小型乗用車 （例えば：フォルクスワーゲン・ジェッタ、トヨタ・カローラ、シビック、フォード・フォーカス、シルフィ等）</t>
  </si>
  <si>
    <t>普通自動車（例えば：マゴタン、アコード、パサート、ライツ、フォード・モンデオ、トヨタ・カムリ等）</t>
  </si>
  <si>
    <t>中型自動車（例えば：アウディ・A6、（BMW）5シリーズ、ベンツeクラス、クラウン、ボルボS90、キャデラックXTS等）</t>
  </si>
  <si>
    <t xml:space="preserve">高級乗用車(例えば：アウディ・A8、（BMW）７シリーズ、ベンツｓクラス、ジャガーXJ等） </t>
  </si>
  <si>
    <t>SUV</t>
  </si>
  <si>
    <t>MPV</t>
  </si>
  <si>
    <t>Q40_9FA</t>
  </si>
  <si>
    <t>Q40_9 その他　具体的に：[   ]</t>
  </si>
  <si>
    <t>推孩子散步</t>
  </si>
  <si>
    <t>请回答您居住的城市。(单选)</t>
  </si>
  <si>
    <t>深圳</t>
  </si>
  <si>
    <t>请回答您的性别及年龄。(单选)</t>
  </si>
  <si>
    <t>男性:不到20周岁</t>
  </si>
  <si>
    <t>男性:20－24周岁</t>
  </si>
  <si>
    <t>男性:25－29周岁</t>
  </si>
  <si>
    <t>男性:30－34周岁</t>
  </si>
  <si>
    <t>男性:35－39周岁</t>
  </si>
  <si>
    <t>男性:40周岁及以上</t>
  </si>
  <si>
    <t>女性:不到20周岁</t>
  </si>
  <si>
    <t>女性:20－24周岁</t>
  </si>
  <si>
    <t>女性:25－29周岁</t>
  </si>
  <si>
    <t>女性:30－34周岁</t>
  </si>
  <si>
    <t>女性:35－39周岁</t>
  </si>
  <si>
    <t>女性:40周岁及以上</t>
  </si>
  <si>
    <t>请回答您的个人月收入 及家庭月收入  。（含税）  (纵向单选)</t>
  </si>
  <si>
    <t>40,000元及以上</t>
  </si>
  <si>
    <t>您现在有【自己的孩子】 吗？
如果有，请问您的孩子共有几人？(单选)</t>
  </si>
  <si>
    <t>3人及以上</t>
  </si>
  <si>
    <t>没有（自己的）孩子</t>
  </si>
  <si>
    <t>如果您在上一题中回答有自己的孩子 ，请问您的孩子现在几岁了？ (纵向单选)※仅限孩子与您同住的情况。 如果与您同住的孩子达到“3人以上”，请针对年龄最大和最小的孩子作答。</t>
  </si>
  <si>
    <t>年龄最大的孩子</t>
  </si>
  <si>
    <t>出生0～7个月不到</t>
  </si>
  <si>
    <t>7个月～12个月不到</t>
  </si>
  <si>
    <t>1周岁～1周岁6个月不到</t>
  </si>
  <si>
    <t>1周岁6个月～不到2周岁</t>
  </si>
  <si>
    <t>2周岁～不到3周岁</t>
  </si>
  <si>
    <t>3周岁～不到4周岁</t>
  </si>
  <si>
    <t>4周岁～不到5周岁</t>
  </si>
  <si>
    <t>5周岁～不到6周岁</t>
  </si>
  <si>
    <t>6周岁～不到7周岁</t>
  </si>
  <si>
    <t>7周岁～不到8周岁</t>
  </si>
  <si>
    <t>8周岁及以上</t>
  </si>
  <si>
    <t>没有与该孩子共同居住</t>
  </si>
  <si>
    <t>年龄最小的孩子</t>
  </si>
  <si>
    <t>请分别选出您的孩子的性别 。(纵向单选)</t>
  </si>
  <si>
    <t>男孩</t>
  </si>
  <si>
    <t>女孩</t>
  </si>
  <si>
    <t>您现在拥有并且正在使用的商品有哪些？(可多选) 
其中，由您亲自决定购买 、或者参与决定过程的 商品有哪些？(可多选)</t>
  </si>
  <si>
    <t>拥有并且正在使用的商品</t>
  </si>
  <si>
    <t>婴儿床</t>
  </si>
  <si>
    <t>私家车</t>
  </si>
  <si>
    <t>汽车儿童座椅</t>
  </si>
  <si>
    <t>婴儿车</t>
  </si>
  <si>
    <t>空气净化器</t>
  </si>
  <si>
    <t>学步车</t>
  </si>
  <si>
    <t>婴儿椅</t>
  </si>
  <si>
    <t>以上皆无</t>
  </si>
  <si>
    <t>其中您亲自决定购买或者参与决定过程的商品</t>
  </si>
  <si>
    <t>关于“婴儿车” ，请问您能够想到哪些品牌 ？（自由回答）</t>
  </si>
  <si>
    <t>关于以下“婴儿车” 的品牌 ，请问有哪些是您所知道的？请选出所有相符的选项。(可多选)</t>
  </si>
  <si>
    <t xml:space="preserve">爱贝丽 i-believe </t>
  </si>
  <si>
    <t xml:space="preserve">葛莱 GRACO </t>
  </si>
  <si>
    <t xml:space="preserve">宝得适 Britax </t>
  </si>
  <si>
    <t xml:space="preserve">阿普丽佳 Aprica </t>
  </si>
  <si>
    <t xml:space="preserve">瑞凯威 RECARO </t>
  </si>
  <si>
    <t xml:space="preserve">巧儿宜 Joie </t>
  </si>
  <si>
    <t xml:space="preserve">Babyzen </t>
  </si>
  <si>
    <t xml:space="preserve">康贝 Combi </t>
  </si>
  <si>
    <t xml:space="preserve">小龙哈彼 HAPPY DINO </t>
  </si>
  <si>
    <t xml:space="preserve">安儿适 </t>
  </si>
  <si>
    <t xml:space="preserve">Pouch </t>
  </si>
  <si>
    <t xml:space="preserve">英吉利那 Inglesina </t>
  </si>
  <si>
    <t xml:space="preserve">STOKKE </t>
  </si>
  <si>
    <t xml:space="preserve">唯乐宝 Welebao </t>
  </si>
  <si>
    <t xml:space="preserve">昆塔斯 Quintus </t>
  </si>
  <si>
    <t xml:space="preserve">童歌 babysing </t>
  </si>
  <si>
    <t xml:space="preserve">金宝 JINBAO </t>
  </si>
  <si>
    <t xml:space="preserve">VINNG </t>
  </si>
  <si>
    <t xml:space="preserve">威凯 VIKI </t>
  </si>
  <si>
    <t xml:space="preserve">晨辉 CH BABY </t>
  </si>
  <si>
    <t xml:space="preserve">小天使 angel </t>
  </si>
  <si>
    <t xml:space="preserve">YUYU 悠悠 </t>
  </si>
  <si>
    <t xml:space="preserve">Freekids </t>
  </si>
  <si>
    <t xml:space="preserve">贝丽可 belecoo </t>
  </si>
  <si>
    <t xml:space="preserve">Quinny </t>
  </si>
  <si>
    <t xml:space="preserve">智儿乐 wisesonle </t>
  </si>
  <si>
    <t xml:space="preserve">玛格罗兰 Maclaren </t>
  </si>
  <si>
    <t xml:space="preserve">亿宝莱 yibaolai </t>
  </si>
  <si>
    <t xml:space="preserve">贝龙儿 Babyruler </t>
  </si>
  <si>
    <t xml:space="preserve">宝宝好 BBH </t>
  </si>
  <si>
    <t xml:space="preserve">elittile </t>
  </si>
  <si>
    <t xml:space="preserve">荟智 Huizhi </t>
  </si>
  <si>
    <t xml:space="preserve">圣得贝 Seebaby </t>
  </si>
  <si>
    <t xml:space="preserve">博格步 bugaboo </t>
  </si>
  <si>
    <t xml:space="preserve">多宝贝 Doux Bebe </t>
  </si>
  <si>
    <t xml:space="preserve">easy walker  </t>
  </si>
  <si>
    <t>您对于以下品牌 分别持有哪些印象？(纵向可多选)</t>
  </si>
  <si>
    <t>好孩子Goodbaby</t>
  </si>
  <si>
    <t>有名的/大品牌</t>
  </si>
  <si>
    <t>专业的</t>
  </si>
  <si>
    <t>时尚的</t>
  </si>
  <si>
    <t>质量好的</t>
  </si>
  <si>
    <t>安全的</t>
  </si>
  <si>
    <t>有品位的</t>
  </si>
  <si>
    <t>大众化的</t>
  </si>
  <si>
    <t>功能多的</t>
  </si>
  <si>
    <t>耐用的</t>
  </si>
  <si>
    <t>设计人性化的</t>
  </si>
  <si>
    <t>产品种类丰富的</t>
  </si>
  <si>
    <t>新产品多的</t>
  </si>
  <si>
    <t>外观结构形状好看</t>
  </si>
  <si>
    <t>颜色搭配好看</t>
  </si>
  <si>
    <t>售后服务好的</t>
  </si>
  <si>
    <t>性价比高的</t>
  </si>
  <si>
    <t>店铺导购解释到位</t>
  </si>
  <si>
    <t>看到很多人用</t>
  </si>
  <si>
    <t>爱贝丽i-believe</t>
  </si>
  <si>
    <t>葛莱GRACO</t>
  </si>
  <si>
    <t>宝得适Britax</t>
  </si>
  <si>
    <t>阿普丽佳Aprica</t>
  </si>
  <si>
    <t>巧儿宜Joie</t>
  </si>
  <si>
    <t>康贝Combi</t>
  </si>
  <si>
    <t>昆塔斯Quintus</t>
  </si>
  <si>
    <t>关于以下品牌，您认为与您的想法最接近的 是哪一项?(纵向单选)</t>
  </si>
  <si>
    <t>喜欢，且是主要候选，并会积极推荐给其他人</t>
  </si>
  <si>
    <t>您所拥有的“婴儿车”  一共有几台 ？(单选)</t>
  </si>
  <si>
    <t>３台及以上</t>
  </si>
  <si>
    <t>您所拥有的 “婴儿车”  属于哪个类型 ？(横向单选)</t>
  </si>
  <si>
    <t>　　　　　　　　　　　　　　　　第１台</t>
  </si>
  <si>
    <t>推车</t>
  </si>
  <si>
    <t>伞车</t>
  </si>
  <si>
    <t>　　　　　　　　　　　　　　　　第２台</t>
  </si>
  <si>
    <t>　　　　　　　　　　　　　　第３台及以上</t>
  </si>
  <si>
    <t>【【关于推车（座椅可调节平躺）】】 【【关于伞车（座椅无法调节平躺）】】 您所拥有的“婴儿推车”  属于哪个品牌 ？(单选)  
注：如果拥有若干台，请针对主要使用的那台作答。</t>
  </si>
  <si>
    <t>其他（国产）：[   ]</t>
  </si>
  <si>
    <t>其他（海外品牌）：[   ]</t>
  </si>
  <si>
    <t>不知道/不清楚</t>
  </si>
  <si>
    <t>Q7_40 其他（国产）：[   ]</t>
  </si>
  <si>
    <t>Q7_41 其他（海外品牌）：[   ]</t>
  </si>
  <si>
    <t>【关于推车】 您主要使用的【【Q7的选择内容】】  与以下哪些项目相符？(可多选)</t>
  </si>
  <si>
    <t>四轮</t>
  </si>
  <si>
    <t>三轮</t>
  </si>
  <si>
    <t>可双向推</t>
  </si>
  <si>
    <t>提篮式</t>
  </si>
  <si>
    <t>可平躺（调节角度）</t>
  </si>
  <si>
    <t>大车轮</t>
  </si>
  <si>
    <t>带防风/防雨罩</t>
  </si>
  <si>
    <t>【【关于推车】】 【【关于伞车】】  您主要使用的【【Q7的选择内容】】是在婴儿多大的时候准备好的？(单选)</t>
  </si>
  <si>
    <t>出生前 4～6个月</t>
  </si>
  <si>
    <t>出生前 0～3个月</t>
  </si>
  <si>
    <t>出生后 3个月以内</t>
  </si>
  <si>
    <t>出生后 4～6个月</t>
  </si>
  <si>
    <t>出生后 7～12个月</t>
  </si>
  <si>
    <t>【【关于推车】】 【【关于伞车】】 您主要使用的【【Q7的选择内容】】是通过什么渠道获得的？(单选)</t>
  </si>
  <si>
    <t>购买的新品</t>
  </si>
  <si>
    <t>别人送的礼物（全新的）</t>
  </si>
  <si>
    <t>购买的二手推车</t>
  </si>
  <si>
    <t>别人给的二手推车</t>
  </si>
  <si>
    <t>其他　具体指：[   ]</t>
  </si>
  <si>
    <t>Q10_5 其他　具体指：[   ]</t>
  </si>
  <si>
    <t>【【关于推车】】 【【关于伞车】】 您主要使用的【【Q7的选择内容】】分别是在哪里获得商品信息以及在哪里购买的呢？(纵向可多选)</t>
  </si>
  <si>
    <t>确认商品信息</t>
  </si>
  <si>
    <t>实体店</t>
  </si>
  <si>
    <t>网站</t>
  </si>
  <si>
    <t>购买</t>
  </si>
  <si>
    <t>【【关于推车】】 【【关于伞车】】 您主要使用的【【Q7的选择内容】】具体是在哪家实体店 确认商品信息或进行购买的？(纵向可多选)</t>
  </si>
  <si>
    <t>购物中心 品牌专卖店</t>
  </si>
  <si>
    <t>购物中心 母婴类产品专卖店</t>
  </si>
  <si>
    <t>百货店 品牌专卖店</t>
  </si>
  <si>
    <t>百货店 母婴类产品专卖店</t>
  </si>
  <si>
    <t>沿街 品牌专卖店</t>
  </si>
  <si>
    <t>沿街 母婴类产品专卖店</t>
  </si>
  <si>
    <t>大卖场</t>
  </si>
  <si>
    <t>【【关于推车】】 【【关于伞车】】  您主要使用的【【Q7的选择内容】】具体是在哪个网站 中确认商品信息或进行购买的？(纵向可多选)</t>
  </si>
  <si>
    <t>一号店</t>
  </si>
  <si>
    <t>亚马逊</t>
  </si>
  <si>
    <t>品牌官方网站</t>
  </si>
  <si>
    <t>海淘网站</t>
  </si>
  <si>
    <t>【【关于推车】】 【【关于伞车】】 您主要使用的【【Q7的选择内容】】的价格 是多少？(单选)</t>
  </si>
  <si>
    <t>不到200元</t>
  </si>
  <si>
    <t>200～不到400元</t>
  </si>
  <si>
    <t>400～不到600元</t>
  </si>
  <si>
    <t>600～不到800元</t>
  </si>
  <si>
    <t>800～不到1000元</t>
  </si>
  <si>
    <t>1000～不到1200元</t>
  </si>
  <si>
    <t>1200～不到1400元</t>
  </si>
  <si>
    <t>1400～不到1600元</t>
  </si>
  <si>
    <t>1600～不到1800元</t>
  </si>
  <si>
    <t>1800～不到2000元</t>
  </si>
  <si>
    <t>2000～不到2200元</t>
  </si>
  <si>
    <t>2200～不到2400元</t>
  </si>
  <si>
    <t>2400～不到2600元</t>
  </si>
  <si>
    <t>2600～不到2800元</t>
  </si>
  <si>
    <t>2800～不到3000元</t>
  </si>
  <si>
    <t>3000～不到3500元</t>
  </si>
  <si>
    <t>3500～不到4000元</t>
  </si>
  <si>
    <t>4000～不到4500元</t>
  </si>
  <si>
    <t>4500～不到5000元</t>
  </si>
  <si>
    <t>5000元及以上</t>
  </si>
  <si>
    <t>【【关于推车】】 【【关于伞车】】  您在购买主要使用的【【Q7的选择内容】】时，重视的因素 有哪些？(纵向可多选)其中，您最重视的因素有哪些？（3项以内）</t>
  </si>
  <si>
    <t>重视的因素</t>
  </si>
  <si>
    <t>最重视的因素(3项以内)</t>
  </si>
  <si>
    <t>【【关于推车】】 【【关于伞车】】 您在购买主要使用的【【Q7的选择内容】】时，在商品的功能方面重视的因素有哪些？(可多选)</t>
  </si>
  <si>
    <t>车身结实</t>
  </si>
  <si>
    <t>车身轻</t>
  </si>
  <si>
    <t>车身避震好</t>
  </si>
  <si>
    <t>车身材料易清洁</t>
  </si>
  <si>
    <t>车轮灵活/易推</t>
  </si>
  <si>
    <t>车轮厚</t>
  </si>
  <si>
    <t>车轮大/通过性好</t>
  </si>
  <si>
    <t>座位角度调整方便</t>
  </si>
  <si>
    <t>座位可以180°平躺</t>
  </si>
  <si>
    <t>座位避震好</t>
  </si>
  <si>
    <t>座位的透气性好</t>
  </si>
  <si>
    <t>座位的高度高</t>
  </si>
  <si>
    <t>座位的宽度足够</t>
  </si>
  <si>
    <t>推车把手高度正好</t>
  </si>
  <si>
    <t>推车把手高度可调节</t>
  </si>
  <si>
    <t>推车易掌控方向</t>
  </si>
  <si>
    <t>把手易于单手推行</t>
  </si>
  <si>
    <t>可以正反两个方向推</t>
  </si>
  <si>
    <t>折叠后体积小</t>
  </si>
  <si>
    <t>收开车方便(虽无法单手操作)</t>
  </si>
  <si>
    <t>可单手收车折叠</t>
  </si>
  <si>
    <t>折叠后可自立不倒</t>
  </si>
  <si>
    <t>折叠后携带方便</t>
  </si>
  <si>
    <t>折叠后可以背着</t>
  </si>
  <si>
    <t>防风/防雨罩容易安装</t>
  </si>
  <si>
    <t>外国产地</t>
  </si>
  <si>
    <t>国产</t>
  </si>
  <si>
    <t>中国国家标准认可产品</t>
  </si>
  <si>
    <t>符合欧洲/美国标准认可产品</t>
  </si>
  <si>
    <t>可以使用到３岁</t>
  </si>
  <si>
    <t>可以使用到４岁</t>
  </si>
  <si>
    <t>防风/防雨罩收纳后体积小</t>
  </si>
  <si>
    <t>有水杯架</t>
  </si>
  <si>
    <t>遮阳棚角度好</t>
  </si>
  <si>
    <t>遮阳棚有天窗(可观察到孩子)</t>
  </si>
  <si>
    <t>车底置物篮能放的东西多</t>
  </si>
  <si>
    <t>安全带设计合理</t>
  </si>
  <si>
    <t>刹车设计好</t>
  </si>
  <si>
    <t>其他　具体指：[   ]　</t>
  </si>
  <si>
    <t>Q16_39 其他　具体指：[   ]　</t>
  </si>
  <si>
    <t>【【关于推车】】 【【关于伞车】】  您在购买主要使用的【【Q7的选择内容】】时，在商品的功能方面最重视的因素有哪些？（多选3项以内）</t>
  </si>
  <si>
    <t>Q17_39 其他　具体指：[   ]　</t>
  </si>
  <si>
    <t>【【关于推车】】 【【关于伞车】】  如果今后您购买的话，您在商品的功能方面重视的因素有哪些？(可多选)</t>
  </si>
  <si>
    <t>Q18_39 其他　具体指：[   ]　</t>
  </si>
  <si>
    <t>【【关于推车】】 【【关于伞车】】 您对于现在主要使用的【【Q7的选择内容】】感到满意 吗？ 
请分别选出最相符的一项。(横向单选)</t>
  </si>
  <si>
    <t>安全性</t>
  </si>
  <si>
    <t>完全不满意</t>
  </si>
  <si>
    <t>不好说</t>
  </si>
  <si>
    <t>基本满意</t>
  </si>
  <si>
    <t>非常满意</t>
  </si>
  <si>
    <t>避震性</t>
  </si>
  <si>
    <t>易推性</t>
  </si>
  <si>
    <t>折叠便利性</t>
  </si>
  <si>
    <t>轻巧性（同类产品比较）</t>
  </si>
  <si>
    <t>体积合适（同类产品比较）</t>
  </si>
  <si>
    <t>【【关于推车】】 【【关于伞车】】 请问您现在主要使用的【【Q7的选择内容】】一般是放在哪里的？（单选）</t>
  </si>
  <si>
    <t>客厅/饭厅</t>
  </si>
  <si>
    <t>卧室</t>
  </si>
  <si>
    <t>玄关（门内侧）</t>
  </si>
  <si>
    <t>阳台</t>
  </si>
  <si>
    <t>门外（走廊）</t>
  </si>
  <si>
    <t>储藏室</t>
  </si>
  <si>
    <t>汽车后备箱</t>
  </si>
  <si>
    <t>小区助动车库</t>
  </si>
  <si>
    <t>其他（请注明： [   ]）</t>
  </si>
  <si>
    <t>Q20_9 其他（请注明： [   ]）</t>
  </si>
  <si>
    <t>【【关于推车】】 【【关于伞车】】 您现在主要使用的【【Q7的选择内容】】一般放置时怎样的状态？（单选）</t>
  </si>
  <si>
    <t>折叠</t>
  </si>
  <si>
    <t>打开</t>
  </si>
  <si>
    <t>您带着孩子/推车外出的时候，主要采用哪种出行方式？（单选）</t>
  </si>
  <si>
    <t>自驾车</t>
  </si>
  <si>
    <t>出租车/网约车</t>
  </si>
  <si>
    <t>地铁</t>
  </si>
  <si>
    <t>公交车</t>
  </si>
  <si>
    <t>Q22_5 其他（请注明：[   ]）</t>
  </si>
  <si>
    <t>目前与您同住的都有哪些人。（可多选）</t>
  </si>
  <si>
    <t>丈夫</t>
  </si>
  <si>
    <t>双方的父母</t>
  </si>
  <si>
    <t>（住家）保姆/阿姨</t>
  </si>
  <si>
    <t>Q23_4 其他（请注明：[   ]）</t>
  </si>
  <si>
    <t>包括一起住的家庭成员，一般都会在哪些场景下使用婴儿车？ （可多选3个及以上）</t>
  </si>
  <si>
    <t>推着孩子晒太阳</t>
  </si>
  <si>
    <t>推车哄孩子</t>
  </si>
  <si>
    <t>推着孩子去逛街/购物</t>
  </si>
  <si>
    <t>推着孩子去餐厅吃饭</t>
  </si>
  <si>
    <t>去郊游/旅游时使用</t>
  </si>
  <si>
    <t>去医院/诊所时使用</t>
  </si>
  <si>
    <t>目前很少使用/以上均无</t>
  </si>
  <si>
    <t>（包括同住家庭成员）下面各种使用场景，分别使用的时间段是怎样的？ （横向可多选）
注：各场景，工作日/假日必须至少选1个</t>
  </si>
  <si>
    <t>[工作日] 早上</t>
  </si>
  <si>
    <t>[工作日] 中午</t>
  </si>
  <si>
    <t>[工作日] 晚上</t>
  </si>
  <si>
    <t>[假日] 早上</t>
  </si>
  <si>
    <t>[假日] 中午</t>
  </si>
  <si>
    <t>[假日] 晚上</t>
  </si>
  <si>
    <t>（包括同住家庭成员）下面使用场景中，使用频率最高的，次高的，第三的分别是哪些？ (横向单选)</t>
  </si>
  <si>
    <t>频率第一的</t>
  </si>
  <si>
    <t>[工作日]早上 推孩子散步</t>
  </si>
  <si>
    <t>[工作日]早上 推着孩子晒太阳</t>
  </si>
  <si>
    <t>[工作日]早上 推车哄孩子</t>
  </si>
  <si>
    <t>[工作日]早上 推着孩子去逛街/购物</t>
  </si>
  <si>
    <t>[工作日]早上 推着孩子去餐厅吃饭</t>
  </si>
  <si>
    <t>[工作日]早上 去郊游/旅游时使用</t>
  </si>
  <si>
    <t>[工作日]中午 推孩子散步</t>
  </si>
  <si>
    <t>[工作日]中午 推着孩子晒太阳</t>
  </si>
  <si>
    <t>[工作日]中午 推车哄孩子</t>
  </si>
  <si>
    <t>[工作日]中午 推着孩子去逛街/购物</t>
  </si>
  <si>
    <t>[工作日]中午 推着孩子去餐厅吃饭</t>
  </si>
  <si>
    <t>[工作日]中午 去郊游/旅游时使用</t>
  </si>
  <si>
    <t>[工作日]晚上 推孩子散步</t>
  </si>
  <si>
    <t>[工作日]晚上 推着孩子晒太阳</t>
  </si>
  <si>
    <t>[工作日]晚上 推车哄孩子</t>
  </si>
  <si>
    <t>[工作日]晚上 推着孩子去逛街/购物</t>
  </si>
  <si>
    <t>[工作日]晚上 推着孩子去餐厅吃饭</t>
  </si>
  <si>
    <t>[工作日]晚上 去郊游/旅游时使用</t>
  </si>
  <si>
    <t>[假日]早上 推孩子散步</t>
  </si>
  <si>
    <t>[假日]早上 推着孩子晒太阳</t>
  </si>
  <si>
    <t>[假日]早上 推车哄孩子</t>
  </si>
  <si>
    <t>[假日]早上 推着孩子去逛街/购物</t>
  </si>
  <si>
    <t>[假日]早上 推着孩子去餐厅吃饭</t>
  </si>
  <si>
    <t>[假日]早上 去郊游/旅游时使用</t>
  </si>
  <si>
    <t>[假日]中午 推孩子散步</t>
  </si>
  <si>
    <t>[假日]中午 推着孩子晒太阳</t>
  </si>
  <si>
    <t>[假日]中午 推车哄孩子</t>
  </si>
  <si>
    <t>[假日]中午 推着孩子去逛街/购物</t>
  </si>
  <si>
    <t>[假日]中午 推着孩子去餐厅吃饭</t>
  </si>
  <si>
    <t>[假日]中午 去郊游/旅游时使用</t>
  </si>
  <si>
    <t>[假日]晚上 推孩子散步</t>
  </si>
  <si>
    <t>[假日]晚上 推着孩子晒太阳</t>
  </si>
  <si>
    <t>[假日]晚上 推车哄孩子</t>
  </si>
  <si>
    <t>[假日]晚上 推着孩子去逛街/购物</t>
  </si>
  <si>
    <t>[假日]晚上 推着孩子去餐厅吃饭</t>
  </si>
  <si>
    <t>[假日]晚上 去郊游/旅游时使用</t>
  </si>
  <si>
    <t>频率第二的</t>
  </si>
  <si>
    <t>频率第三的</t>
  </si>
  <si>
    <t>下面各使用场景，分别主要是谁在使用婴儿车。 （横向单选）</t>
  </si>
  <si>
    <t>我</t>
  </si>
  <si>
    <t>关于您目前正在使用的婴儿车，当初您的购买时间是否受到了大型促销活动的影响？ （单选）
注：包括但不局限于 双11、618、国庆节、元旦等线上线下的大型促销活动。</t>
  </si>
  <si>
    <t>没有考虑是否有活动</t>
  </si>
  <si>
    <t>等不到有活动，就买了</t>
  </si>
  <si>
    <t>等到有活动，才买的</t>
  </si>
  <si>
    <t>您目前使用的“显示主使用品牌名”，是等到哪个促销活动季节再买的？（单选）
注：下面的活动均同时包含网络电商/实体门店。</t>
  </si>
  <si>
    <t>国庆节</t>
  </si>
  <si>
    <t>劳动节</t>
  </si>
  <si>
    <t>元旦/圣诞</t>
  </si>
  <si>
    <t>妇女节</t>
  </si>
  <si>
    <t>儿童节</t>
  </si>
  <si>
    <t>Q29_9 其他（请注明：[   ]）</t>
  </si>
  <si>
    <t>您目前主要使用的“婴儿车”，当初是放弃了哪个促销活动季节？（单选）
注：下面的活动均同时包含网络电商/实体门店。</t>
  </si>
  <si>
    <t>Q30_9 其他（请注明：[   ]）</t>
  </si>
  <si>
    <t>在使用婴儿车的所有过程中，有哪些的时候/场景会让您感到“开心的、幸福的”？ （文字填写）
什么都可以，请您尽量详细的填写在下面的对话框内。</t>
  </si>
  <si>
    <t>在使用婴儿车的所有过程中，有哪些的时候/场景会让您感到“糟糕的、辛苦的”？ （文字填写）
什么都可以，请您尽量详细的填写在下面的对话框内。</t>
  </si>
  <si>
    <t>请问您是否知道“可登机婴儿车”，是否对其感兴趣？（单选）
注：可登机婴儿车是指可以带上飞机的折叠的小型婴儿车。</t>
  </si>
  <si>
    <t>不知道，也不感兴趣</t>
  </si>
  <si>
    <t>不知道，但比较感兴趣</t>
  </si>
  <si>
    <t>知道，不感兴趣</t>
  </si>
  <si>
    <t>知道，且感兴趣</t>
  </si>
  <si>
    <t>现在用的就是“可登机推车”</t>
  </si>
  <si>
    <t>现在用的就是“可登机伞车”</t>
  </si>
  <si>
    <t>您为什么会对“可登机婴儿车”感兴趣？（比如但不局限于：哪些地方、使用场景值得您期待，哪些会引起您的注意）
什么都可以，请您尽量详细的填写在下面的对话框内。</t>
  </si>
  <si>
    <t>关于婴儿车的“安全性”，请选出您觉得重要的方面/要素。（可多选3个）</t>
  </si>
  <si>
    <t>车体牢固/结实</t>
  </si>
  <si>
    <t>体积大/重量重</t>
  </si>
  <si>
    <t>耐冲击/结实</t>
  </si>
  <si>
    <t>使用材料放心/无异味/无甲醛</t>
  </si>
  <si>
    <t>平稳/不会侧翻</t>
  </si>
  <si>
    <t>避震/缓冲好</t>
  </si>
  <si>
    <t>获取行业标准认证</t>
  </si>
  <si>
    <t>车体方向容易控制</t>
  </si>
  <si>
    <t>车轮灵活/易转向</t>
  </si>
  <si>
    <t>车轮防滑</t>
  </si>
  <si>
    <t>车轮大</t>
  </si>
  <si>
    <t>可以观察到孩子</t>
  </si>
  <si>
    <t>扶手/推手容易推</t>
  </si>
  <si>
    <t>高景观/座位高</t>
  </si>
  <si>
    <t>Q35_17 其他（请注明：[   ]）</t>
  </si>
  <si>
    <t>有关婴儿车的配件/设计，如果是原厂设计/生产的，下面您感兴趣的有哪些？（可多选）</t>
  </si>
  <si>
    <t>夜间警示用的发光贴纸</t>
  </si>
  <si>
    <t>拉手绳环（大人手与婴儿车间）</t>
  </si>
  <si>
    <t>蚊帐</t>
  </si>
  <si>
    <t>凉席</t>
  </si>
  <si>
    <t>保暖被套</t>
  </si>
  <si>
    <t>新生儿减震缓冲内垫</t>
  </si>
  <si>
    <t>雨罩</t>
  </si>
  <si>
    <t>遮阳伞</t>
  </si>
  <si>
    <t>温度湿度仪</t>
  </si>
  <si>
    <t>双水杯架（可置放大人饮料）</t>
  </si>
  <si>
    <t>临时衣服收纳挂包</t>
  </si>
  <si>
    <t>车底置物篮隔断</t>
  </si>
  <si>
    <t>临时储物包/夹层（置放手机/手帕/眼镜）</t>
  </si>
  <si>
    <t>挂钩</t>
  </si>
  <si>
    <t>妈妈包（推车专配）</t>
  </si>
  <si>
    <t>可拆卸用的餐盘</t>
  </si>
  <si>
    <t>请回答您的职业。(单选)</t>
  </si>
  <si>
    <t>专门职业（教师、医生、律师、会计师、建筑师等）</t>
  </si>
  <si>
    <t>其他 请注明：[   ]</t>
  </si>
  <si>
    <t>Q37_16 其他 请注明：[   ]</t>
  </si>
  <si>
    <t>请问您现在居住的房屋属于什么类型？(单选)</t>
  </si>
  <si>
    <t>新式公寓/次新公寓</t>
  </si>
  <si>
    <t>老公房</t>
  </si>
  <si>
    <t>酒店式公寓</t>
  </si>
  <si>
    <t>别墅（独栋/双拼）</t>
  </si>
  <si>
    <t>Q38_5 其他 请注明：[   ]</t>
  </si>
  <si>
    <t>请问您住在几楼？有没有电梯？(单选)</t>
  </si>
  <si>
    <t>[没有电梯]  1楼</t>
  </si>
  <si>
    <t>[没有电梯]  2楼</t>
  </si>
  <si>
    <t>[没有电梯]  3楼</t>
  </si>
  <si>
    <t>[没有电梯]  4楼</t>
  </si>
  <si>
    <t>[没有电梯]  5楼</t>
  </si>
  <si>
    <t>[没有电梯]  6楼</t>
  </si>
  <si>
    <t>[没有电梯]  7楼及以上</t>
  </si>
  <si>
    <t>[有电梯]  1楼</t>
  </si>
  <si>
    <t>[有电梯]  2楼</t>
  </si>
  <si>
    <t>[有电梯]  3楼</t>
  </si>
  <si>
    <t>[有电梯]  4楼</t>
  </si>
  <si>
    <t>[有电梯]  5楼</t>
  </si>
  <si>
    <t>[有电梯]  6楼</t>
  </si>
  <si>
    <t>[有电梯]  7楼及以上</t>
  </si>
  <si>
    <t>请问您现在拥有的汽车属于什么类型？(单选)</t>
  </si>
  <si>
    <t>微型 （如：QQ、奥拓、SMART等）</t>
  </si>
  <si>
    <t>小型（如：飞度、赛欧、POLO、雨燕、嘉年华等）</t>
  </si>
  <si>
    <t>紧凑型 （如：速腾、卡罗拉、思域、福克斯、轩逸等）</t>
  </si>
  <si>
    <t>中型（如：迈腾、雅阁、帕萨特、锐志、蒙迪欧、凯美瑞等）</t>
  </si>
  <si>
    <t>中大型 （如：奥迪A6、宝马5系、奔驰E级、皇冠、沃尔沃S90、凯迪拉克XTS等）</t>
  </si>
  <si>
    <t xml:space="preserve">豪华型(如：奥迪A8、宝马7系、奔驰S级、捷豹XJ等） </t>
  </si>
  <si>
    <t>Q40_9 其他　具体指：[   ]</t>
  </si>
  <si>
    <t>C,c</t>
    <phoneticPr fontId="4" type="noConversion"/>
  </si>
  <si>
    <t>D,d</t>
    <phoneticPr fontId="4" type="noConversion"/>
  </si>
  <si>
    <t>E,e</t>
    <phoneticPr fontId="4" type="noConversion"/>
  </si>
  <si>
    <t>F,f</t>
    <phoneticPr fontId="4" type="noConversion"/>
  </si>
  <si>
    <t>G,g</t>
    <phoneticPr fontId="4" type="noConversion"/>
  </si>
  <si>
    <t>A,a</t>
    <phoneticPr fontId="4" type="noConversion"/>
  </si>
  <si>
    <t>B,b</t>
    <phoneticPr fontId="4" type="noConversion"/>
  </si>
  <si>
    <t>C,c</t>
    <phoneticPr fontId="4" type="noConversion"/>
  </si>
  <si>
    <t>D,d</t>
    <phoneticPr fontId="4" type="noConversion"/>
  </si>
  <si>
    <t>E,e</t>
    <phoneticPr fontId="4" type="noConversion"/>
  </si>
  <si>
    <t>A,a</t>
    <phoneticPr fontId="4" type="noConversion"/>
  </si>
  <si>
    <t>E,e</t>
    <phoneticPr fontId="4" type="noConversion"/>
  </si>
  <si>
    <t>B,b</t>
    <phoneticPr fontId="4" type="noConversion"/>
  </si>
  <si>
    <t>C,c</t>
    <phoneticPr fontId="4" type="noConversion"/>
  </si>
  <si>
    <t>D,d</t>
    <phoneticPr fontId="4" type="noConversion"/>
  </si>
  <si>
    <t>china_flag_1.png</t>
  </si>
  <si>
    <t>face_1.png</t>
  </si>
  <si>
    <t>face_1.png</t>
    <phoneticPr fontId="4" type="noConversion"/>
  </si>
  <si>
    <t>face_2.png</t>
  </si>
  <si>
    <t>face_2.png</t>
    <phoneticPr fontId="4" type="noConversion"/>
  </si>
  <si>
    <t>face_3.png</t>
  </si>
  <si>
    <t>face_3.png</t>
    <phoneticPr fontId="4" type="noConversion"/>
  </si>
  <si>
    <t>japan_flag_1.png</t>
  </si>
  <si>
    <t>japan_flag_1.png</t>
    <phoneticPr fontId="4" type="noConversion"/>
  </si>
  <si>
    <t>mp_01.png</t>
  </si>
  <si>
    <t>mp_01.png</t>
    <phoneticPr fontId="4" type="noConversion"/>
  </si>
  <si>
    <t>pc_01.jpg</t>
  </si>
  <si>
    <t>pc_01.jpg</t>
    <phoneticPr fontId="4" type="noConversion"/>
  </si>
  <si>
    <t>pc_01.png</t>
    <phoneticPr fontId="4" type="noConversion"/>
  </si>
  <si>
    <t>C:\Users\tianyunchuan\iCloudDrive\Desktop\_win_Trans_mac_</t>
  </si>
  <si>
    <t>NO</t>
    <phoneticPr fontId="5" type="noConversion"/>
  </si>
  <si>
    <t>*</t>
    <phoneticPr fontId="5" type="noConversion"/>
  </si>
  <si>
    <t>miss</t>
    <phoneticPr fontId="26" type="noConversion"/>
  </si>
  <si>
    <t>,1,10,11,</t>
    <phoneticPr fontId="26" type="noConversion"/>
  </si>
  <si>
    <t>*</t>
  </si>
  <si>
    <t>,2,9,11,</t>
  </si>
  <si>
    <t>miss</t>
  </si>
  <si>
    <t>,2,3,</t>
    <phoneticPr fontId="5" type="noConversion"/>
  </si>
  <si>
    <t>,1,2,3,4,5,6,7,8,9,10,11,</t>
  </si>
  <si>
    <t>,3,4,5,</t>
  </si>
  <si>
    <t>,1,2,3,4,5,6,7,8,9,10,</t>
    <phoneticPr fontId="5" type="noConversion"/>
  </si>
  <si>
    <t>,2,10,,</t>
    <phoneticPr fontId="5" type="noConversion"/>
  </si>
  <si>
    <t>,1,2,4,10,11,</t>
  </si>
  <si>
    <t>,2,3,9,</t>
    <phoneticPr fontId="5" type="noConversion"/>
  </si>
  <si>
    <t>,1,2,10,11,</t>
  </si>
  <si>
    <t>,2,6,10,</t>
  </si>
  <si>
    <t>,2,3,10,</t>
  </si>
  <si>
    <t>,2,3,10,</t>
    <phoneticPr fontId="5" type="noConversion"/>
  </si>
  <si>
    <t>,1,2,3,10,11,</t>
  </si>
  <si>
    <t>,1,2,3,4,6,10,11,</t>
  </si>
  <si>
    <t>,2,10,,</t>
  </si>
  <si>
    <t>,1,2,3,4,9,10,</t>
    <phoneticPr fontId="5" type="noConversion"/>
  </si>
  <si>
    <t>,8,10,11,</t>
  </si>
  <si>
    <t>,1,2,3,4,6,7,8,9,10,11,</t>
  </si>
  <si>
    <t>,3,4,9,</t>
    <phoneticPr fontId="5" type="noConversion"/>
  </si>
  <si>
    <t>,1,2,3,4,9,10,</t>
  </si>
  <si>
    <t>,2,10,</t>
    <phoneticPr fontId="5" type="noConversion"/>
  </si>
  <si>
    <t>,1,2,3,4,6,7,8,9,10,</t>
  </si>
  <si>
    <t>,1,2,3,4,6,8,9,10,</t>
  </si>
  <si>
    <t>,1,2,3,4,5,6,7,8,9,10,11,</t>
    <phoneticPr fontId="5" type="noConversion"/>
  </si>
  <si>
    <t>,1,2,3,4,5,9,10,</t>
  </si>
  <si>
    <t>,1,2,3,4,5,6,7,8,9,10,</t>
  </si>
  <si>
    <t>,1,2,3,4,5,9,10,</t>
    <phoneticPr fontId="5" type="noConversion"/>
  </si>
  <si>
    <t>,2,3,5,6,7,8,9,10,11,</t>
    <phoneticPr fontId="5" type="noConversion"/>
  </si>
  <si>
    <t>,2,1,5,</t>
  </si>
  <si>
    <t>,1,2,3,4,9,10,11,</t>
  </si>
  <si>
    <t>,1,2,10,11,</t>
    <phoneticPr fontId="5" type="noConversion"/>
  </si>
  <si>
    <t>,2,3,,</t>
  </si>
  <si>
    <t>,1,2,10,</t>
    <phoneticPr fontId="5" type="noConversion"/>
  </si>
  <si>
    <t>,1,2,3,4,5,6,7,9,10,11,</t>
  </si>
  <si>
    <t>,1,2,3,4,7,8,9,10,11,</t>
  </si>
  <si>
    <t>,1,2,11,</t>
    <phoneticPr fontId="5" type="noConversion"/>
  </si>
  <si>
    <t>,1,2,3,4,5,6,7,8,9,10,,</t>
  </si>
  <si>
    <t>,3,4,</t>
    <phoneticPr fontId="5" type="noConversion"/>
  </si>
  <si>
    <t>,3,5,</t>
    <phoneticPr fontId="5" type="noConversion"/>
  </si>
  <si>
    <t>,1,2,3,4,7,9,10,</t>
  </si>
  <si>
    <t>,1,2,3,6,4,5,7,8,9,</t>
  </si>
  <si>
    <t>,1,10,</t>
    <phoneticPr fontId="5" type="noConversion"/>
  </si>
  <si>
    <t>,1,2,3,4,5,7,8,9,10,</t>
  </si>
  <si>
    <t>,2,11,</t>
    <phoneticPr fontId="5" type="noConversion"/>
  </si>
  <si>
    <t>,2,3,9,</t>
  </si>
  <si>
    <t>,4,10,,</t>
    <phoneticPr fontId="5" type="noConversion"/>
  </si>
  <si>
    <t>,1,2,3,4,5,6,7,9,10,11,</t>
    <phoneticPr fontId="5" type="noConversion"/>
  </si>
  <si>
    <t>,1,10,,</t>
  </si>
  <si>
    <t>,4,10,,</t>
  </si>
  <si>
    <t>,1,2,4,10,</t>
  </si>
  <si>
    <t>,2,3,11,</t>
  </si>
  <si>
    <t>,1,2,3,4,5,7,10,11,</t>
  </si>
  <si>
    <t>,3,5,</t>
  </si>
  <si>
    <t>,1,4,9,10,</t>
    <phoneticPr fontId="5" type="noConversion"/>
  </si>
  <si>
    <t>,2,3,4,</t>
    <phoneticPr fontId="5" type="noConversion"/>
  </si>
  <si>
    <t>,3,9,</t>
  </si>
  <si>
    <t>,2,4,10,</t>
  </si>
  <si>
    <t>,2,7,11,</t>
  </si>
  <si>
    <t>,3,4,9,</t>
  </si>
  <si>
    <t>,1,2,3,4,9,10,11,</t>
    <phoneticPr fontId="5" type="noConversion"/>
  </si>
  <si>
    <t>,1,2,3,4,5,</t>
    <phoneticPr fontId="5" type="noConversion"/>
  </si>
  <si>
    <t>,2,3,5,6,7,8,9,10,11,</t>
  </si>
  <si>
    <t>,1,2,3,4,5,</t>
  </si>
  <si>
    <t>,2,7,11,</t>
    <phoneticPr fontId="5" type="noConversion"/>
  </si>
  <si>
    <t>,2,3,4,5,</t>
  </si>
  <si>
    <t>,2,3,,</t>
    <phoneticPr fontId="5" type="noConversion"/>
  </si>
  <si>
    <t>,1,2,3,4,</t>
  </si>
  <si>
    <t>,1,2,3,4,6,7,8,9,10,</t>
    <phoneticPr fontId="5" type="noConversion"/>
  </si>
  <si>
    <t>,1,2,3,4,5,6,8,9,10,</t>
  </si>
  <si>
    <t>,1,2,3,4,6,7,8,9,10,11,</t>
    <phoneticPr fontId="5" type="noConversion"/>
  </si>
  <si>
    <t>,3,11,</t>
    <phoneticPr fontId="5" type="noConversion"/>
  </si>
  <si>
    <t>,3,4,5,</t>
    <phoneticPr fontId="5" type="noConversion"/>
  </si>
  <si>
    <t>妙洁,GLAD 佳能,旭包鲜,克林莱,美丽雅</t>
  </si>
  <si>
    <t>JP</t>
  </si>
  <si>
    <t>CN</t>
  </si>
  <si>
    <t>qnNo</t>
  </si>
  <si>
    <t>vlook_jp</t>
  </si>
  <si>
    <t>vlook_jp_simple</t>
  </si>
  <si>
    <t>num</t>
  </si>
  <si>
    <t>type</t>
  </si>
  <si>
    <t>subQn_content</t>
  </si>
  <si>
    <t>count</t>
  </si>
  <si>
    <t>sub_question</t>
  </si>
  <si>
    <t>=my_wbname()</t>
    <phoneticPr fontId="4" type="noConversion"/>
  </si>
  <si>
    <t>=my_wsname()</t>
    <phoneticPr fontId="4" type="noConversion"/>
  </si>
  <si>
    <t>Q1 あなたの年齢をお知らせください</t>
    <phoneticPr fontId="4" type="noConversion"/>
  </si>
  <si>
    <t>=my_split()</t>
    <phoneticPr fontId="4" type="noConversion"/>
  </si>
  <si>
    <t>=my_cell_join(A2:C2,"-")</t>
    <phoneticPr fontId="4" type="noConversion"/>
  </si>
  <si>
    <t>待处理</t>
    <phoneticPr fontId="4" type="noConversion"/>
  </si>
  <si>
    <t>好妈妈</t>
  </si>
  <si>
    <t>青蛙王子</t>
  </si>
  <si>
    <t>拉芳</t>
  </si>
  <si>
    <t>飞利浦</t>
  </si>
  <si>
    <t>好</t>
  </si>
  <si>
    <t>贝斯特</t>
  </si>
  <si>
    <t>忘了</t>
  </si>
  <si>
    <t>log.bi</t>
  </si>
  <si>
    <t>qn_generator_1.8.xlsm</t>
  </si>
  <si>
    <t>qn_generator_2.0.xlsm</t>
  </si>
  <si>
    <t>qn_generator_2.1.xlsm</t>
  </si>
  <si>
    <t>雷达</t>
  </si>
  <si>
    <t>雷达杀虫剂</t>
  </si>
  <si>
    <t>雷達</t>
  </si>
  <si>
    <t>雷达杀虫气雾剂</t>
  </si>
  <si>
    <t>radar</t>
  </si>
  <si>
    <t>leida</t>
  </si>
  <si>
    <t>雷达驱蚊水</t>
  </si>
  <si>
    <t>l雷达</t>
  </si>
  <si>
    <t>雷达杀虫水</t>
  </si>
  <si>
    <t>雷达杀虫喷雾剂</t>
  </si>
  <si>
    <t>雷达线雕</t>
  </si>
  <si>
    <t>:雷达杀虫剂</t>
  </si>
  <si>
    <t>雷达。</t>
  </si>
  <si>
    <t>雷达杀虫剂。</t>
  </si>
  <si>
    <t>雷达·</t>
  </si>
  <si>
    <t>榄菊</t>
  </si>
  <si>
    <t>揽菊</t>
  </si>
  <si>
    <t>览菊</t>
  </si>
  <si>
    <t>l榄菊</t>
  </si>
  <si>
    <t>榄菊牌杀虫剂</t>
  </si>
  <si>
    <t>枧菊</t>
  </si>
  <si>
    <t>缆菊</t>
  </si>
  <si>
    <t>榄菊杀虫剂</t>
  </si>
  <si>
    <t>榄菊杀虫水</t>
  </si>
  <si>
    <t>招威</t>
  </si>
  <si>
    <t>超威杀虫剂</t>
  </si>
  <si>
    <t>超微</t>
  </si>
  <si>
    <t>superb/超威</t>
  </si>
  <si>
    <t>超威，六神</t>
  </si>
  <si>
    <t>超威杀虫喷雾剂</t>
  </si>
  <si>
    <t>超威先生</t>
  </si>
  <si>
    <t>枪手</t>
  </si>
  <si>
    <t>抢手</t>
  </si>
  <si>
    <t>枪手杀虫剂</t>
  </si>
  <si>
    <t>枪手家用杀虫剂</t>
  </si>
  <si>
    <t>槍手</t>
  </si>
  <si>
    <t>枪手杀虫气雾</t>
  </si>
  <si>
    <t>枪手。</t>
  </si>
  <si>
    <t>安速小强恢恢</t>
  </si>
  <si>
    <t>ars</t>
  </si>
  <si>
    <t>日本安速</t>
  </si>
  <si>
    <t>安速杀虫剂</t>
  </si>
  <si>
    <t>日本安速蟑螂屋</t>
  </si>
  <si>
    <t>安·速</t>
  </si>
  <si>
    <t>安束</t>
  </si>
  <si>
    <t>安速家居</t>
  </si>
  <si>
    <t>彩虹杀虫剂</t>
  </si>
  <si>
    <t>全无敌</t>
  </si>
  <si>
    <t>全无敌杀虫剂</t>
  </si>
  <si>
    <t>黑旋风</t>
  </si>
  <si>
    <t>黑旋风蟑螂药</t>
  </si>
  <si>
    <t>黑旅风</t>
  </si>
  <si>
    <t>黑旋风杀虫剂</t>
  </si>
  <si>
    <t>黑放风</t>
  </si>
  <si>
    <t>黑旋风灭虫剂</t>
  </si>
  <si>
    <t>黑旋方</t>
  </si>
  <si>
    <t>雷旋风</t>
  </si>
  <si>
    <t>黒旋风</t>
  </si>
  <si>
    <t>拜耳</t>
  </si>
  <si>
    <t>拜尔</t>
  </si>
  <si>
    <t>德国拜耳拜</t>
  </si>
  <si>
    <t>德国拜耳</t>
  </si>
  <si>
    <t>德国拜耳蟑螂药</t>
  </si>
  <si>
    <t>拜灭士</t>
  </si>
  <si>
    <t>拜耳全窝端蟑螂药</t>
  </si>
  <si>
    <t>拜灭士杀蟑胶饵</t>
  </si>
  <si>
    <t>拜耳杀虫剂</t>
  </si>
  <si>
    <t>拜耳蟑螂剂</t>
  </si>
  <si>
    <t>拜耳蟑螂药</t>
  </si>
  <si>
    <t>拜耳拜灭士</t>
  </si>
  <si>
    <t>拜耳士</t>
  </si>
  <si>
    <t>山峰杀虫剂</t>
  </si>
  <si>
    <t>正点</t>
  </si>
  <si>
    <t>整点</t>
  </si>
  <si>
    <t>正点杀虫剂</t>
  </si>
  <si>
    <t>金鹿杀虫剂</t>
  </si>
  <si>
    <t>绿叶</t>
  </si>
  <si>
    <t>绿叶杀虫剂</t>
  </si>
  <si>
    <t>绿百灵</t>
  </si>
  <si>
    <t>绿百灵杀虫剂</t>
  </si>
  <si>
    <t>绿白灵</t>
  </si>
  <si>
    <t>拜乐</t>
  </si>
  <si>
    <t>拜乐杀虫剂</t>
  </si>
  <si>
    <t>拜乐蟑螂药</t>
  </si>
  <si>
    <t>威灭</t>
  </si>
  <si>
    <t>威灭杀虫剂</t>
  </si>
  <si>
    <t>多多灭</t>
  </si>
  <si>
    <t>金鸟</t>
  </si>
  <si>
    <t>未来</t>
  </si>
  <si>
    <t>vape</t>
  </si>
  <si>
    <t>小强恢恢</t>
  </si>
  <si>
    <t>小强灰灰</t>
  </si>
  <si>
    <t>小强恢恢杀虫剂</t>
  </si>
  <si>
    <t>小强恢恢蟑螂屋</t>
  </si>
  <si>
    <t>蟑螂灰灰</t>
  </si>
  <si>
    <t>小强恢</t>
  </si>
  <si>
    <t>小强强恢恢</t>
  </si>
  <si>
    <t>小强黑客</t>
  </si>
  <si>
    <t>小强黑克</t>
  </si>
  <si>
    <t>小强黑克杀虫剂</t>
  </si>
  <si>
    <t>红阿斯</t>
  </si>
  <si>
    <t>红亚斯</t>
  </si>
  <si>
    <t>灭害灵</t>
  </si>
  <si>
    <t>科凌</t>
  </si>
  <si>
    <t>选项24</t>
  </si>
  <si>
    <t>选项26</t>
  </si>
  <si>
    <t>选项28</t>
  </si>
  <si>
    <t>选项30</t>
  </si>
  <si>
    <t>想不起来</t>
  </si>
  <si>
    <t>没有特定的</t>
  </si>
  <si>
    <t>没</t>
  </si>
  <si>
    <t>不记得</t>
  </si>
  <si>
    <t>忘记了</t>
  </si>
  <si>
    <t>没太注意</t>
  </si>
  <si>
    <t>不记得名字</t>
  </si>
  <si>
    <t>没有了</t>
  </si>
  <si>
    <t>尹恩惠</t>
  </si>
  <si>
    <t>威猛先生</t>
  </si>
  <si>
    <t>必扑</t>
  </si>
  <si>
    <t>敌敌畏</t>
  </si>
  <si>
    <t>威猛</t>
  </si>
  <si>
    <t>李字</t>
  </si>
  <si>
    <t>杀它死</t>
  </si>
  <si>
    <t>洁兵杀蟑胶饵</t>
  </si>
  <si>
    <t>宝力杀</t>
  </si>
  <si>
    <t>灭蟑灵</t>
  </si>
  <si>
    <t>优士</t>
  </si>
  <si>
    <t>绿伞</t>
  </si>
  <si>
    <t>杀手</t>
  </si>
  <si>
    <t>洁兵</t>
  </si>
  <si>
    <t>驰天</t>
  </si>
  <si>
    <t>枪王</t>
  </si>
  <si>
    <t>无敌</t>
  </si>
  <si>
    <t>杀他死</t>
  </si>
  <si>
    <t>益家</t>
  </si>
  <si>
    <t>杀蟑胶饵</t>
  </si>
  <si>
    <t>华力</t>
  </si>
  <si>
    <t>拜高</t>
  </si>
  <si>
    <t>蟑螂屋</t>
  </si>
  <si>
    <t>一日绝蟑</t>
  </si>
  <si>
    <t>一扫光</t>
  </si>
  <si>
    <t>金大侠</t>
  </si>
  <si>
    <t>杀必死</t>
  </si>
  <si>
    <t>厚生</t>
  </si>
  <si>
    <t>奇强</t>
  </si>
  <si>
    <t>家居安</t>
  </si>
  <si>
    <t>赵师傅</t>
  </si>
  <si>
    <t>威露士</t>
  </si>
  <si>
    <t>克星</t>
  </si>
  <si>
    <t>六神</t>
  </si>
  <si>
    <t>灭多多</t>
  </si>
  <si>
    <t>户清</t>
  </si>
  <si>
    <t>黑客</t>
  </si>
  <si>
    <t>圣兰德</t>
  </si>
  <si>
    <t>百威</t>
  </si>
  <si>
    <t>必杀净</t>
  </si>
  <si>
    <t>绿百宁</t>
  </si>
  <si>
    <t>强力</t>
  </si>
  <si>
    <t>洁兵杀蟑</t>
  </si>
  <si>
    <t>奥帝</t>
  </si>
  <si>
    <t>安培</t>
  </si>
  <si>
    <t>觉得富士康</t>
  </si>
  <si>
    <t>三鹿</t>
  </si>
  <si>
    <t>避世</t>
  </si>
  <si>
    <t>居美</t>
  </si>
  <si>
    <t>洁利</t>
  </si>
  <si>
    <t>德康杀蟑胶饵</t>
  </si>
  <si>
    <t>绿百灵家用杀虫剂除</t>
  </si>
  <si>
    <t>正邦</t>
  </si>
  <si>
    <t>哗康</t>
  </si>
  <si>
    <t>洁兵杀蟑胶饵(带防伪码)</t>
  </si>
  <si>
    <t>达濠</t>
  </si>
  <si>
    <t>残杀威</t>
  </si>
  <si>
    <t>哀家</t>
  </si>
  <si>
    <t>碧丽珠</t>
  </si>
  <si>
    <t>灭站酷</t>
  </si>
  <si>
    <t>蚁立神</t>
  </si>
  <si>
    <t>雷霆</t>
  </si>
  <si>
    <t>无比迪</t>
  </si>
  <si>
    <t>减肥但是看了</t>
  </si>
  <si>
    <t>揽谷</t>
  </si>
  <si>
    <t>小钢炮</t>
  </si>
  <si>
    <t>贾茂书</t>
  </si>
  <si>
    <t>立可净</t>
  </si>
  <si>
    <t>邦德</t>
  </si>
  <si>
    <t>雷牌</t>
  </si>
  <si>
    <t>蚊逼得</t>
  </si>
  <si>
    <t>灭蟑贴</t>
  </si>
  <si>
    <t>雷霆杀虫剂</t>
  </si>
  <si>
    <t>黑猫</t>
  </si>
  <si>
    <t>黑威风</t>
  </si>
  <si>
    <t>1日绝</t>
  </si>
  <si>
    <t>夹蟑灵</t>
  </si>
  <si>
    <t>发行</t>
  </si>
  <si>
    <t>邦宁</t>
  </si>
  <si>
    <t>绿百灵家用杀虫剂</t>
  </si>
  <si>
    <t>驱蟑王</t>
  </si>
  <si>
    <t>虫杀光</t>
  </si>
  <si>
    <t>凯豪</t>
  </si>
  <si>
    <t>敌百虫</t>
  </si>
  <si>
    <t>机器人</t>
  </si>
  <si>
    <t>统沙杀虫气雾剂</t>
  </si>
  <si>
    <t>绿白领</t>
  </si>
  <si>
    <t>山甲牌</t>
  </si>
  <si>
    <t>欧克乐灭蟑螂屋贴</t>
  </si>
  <si>
    <t>偷油婆</t>
  </si>
  <si>
    <t>三枪</t>
  </si>
  <si>
    <t>臭虫克星</t>
  </si>
  <si>
    <t>坤宁王</t>
  </si>
  <si>
    <t>蟑螂灭完</t>
  </si>
  <si>
    <t>全天敌</t>
  </si>
  <si>
    <t>杀必清</t>
  </si>
  <si>
    <t>来复林</t>
  </si>
  <si>
    <t>灭蟑净</t>
  </si>
  <si>
    <t>杀死你</t>
  </si>
  <si>
    <t>灭蟑</t>
  </si>
  <si>
    <t>绿源</t>
  </si>
  <si>
    <t>米海玲</t>
  </si>
  <si>
    <t>杀蟑螂</t>
  </si>
  <si>
    <t>满菊</t>
  </si>
  <si>
    <t>蓝箭杀虫药</t>
  </si>
  <si>
    <t>蟑螂净</t>
  </si>
  <si>
    <t>周元</t>
  </si>
  <si>
    <t>飞毛腿</t>
  </si>
  <si>
    <t>金葵花</t>
  </si>
  <si>
    <t>滴露</t>
  </si>
  <si>
    <t>杀无敌</t>
  </si>
  <si>
    <t>黑猫神</t>
  </si>
  <si>
    <t>瞬间灭</t>
  </si>
  <si>
    <t>灭蟑螂毒铒</t>
  </si>
  <si>
    <t>绿岛</t>
  </si>
  <si>
    <t>山鹰</t>
  </si>
  <si>
    <t>黑人</t>
  </si>
  <si>
    <t>啊离开的时间</t>
  </si>
  <si>
    <t>木工</t>
  </si>
  <si>
    <t>敌杀死</t>
  </si>
  <si>
    <t>康达</t>
  </si>
  <si>
    <t>虫客杀蟑胶饵</t>
  </si>
  <si>
    <t>家仆</t>
  </si>
  <si>
    <t>云沙</t>
  </si>
  <si>
    <t>心居客</t>
  </si>
  <si>
    <t>希诺蟑螂捕捉器</t>
  </si>
  <si>
    <t>必杀克</t>
  </si>
  <si>
    <t>正张</t>
  </si>
  <si>
    <t>云杀</t>
  </si>
  <si>
    <t>杜邦</t>
  </si>
  <si>
    <t>家化</t>
  </si>
  <si>
    <t>威达</t>
  </si>
  <si>
    <t>睡的香</t>
  </si>
  <si>
    <t>泰安康</t>
  </si>
  <si>
    <t>好手</t>
  </si>
  <si>
    <t>电灭蟑器</t>
  </si>
  <si>
    <t>牵手</t>
  </si>
  <si>
    <t>康宇</t>
  </si>
  <si>
    <t>蟑螂饵</t>
  </si>
  <si>
    <t>霸王</t>
  </si>
  <si>
    <t>睡得香</t>
  </si>
  <si>
    <t>殺他死</t>
  </si>
  <si>
    <t>菊花</t>
  </si>
  <si>
    <t>工行</t>
  </si>
  <si>
    <t>科凌虫控</t>
  </si>
  <si>
    <t>樟脑丸</t>
  </si>
  <si>
    <t>安苏</t>
  </si>
  <si>
    <t>佩氏</t>
  </si>
  <si>
    <t>杀虫孀</t>
  </si>
  <si>
    <t>多多</t>
  </si>
  <si>
    <t>吉平</t>
  </si>
  <si>
    <t>贝贝健</t>
  </si>
  <si>
    <t>虎威杀虫剂</t>
  </si>
  <si>
    <t>宝宝金水</t>
  </si>
  <si>
    <t>居安宁</t>
  </si>
  <si>
    <t>清波</t>
  </si>
  <si>
    <t>特效达豪</t>
  </si>
  <si>
    <t>冰晴灭蟑螂药</t>
  </si>
  <si>
    <t>绿色</t>
  </si>
  <si>
    <t>金鱼</t>
  </si>
  <si>
    <t>金装厚生杀蟑胶饵</t>
  </si>
  <si>
    <t>隆华灭蟑螂药</t>
  </si>
  <si>
    <t>霸道</t>
  </si>
  <si>
    <t>神威</t>
  </si>
  <si>
    <t>灭海灵</t>
  </si>
  <si>
    <t>粉笔</t>
  </si>
  <si>
    <t>凯素灵</t>
  </si>
  <si>
    <t>威威</t>
  </si>
  <si>
    <t>先正达</t>
  </si>
  <si>
    <t>乘勇杀蟑胶饵</t>
  </si>
  <si>
    <t>坤宁</t>
  </si>
  <si>
    <t>绿叶蟑螂胶饵</t>
  </si>
  <si>
    <t>绿豆芽灭蟑螂剂</t>
  </si>
  <si>
    <t>没蟑捕捉器</t>
  </si>
  <si>
    <t>虫客</t>
  </si>
  <si>
    <t>毒力岛</t>
  </si>
  <si>
    <t>红蟑螂</t>
  </si>
  <si>
    <t>大功达</t>
  </si>
  <si>
    <t>虫杀净</t>
  </si>
  <si>
    <t>绿比叶</t>
  </si>
  <si>
    <t>杀蟑</t>
  </si>
  <si>
    <t>必杀</t>
  </si>
  <si>
    <t>全丰</t>
  </si>
  <si>
    <t>洁丽33</t>
  </si>
  <si>
    <t>洁威士</t>
  </si>
  <si>
    <t>皎洁</t>
  </si>
  <si>
    <t>爱特福</t>
  </si>
  <si>
    <t>小强杀手</t>
  </si>
  <si>
    <t>北京绿巨人</t>
  </si>
  <si>
    <t>菊中王</t>
  </si>
  <si>
    <t>安居士</t>
  </si>
  <si>
    <t>爱博</t>
  </si>
  <si>
    <t>风云蟑螂胶饵</t>
  </si>
  <si>
    <t>大成</t>
  </si>
  <si>
    <t>岭峰家用杀虫剂</t>
  </si>
  <si>
    <t>欧克乐</t>
  </si>
  <si>
    <t>菊中王杀虫剂</t>
  </si>
  <si>
    <t>易家净</t>
  </si>
  <si>
    <t>老管家</t>
  </si>
  <si>
    <t>云杀灭</t>
  </si>
  <si>
    <t>凯洁</t>
  </si>
  <si>
    <t>富士</t>
  </si>
  <si>
    <t>居家士</t>
  </si>
  <si>
    <t>灭清蟑螂胶饵</t>
  </si>
  <si>
    <t>优仕</t>
  </si>
  <si>
    <t>全速</t>
  </si>
  <si>
    <t>云杀家用杀虫剂</t>
  </si>
  <si>
    <t>乐宁</t>
  </si>
  <si>
    <t>鹰王</t>
  </si>
  <si>
    <t>全窝端</t>
  </si>
  <si>
    <t>立威</t>
  </si>
  <si>
    <t>宝世</t>
  </si>
  <si>
    <t>超霸</t>
  </si>
  <si>
    <t>安逸</t>
  </si>
  <si>
    <t>力士</t>
  </si>
  <si>
    <t>隆力奇</t>
  </si>
  <si>
    <t>吡虫灵</t>
  </si>
  <si>
    <t>翼虎</t>
  </si>
  <si>
    <t>风毛腿</t>
  </si>
  <si>
    <t>灭虫灵</t>
  </si>
  <si>
    <t>84消毒液</t>
  </si>
  <si>
    <t>无比滴</t>
  </si>
  <si>
    <t>杀虫尽</t>
  </si>
  <si>
    <t>黑寡妇</t>
  </si>
  <si>
    <t>小黑帽</t>
  </si>
  <si>
    <t>安素</t>
  </si>
  <si>
    <t>确邦</t>
  </si>
  <si>
    <t>达豪</t>
  </si>
  <si>
    <t>灭霸</t>
  </si>
  <si>
    <t>岭峯</t>
  </si>
  <si>
    <t>小强</t>
  </si>
  <si>
    <t>卫士威</t>
  </si>
  <si>
    <t>先锋</t>
  </si>
  <si>
    <t>蟑螂灵</t>
  </si>
  <si>
    <t>百家安</t>
  </si>
  <si>
    <t>爱多收</t>
  </si>
  <si>
    <t>消灭粉</t>
  </si>
  <si>
    <t>八四消毒液</t>
  </si>
  <si>
    <t>金刀螂</t>
  </si>
  <si>
    <t>虫必杀</t>
  </si>
  <si>
    <t>小强威威</t>
  </si>
  <si>
    <t>克无踪</t>
  </si>
  <si>
    <t>京鹏杀虫剂</t>
  </si>
  <si>
    <t>金枪</t>
  </si>
  <si>
    <t>绿威</t>
  </si>
  <si>
    <t>绿金</t>
  </si>
  <si>
    <t>联化</t>
  </si>
  <si>
    <t>超人</t>
  </si>
  <si>
    <t>速安</t>
  </si>
  <si>
    <t>百虫灵</t>
  </si>
  <si>
    <t>追杀</t>
  </si>
  <si>
    <t>陇华杀虫剂</t>
  </si>
  <si>
    <t>张vczxc、</t>
  </si>
  <si>
    <t>青蛙</t>
  </si>
  <si>
    <t>鲁圣</t>
  </si>
  <si>
    <t>蟑螂屋、蟑螂药（坤宁王）</t>
  </si>
  <si>
    <t>杀虫剂</t>
  </si>
  <si>
    <t>多灰灰</t>
  </si>
  <si>
    <t>松手</t>
  </si>
  <si>
    <t>杀螂剂</t>
  </si>
  <si>
    <t>一般使用后一星期左右可以灭绝蟑螂，还可以保持长达一年左的效果。其中带防伪码的洁兵杀蟑胶饵灭蟑螂的效果是最好的。</t>
  </si>
  <si>
    <t>凯杰</t>
  </si>
  <si>
    <t>不知道了</t>
  </si>
  <si>
    <t>蟑螂粉</t>
  </si>
  <si>
    <t>杀虫灵</t>
  </si>
  <si>
    <t>灭冲剂</t>
  </si>
  <si>
    <t>婢仆</t>
  </si>
  <si>
    <t>空气清新剂</t>
  </si>
  <si>
    <t>雷克</t>
  </si>
  <si>
    <t>岭峰杀虫喷射剂</t>
  </si>
  <si>
    <t>强无敌</t>
  </si>
  <si>
    <t>灭虫剂</t>
  </si>
  <si>
    <t>利尔</t>
  </si>
  <si>
    <t>百坦</t>
  </si>
  <si>
    <t>晔康</t>
  </si>
  <si>
    <t>强力蟑螂药胶饵</t>
  </si>
  <si>
    <t>黑无敌</t>
  </si>
  <si>
    <t>蓝月亮</t>
  </si>
  <si>
    <t>欧克乐蟑螂捕捉器</t>
  </si>
  <si>
    <t>冠康杀蟑螂烟剂</t>
  </si>
  <si>
    <t>世达</t>
  </si>
  <si>
    <t>威能</t>
  </si>
  <si>
    <t>喜运亨</t>
  </si>
  <si>
    <t>红光</t>
  </si>
  <si>
    <t>贝儿健</t>
  </si>
  <si>
    <t>满婷</t>
  </si>
  <si>
    <t>杭菊</t>
  </si>
  <si>
    <t>一窝端</t>
  </si>
  <si>
    <t>李字牌蚊香</t>
  </si>
  <si>
    <t>九喜</t>
  </si>
  <si>
    <t>蟑螂克星</t>
  </si>
  <si>
    <t>狮子王</t>
  </si>
  <si>
    <t>神奇药笔</t>
  </si>
  <si>
    <t>灭蟑螂排</t>
  </si>
  <si>
    <t>必卜</t>
  </si>
  <si>
    <t>灭拜师</t>
  </si>
  <si>
    <t>立灵</t>
  </si>
  <si>
    <t>宝世家洁</t>
  </si>
  <si>
    <t>蟑螂粉剂</t>
  </si>
  <si>
    <t>菊酯</t>
  </si>
  <si>
    <t>沙妮马</t>
  </si>
  <si>
    <t>恩威</t>
  </si>
  <si>
    <t>起康</t>
  </si>
  <si>
    <t>巴斯夫</t>
  </si>
  <si>
    <t>山甲</t>
  </si>
  <si>
    <t>润本</t>
  </si>
  <si>
    <t>蟑螂胶茸</t>
  </si>
  <si>
    <t>吉锐</t>
  </si>
  <si>
    <t>超越</t>
  </si>
  <si>
    <t>乐果</t>
  </si>
  <si>
    <t>邦科</t>
  </si>
  <si>
    <t>杀虫剂家用</t>
  </si>
  <si>
    <t>启杀</t>
  </si>
  <si>
    <t>仕必威</t>
  </si>
  <si>
    <t>天虹</t>
  </si>
  <si>
    <t>灭害录</t>
  </si>
  <si>
    <t>大光明太康</t>
  </si>
  <si>
    <t>兽威</t>
  </si>
  <si>
    <t>康宁</t>
  </si>
  <si>
    <t>多多灭杀虫剂</t>
  </si>
  <si>
    <t>相对1号杀虫剂</t>
  </si>
  <si>
    <t>雷神</t>
  </si>
  <si>
    <t>消博士</t>
  </si>
  <si>
    <t>登顶</t>
  </si>
  <si>
    <t>彤派</t>
  </si>
  <si>
    <t>拜亚</t>
  </si>
  <si>
    <t>战影</t>
  </si>
  <si>
    <t>一课时</t>
  </si>
  <si>
    <t>易守难攻</t>
  </si>
  <si>
    <t>杀蟑连环计</t>
  </si>
  <si>
    <t>威武</t>
  </si>
  <si>
    <t>威力</t>
  </si>
  <si>
    <t>死的快</t>
  </si>
  <si>
    <t>雷士</t>
  </si>
  <si>
    <t>光明</t>
  </si>
  <si>
    <t>臭虫净</t>
  </si>
  <si>
    <t>小强死</t>
  </si>
  <si>
    <t>99喷雾剂</t>
  </si>
  <si>
    <t>拜乐生物杀蟑胶饵</t>
  </si>
  <si>
    <t>绿满</t>
  </si>
  <si>
    <t>满窝死</t>
  </si>
  <si>
    <t>维克多</t>
  </si>
  <si>
    <t>万友</t>
  </si>
  <si>
    <t>典将</t>
  </si>
  <si>
    <t>润木</t>
  </si>
  <si>
    <t>隆华</t>
  </si>
  <si>
    <t>虫斗士</t>
  </si>
  <si>
    <t>小黑</t>
  </si>
  <si>
    <t>万豪</t>
  </si>
  <si>
    <t>绿驰</t>
  </si>
  <si>
    <t>希诺</t>
  </si>
  <si>
    <t>丰华</t>
  </si>
  <si>
    <t>护花神</t>
  </si>
  <si>
    <t>一喷净</t>
  </si>
  <si>
    <t>碧浪</t>
  </si>
  <si>
    <t>dsd</t>
  </si>
  <si>
    <t>百家</t>
  </si>
  <si>
    <t>杀虫净</t>
  </si>
  <si>
    <t>蟑螂贴</t>
  </si>
  <si>
    <t>威宁</t>
  </si>
  <si>
    <t>郁康</t>
  </si>
  <si>
    <t>灭绝粉</t>
  </si>
  <si>
    <t>奥姿</t>
  </si>
  <si>
    <t>枪水</t>
  </si>
  <si>
    <t>蟑必灭</t>
  </si>
  <si>
    <t>规范放</t>
  </si>
  <si>
    <t>金刀郎</t>
  </si>
  <si>
    <t>虱必清</t>
  </si>
  <si>
    <t>雷朋</t>
  </si>
  <si>
    <t>日本小黑帽</t>
  </si>
  <si>
    <t>设计的</t>
  </si>
  <si>
    <t>wgkgwfg</t>
  </si>
  <si>
    <t>杀蟑饵剂</t>
  </si>
  <si>
    <t>rev</t>
  </si>
  <si>
    <t>微吧</t>
  </si>
  <si>
    <t>卫视</t>
  </si>
  <si>
    <t>leidai</t>
  </si>
  <si>
    <t>创步</t>
  </si>
  <si>
    <t>福尔马林</t>
  </si>
  <si>
    <t>发给他人 唐人街</t>
  </si>
  <si>
    <t>nh</t>
  </si>
  <si>
    <t>nk</t>
  </si>
  <si>
    <t>虫客杀</t>
  </si>
  <si>
    <t>洁冰</t>
  </si>
  <si>
    <t>恩倍多</t>
  </si>
  <si>
    <t>爵氏</t>
  </si>
  <si>
    <t>净美莱</t>
  </si>
  <si>
    <t>全死</t>
  </si>
  <si>
    <t>灭杀灵杀虫剂</t>
  </si>
  <si>
    <t>敷设</t>
  </si>
  <si>
    <t>蟑螂药</t>
  </si>
  <si>
    <t>牛城牌</t>
  </si>
  <si>
    <t>毕璞</t>
  </si>
  <si>
    <t>奇效</t>
  </si>
  <si>
    <t>施杰</t>
  </si>
  <si>
    <t>歼飞</t>
  </si>
  <si>
    <t>奥冠</t>
  </si>
  <si>
    <t>德国巴斯夫</t>
  </si>
  <si>
    <t>快枪</t>
  </si>
  <si>
    <t>橄菊</t>
  </si>
  <si>
    <t>萨比听</t>
  </si>
  <si>
    <t>绿帐</t>
  </si>
  <si>
    <t>张师傅</t>
  </si>
  <si>
    <t>驱乐</t>
  </si>
  <si>
    <t>全净</t>
  </si>
  <si>
    <t>安涂</t>
  </si>
  <si>
    <t>威猛士</t>
  </si>
  <si>
    <t>家乐氏</t>
  </si>
  <si>
    <t>dfdf</t>
  </si>
  <si>
    <t>奇瑞</t>
  </si>
  <si>
    <t>百草枯</t>
  </si>
  <si>
    <t>敌敌胃</t>
  </si>
  <si>
    <t>橄榄菊杀虫剂</t>
  </si>
  <si>
    <t>金威</t>
  </si>
  <si>
    <t>站虫卫士</t>
  </si>
  <si>
    <t>蟑必死</t>
  </si>
  <si>
    <t>雅芳白</t>
  </si>
  <si>
    <t>抢手杀虫剂</t>
  </si>
  <si>
    <t>除的净</t>
  </si>
  <si>
    <t>点滴</t>
  </si>
  <si>
    <t>比杀死</t>
  </si>
  <si>
    <t>好想好想喝</t>
  </si>
  <si>
    <t>gath</t>
  </si>
  <si>
    <t>耳机蟑螂药</t>
  </si>
  <si>
    <t>黑霸王</t>
  </si>
  <si>
    <t>安速尔</t>
  </si>
  <si>
    <t>卫士</t>
  </si>
  <si>
    <t>高锰酸钾</t>
  </si>
  <si>
    <t>如果是</t>
  </si>
  <si>
    <t>小狗</t>
  </si>
  <si>
    <t>灭威</t>
  </si>
  <si>
    <t>倩碧</t>
  </si>
  <si>
    <t>长虹</t>
  </si>
  <si>
    <t>反光镜</t>
  </si>
  <si>
    <t>灭蟑螂</t>
  </si>
  <si>
    <t>厚生杀蟑胶饵</t>
  </si>
  <si>
    <t>虫虫战队</t>
  </si>
  <si>
    <t>勇冠</t>
  </si>
  <si>
    <t>万登</t>
  </si>
  <si>
    <t>山甲牌蟑螂粉</t>
  </si>
  <si>
    <t>德国小蠊</t>
  </si>
  <si>
    <t>拜创</t>
  </si>
  <si>
    <t>枪千</t>
  </si>
  <si>
    <t>灭害灵杀虫剂</t>
  </si>
  <si>
    <t>欧扑得</t>
  </si>
  <si>
    <t>榄核</t>
  </si>
  <si>
    <t>拜灭拜灭</t>
  </si>
  <si>
    <t>朵朵灭</t>
  </si>
  <si>
    <t>手杀虫剂</t>
  </si>
  <si>
    <t>引饵</t>
  </si>
  <si>
    <t>还想继续</t>
  </si>
  <si>
    <t>jtrbgnsc</t>
  </si>
  <si>
    <t>碳酸钠是驱虫药</t>
  </si>
  <si>
    <t>施洁</t>
  </si>
  <si>
    <t>安起</t>
  </si>
  <si>
    <t>统一</t>
  </si>
  <si>
    <t>虫虫清</t>
  </si>
  <si>
    <t>宝世家</t>
  </si>
  <si>
    <t>康家枪</t>
  </si>
  <si>
    <t>继续继续就行</t>
  </si>
  <si>
    <t>广威</t>
  </si>
  <si>
    <t>黑金刚</t>
  </si>
  <si>
    <t>开个会</t>
  </si>
  <si>
    <t>郁康蟑螂克星</t>
  </si>
  <si>
    <t>粉</t>
  </si>
  <si>
    <t>全无适</t>
  </si>
  <si>
    <t>施工杰</t>
  </si>
  <si>
    <t>安无敌</t>
  </si>
  <si>
    <t>金辉</t>
  </si>
  <si>
    <t>好想好想</t>
  </si>
  <si>
    <t>凌峰</t>
  </si>
  <si>
    <t>花露水</t>
  </si>
  <si>
    <t>金卫士</t>
  </si>
  <si>
    <t>淘牧</t>
  </si>
  <si>
    <t>花卉</t>
  </si>
  <si>
    <t>玛奇朵</t>
  </si>
  <si>
    <t>清扬</t>
  </si>
  <si>
    <t>六神花露水</t>
  </si>
  <si>
    <t>福来恩</t>
  </si>
  <si>
    <t>威奇</t>
  </si>
  <si>
    <t>康菊</t>
  </si>
  <si>
    <t>威王</t>
  </si>
  <si>
    <t>雕牌</t>
  </si>
  <si>
    <t>能臣</t>
  </si>
  <si>
    <t>蚊香</t>
  </si>
  <si>
    <t>雏菊</t>
  </si>
  <si>
    <t>舒肤佳</t>
  </si>
  <si>
    <t>白元</t>
  </si>
  <si>
    <t>蚊博士</t>
  </si>
  <si>
    <t>方舟</t>
  </si>
  <si>
    <t>来害灵</t>
  </si>
  <si>
    <t>田七之花</t>
  </si>
  <si>
    <t>灭索威</t>
  </si>
  <si>
    <t>抢枪手</t>
  </si>
  <si>
    <t>普沃达</t>
  </si>
  <si>
    <t>蟑螂毒饵</t>
  </si>
  <si>
    <t>灭蟑螂喷雾</t>
  </si>
  <si>
    <t>多灭多</t>
  </si>
  <si>
    <t>黑色屋</t>
  </si>
  <si>
    <t>必达</t>
  </si>
  <si>
    <t>清新</t>
  </si>
  <si>
    <t>思倍多</t>
  </si>
  <si>
    <t>巨无霸</t>
  </si>
  <si>
    <t>威风</t>
  </si>
  <si>
    <t>丁家宜</t>
  </si>
  <si>
    <t>康绿宝</t>
  </si>
  <si>
    <t>除蚊香</t>
  </si>
  <si>
    <t>搭配牛皮的nlcdbo</t>
  </si>
  <si>
    <t>小林</t>
  </si>
  <si>
    <t>就是牛</t>
  </si>
  <si>
    <t>圆梦</t>
  </si>
  <si>
    <t>安全卫士</t>
  </si>
  <si>
    <t>猫大哥</t>
  </si>
  <si>
    <t>优土</t>
  </si>
  <si>
    <t>李字蚊香</t>
  </si>
  <si>
    <t>青玄</t>
  </si>
  <si>
    <t>益康</t>
  </si>
  <si>
    <t>死得快</t>
  </si>
  <si>
    <t>修正</t>
  </si>
  <si>
    <t>李萍</t>
  </si>
  <si>
    <t>闪电</t>
  </si>
  <si>
    <t>己己亥杂诗歌</t>
  </si>
  <si>
    <t>威博士</t>
  </si>
  <si>
    <t>环宝</t>
  </si>
  <si>
    <t>大宠爱</t>
  </si>
  <si>
    <t>米多</t>
  </si>
  <si>
    <t>多米</t>
  </si>
  <si>
    <t>国大药房</t>
  </si>
  <si>
    <t>诛达</t>
  </si>
  <si>
    <t>必普</t>
  </si>
  <si>
    <t>再达</t>
  </si>
  <si>
    <t>格林</t>
  </si>
  <si>
    <t>上手</t>
  </si>
  <si>
    <t>刹出</t>
  </si>
  <si>
    <t>六神驱虫剂</t>
  </si>
  <si>
    <t>多美洁</t>
  </si>
  <si>
    <t>立管家</t>
  </si>
  <si>
    <t>康威</t>
  </si>
  <si>
    <t>夏尔净</t>
  </si>
  <si>
    <t>水泊山鹰</t>
  </si>
  <si>
    <t>调查表v等等</t>
  </si>
  <si>
    <t>威多邦</t>
  </si>
  <si>
    <t>毒死牌</t>
  </si>
  <si>
    <t>富培美</t>
  </si>
  <si>
    <t>诺普信</t>
  </si>
  <si>
    <t>青橘</t>
  </si>
  <si>
    <t>强龙</t>
  </si>
  <si>
    <t>芳派</t>
  </si>
  <si>
    <t>隆化</t>
  </si>
  <si>
    <t>康王</t>
  </si>
  <si>
    <t>如图</t>
  </si>
  <si>
    <t>除螨机</t>
  </si>
  <si>
    <t>海尔斯</t>
  </si>
  <si>
    <t>小林制药</t>
  </si>
  <si>
    <t>御家</t>
  </si>
  <si>
    <t>爵士</t>
  </si>
  <si>
    <t>蚁力神</t>
  </si>
  <si>
    <t>除螨香皂</t>
  </si>
  <si>
    <t>普力高</t>
  </si>
  <si>
    <t>富士化工</t>
  </si>
  <si>
    <t>菊牌</t>
  </si>
  <si>
    <t>贝利斯</t>
  </si>
  <si>
    <t>扫光</t>
  </si>
  <si>
    <t>tamw</t>
  </si>
  <si>
    <t>方正</t>
  </si>
  <si>
    <t>力王</t>
  </si>
  <si>
    <t>力帆</t>
  </si>
  <si>
    <t>达士威</t>
  </si>
  <si>
    <t>必灭士</t>
  </si>
  <si>
    <t>依宝</t>
  </si>
  <si>
    <t>闪电客</t>
  </si>
  <si>
    <t>阿莎娜</t>
  </si>
  <si>
    <t>清杨</t>
  </si>
  <si>
    <t>日本叮叮</t>
  </si>
  <si>
    <t>雪雕</t>
  </si>
  <si>
    <t>额发货后</t>
  </si>
  <si>
    <t>王牌</t>
  </si>
  <si>
    <t>枪手绿丰</t>
  </si>
  <si>
    <t>双虎</t>
  </si>
  <si>
    <t>五天假</t>
  </si>
  <si>
    <t>蚊不叮</t>
  </si>
  <si>
    <t>全灭领</t>
  </si>
  <si>
    <t>子初</t>
  </si>
  <si>
    <t>小强之屋</t>
  </si>
  <si>
    <t>手枪</t>
  </si>
  <si>
    <t>除害灵</t>
  </si>
  <si>
    <t>霍顿</t>
  </si>
  <si>
    <t>螨虫消杀剂</t>
  </si>
  <si>
    <t>维康</t>
  </si>
  <si>
    <t>小神童</t>
  </si>
  <si>
    <t>三不倒灭鼠剂</t>
  </si>
  <si>
    <t>全兴</t>
  </si>
  <si>
    <t>杀虫</t>
  </si>
  <si>
    <t>amdj</t>
  </si>
  <si>
    <t>日康</t>
  </si>
  <si>
    <t>ddv</t>
  </si>
  <si>
    <t>淘牡</t>
  </si>
  <si>
    <t>氧蒙</t>
  </si>
  <si>
    <t>万达</t>
  </si>
  <si>
    <t>乃至</t>
  </si>
  <si>
    <t>力求</t>
  </si>
  <si>
    <t>大佬</t>
  </si>
  <si>
    <t>小宠</t>
  </si>
  <si>
    <t>杀威</t>
  </si>
  <si>
    <t>绿之源</t>
  </si>
  <si>
    <t>战虫卫士</t>
  </si>
  <si>
    <t>人发红包</t>
  </si>
  <si>
    <t>国光</t>
  </si>
  <si>
    <t>中保</t>
  </si>
  <si>
    <t>兽王</t>
  </si>
  <si>
    <t>慕斯</t>
  </si>
  <si>
    <t>去洗澡</t>
  </si>
  <si>
    <t>柏可心</t>
  </si>
  <si>
    <t>绿润</t>
  </si>
  <si>
    <t>pijw</t>
  </si>
  <si>
    <t>美洁卫</t>
  </si>
  <si>
    <t>清明</t>
  </si>
  <si>
    <t>飞科</t>
  </si>
  <si>
    <t>山山</t>
  </si>
  <si>
    <t>染发剂好</t>
  </si>
  <si>
    <t>兰菊</t>
  </si>
  <si>
    <t>超威</t>
  </si>
  <si>
    <t>安速</t>
  </si>
  <si>
    <t>彩虹</t>
  </si>
  <si>
    <t>山峰</t>
  </si>
  <si>
    <t>金鹿</t>
  </si>
  <si>
    <t>选项23</t>
  </si>
  <si>
    <t>选项25</t>
  </si>
  <si>
    <t>选项27</t>
  </si>
  <si>
    <t>选项29</t>
  </si>
  <si>
    <t>去玩了</t>
  </si>
  <si>
    <t>机器人家居</t>
  </si>
  <si>
    <t>除螨</t>
  </si>
  <si>
    <t>速必杀</t>
  </si>
  <si>
    <t>dmu</t>
  </si>
  <si>
    <t>闪电家居</t>
  </si>
  <si>
    <t>飞鹿</t>
  </si>
  <si>
    <t>大小</t>
  </si>
  <si>
    <t>西柏宁</t>
  </si>
  <si>
    <t>戴森</t>
  </si>
  <si>
    <t>人工湖</t>
  </si>
  <si>
    <t>云南白药</t>
  </si>
  <si>
    <t>code</t>
  </si>
  <si>
    <t>raid雷达</t>
  </si>
  <si>
    <t>raid</t>
  </si>
  <si>
    <t>超威superb</t>
  </si>
  <si>
    <t>superb超威</t>
  </si>
  <si>
    <t>gunner</t>
  </si>
  <si>
    <t>枪手gunner</t>
  </si>
  <si>
    <t>gunner枪手</t>
  </si>
  <si>
    <t>gunner/枪手</t>
  </si>
  <si>
    <t>安速ars</t>
  </si>
  <si>
    <t>ars安速</t>
  </si>
  <si>
    <t>premise拜灭士</t>
  </si>
  <si>
    <t>bayer拜耳</t>
  </si>
  <si>
    <t>kincho</t>
  </si>
  <si>
    <t>onlymax</t>
  </si>
  <si>
    <t>dx</t>
  </si>
  <si>
    <t>美國 johnson</t>
  </si>
  <si>
    <t>advion cockroach</t>
  </si>
  <si>
    <t>ddw</t>
  </si>
  <si>
    <t>fgfs</t>
  </si>
  <si>
    <t>fsb</t>
  </si>
  <si>
    <t>gdsg</t>
  </si>
  <si>
    <t>ghsg</t>
  </si>
  <si>
    <t>dgd</t>
  </si>
  <si>
    <t>hakugen</t>
  </si>
  <si>
    <t>,4,9,14,</t>
  </si>
  <si>
    <t>,31,9,</t>
  </si>
  <si>
    <t>,31,1,3,</t>
  </si>
  <si>
    <t>,31,3,5,</t>
  </si>
  <si>
    <t>,4,3,6,</t>
  </si>
  <si>
    <t>,1,4,3,</t>
  </si>
  <si>
    <t>,1,31,</t>
  </si>
  <si>
    <t>,9,4,</t>
  </si>
  <si>
    <t>,6,3,</t>
  </si>
  <si>
    <t>,4,1,7,</t>
  </si>
  <si>
    <t>,4,14,1,</t>
  </si>
  <si>
    <t>,3,2,31,</t>
  </si>
  <si>
    <t>,1,7,4,</t>
  </si>
  <si>
    <t>,1,5,4,25,</t>
  </si>
  <si>
    <t>,2,1,3,</t>
  </si>
  <si>
    <t>,5,2,</t>
  </si>
  <si>
    <t>,31,4,</t>
  </si>
  <si>
    <t>,11,5,7,</t>
  </si>
  <si>
    <t>,1,2,7,25,</t>
  </si>
  <si>
    <t>,6,1,3,</t>
  </si>
  <si>
    <t>,2,3,1,</t>
  </si>
  <si>
    <t>,1,9,5,</t>
  </si>
  <si>
    <t>,20,5,11,</t>
  </si>
  <si>
    <t>,2,8,31,</t>
  </si>
  <si>
    <t>,1,3,7,</t>
  </si>
  <si>
    <t>,4,31,</t>
  </si>
  <si>
    <t>,5,4,2,</t>
  </si>
  <si>
    <t>,1,7,6,</t>
  </si>
  <si>
    <t>,3,1,4,5,</t>
  </si>
  <si>
    <t>,4,1,6,</t>
  </si>
  <si>
    <t>,14,9,</t>
  </si>
  <si>
    <t>,1,7,31,25,</t>
  </si>
  <si>
    <t>,4,2,</t>
  </si>
  <si>
    <t>,9,1,14,</t>
  </si>
  <si>
    <t>,4,2,5,11,</t>
  </si>
  <si>
    <t>,2,1,</t>
  </si>
  <si>
    <t>,11,4,</t>
  </si>
  <si>
    <t>,6,1,7,</t>
  </si>
  <si>
    <t>,7,4,</t>
  </si>
  <si>
    <t>,3,1,2,</t>
  </si>
  <si>
    <t>,26,</t>
  </si>
  <si>
    <t>,6,1,</t>
  </si>
  <si>
    <t>,2,31,</t>
  </si>
  <si>
    <t>,4,11,</t>
  </si>
  <si>
    <t>,11,4,20,</t>
  </si>
  <si>
    <t>,1,3,2,5,</t>
  </si>
  <si>
    <t>,4,1,8,2,</t>
  </si>
  <si>
    <t>,7,2,</t>
  </si>
  <si>
    <t>,3,2,</t>
  </si>
  <si>
    <t>,9,5,</t>
  </si>
  <si>
    <t>,4,1,</t>
  </si>
  <si>
    <t>,5,1,2,</t>
  </si>
  <si>
    <t>,3,1,</t>
  </si>
  <si>
    <t>,1,3,5,2,</t>
  </si>
  <si>
    <t>,1,4,6,31,</t>
  </si>
  <si>
    <t>,5,1,</t>
  </si>
  <si>
    <t>,3,9,1,</t>
  </si>
  <si>
    <t>,1,24,7,</t>
  </si>
  <si>
    <t>,4,7,31,</t>
  </si>
  <si>
    <t>,32,</t>
  </si>
  <si>
    <t>,1,4,31,</t>
  </si>
  <si>
    <t>,3,2,1,4,</t>
  </si>
  <si>
    <t>,1,9,5,2,</t>
  </si>
  <si>
    <t>,1,2,31,</t>
  </si>
  <si>
    <t>,4,2,8,</t>
  </si>
  <si>
    <t>,1,4,2,</t>
  </si>
  <si>
    <t>,4,14,2,3,</t>
  </si>
  <si>
    <t>,4,1,25,</t>
  </si>
  <si>
    <t>,1,4,3,2,</t>
  </si>
  <si>
    <t>,11,6,</t>
  </si>
  <si>
    <t>,1,2,4,3,</t>
  </si>
  <si>
    <t>,1,24,7,9,</t>
  </si>
  <si>
    <t>,25,</t>
  </si>
  <si>
    <t>,1,2,8,</t>
  </si>
  <si>
    <t>,3,2,1,31,</t>
  </si>
  <si>
    <t>,1,8,2,3,</t>
  </si>
  <si>
    <t>,4,2,1,</t>
  </si>
  <si>
    <t>,1,31,3,2,</t>
  </si>
  <si>
    <t>,4,31,3,</t>
  </si>
  <si>
    <t>,3,1,4,8,</t>
  </si>
  <si>
    <t>,7,3,</t>
  </si>
  <si>
    <t>,6,4,1,</t>
  </si>
  <si>
    <t>,9,25,31,</t>
  </si>
  <si>
    <t>,1,31,9,5,</t>
  </si>
  <si>
    <t>,31,3,</t>
  </si>
  <si>
    <t>,31,1,2,</t>
  </si>
  <si>
    <t>,9,31,</t>
  </si>
  <si>
    <t>,2,1,31,12,</t>
  </si>
  <si>
    <t>,4,3,</t>
  </si>
  <si>
    <t>,3,2,11,</t>
  </si>
  <si>
    <t>,1,5,3,</t>
  </si>
  <si>
    <t>,4,3,1,</t>
  </si>
  <si>
    <t>,1,2,6,3,</t>
  </si>
  <si>
    <t>,3,31,</t>
  </si>
  <si>
    <t>,1,3,31,</t>
  </si>
  <si>
    <t>,2,4,25,</t>
  </si>
  <si>
    <t>,4,3,31,</t>
  </si>
  <si>
    <t>,31,2,4,</t>
  </si>
  <si>
    <t>,3,2,1,</t>
  </si>
  <si>
    <t>,9,5,6,4,</t>
  </si>
  <si>
    <t>,25,7,31,4,</t>
  </si>
  <si>
    <t>,31,8,</t>
  </si>
  <si>
    <t>,25,3,31,</t>
  </si>
  <si>
    <t>,3,4,1,</t>
  </si>
  <si>
    <t>,31,2,</t>
  </si>
  <si>
    <t>,3,7,25,</t>
  </si>
  <si>
    <t>,1,6,4,2,</t>
  </si>
  <si>
    <t>,31,9,3,</t>
  </si>
  <si>
    <t>,2,1,31,</t>
  </si>
  <si>
    <t>,2,3,1,31,</t>
  </si>
  <si>
    <t>,5,2,3,</t>
  </si>
  <si>
    <t>,6,4,</t>
  </si>
  <si>
    <t>,1,4,2,3,</t>
  </si>
  <si>
    <t>,8,2,3,</t>
  </si>
  <si>
    <t>,2,31,1,</t>
  </si>
  <si>
    <t>,12,3,</t>
  </si>
  <si>
    <t>,1,3,25,</t>
  </si>
  <si>
    <t>,3,4,2,</t>
  </si>
  <si>
    <t>,4,3,2,</t>
  </si>
  <si>
    <t>,1,3,2,</t>
  </si>
  <si>
    <t>,1,3,4,2,</t>
  </si>
  <si>
    <t>,20,31,1,</t>
  </si>
  <si>
    <t>,3,1,9,</t>
  </si>
  <si>
    <t>,4,1,2,3,</t>
  </si>
  <si>
    <t>,3,1,2,4,</t>
  </si>
  <si>
    <t>,3,7,1,2,</t>
  </si>
  <si>
    <t>,11,2,3,25,</t>
  </si>
  <si>
    <t>,1,6,3,</t>
  </si>
  <si>
    <t>,6,1,7,4,</t>
  </si>
  <si>
    <t>,2,1,9,5,</t>
  </si>
  <si>
    <t>,9,3,1,</t>
  </si>
  <si>
    <t>,1,25,6,</t>
  </si>
  <si>
    <t>,1,9,3,</t>
  </si>
  <si>
    <t>,1,2,4,6,</t>
  </si>
  <si>
    <t>,4,2,31,</t>
  </si>
  <si>
    <t>,9,1,</t>
  </si>
  <si>
    <t>,1,2,9,8,</t>
  </si>
  <si>
    <t>,5,1,9,2,</t>
  </si>
  <si>
    <t>,25,4,</t>
  </si>
  <si>
    <t>,31,9,25,</t>
  </si>
  <si>
    <t>,9,15,31,</t>
  </si>
  <si>
    <t>,4,9,</t>
  </si>
  <si>
    <t>,9,8,</t>
  </si>
  <si>
    <t>,2,4,9,1,</t>
  </si>
  <si>
    <t>,4,7,</t>
  </si>
  <si>
    <t>,1,7,2,3,</t>
  </si>
  <si>
    <t>,2,4,3,</t>
  </si>
  <si>
    <t>,2,4,31,</t>
  </si>
  <si>
    <t>,9,4,2,</t>
  </si>
  <si>
    <t>,2,4,9,</t>
  </si>
  <si>
    <t>,4,3,2,7,</t>
  </si>
  <si>
    <t>,3,9,25,</t>
  </si>
  <si>
    <t>,4,9,2,</t>
  </si>
  <si>
    <t>,1,7,4,2,</t>
  </si>
  <si>
    <t>,9,3,25,</t>
  </si>
  <si>
    <t>,3,25,9,</t>
  </si>
  <si>
    <t>,1,7,4,25,</t>
  </si>
  <si>
    <t>,3,2,9,</t>
  </si>
  <si>
    <t>,6,3,4,</t>
  </si>
  <si>
    <t>,3,9,2,</t>
  </si>
  <si>
    <t>,9,1,4,</t>
  </si>
  <si>
    <t>,7,1,2,4,</t>
  </si>
  <si>
    <t>,3,4,6,</t>
  </si>
  <si>
    <t>,2,3,20,</t>
  </si>
  <si>
    <t>,9,3,2,</t>
  </si>
  <si>
    <t>,25,1,31,</t>
  </si>
  <si>
    <t>,2,31,8,</t>
  </si>
  <si>
    <t>,1,12,2,</t>
  </si>
  <si>
    <t>,1,3,25,8,</t>
  </si>
  <si>
    <t>,3,1,7,31,</t>
  </si>
  <si>
    <t>,2,6,7,</t>
  </si>
  <si>
    <t>,2,31,4,</t>
  </si>
  <si>
    <t>,3,5,20,</t>
  </si>
  <si>
    <t>,8,31,</t>
  </si>
  <si>
    <t>,5,8,20,</t>
  </si>
  <si>
    <t>,1,9,4,5,</t>
  </si>
  <si>
    <t>,31,5,15,</t>
  </si>
  <si>
    <t>,2,25,3,31,</t>
  </si>
  <si>
    <t>,9,31,5,</t>
  </si>
  <si>
    <t>,5,9,31,</t>
  </si>
  <si>
    <t>,15,5,31,</t>
  </si>
  <si>
    <t>,14,11,</t>
  </si>
  <si>
    <t>,2,8,1,3,</t>
  </si>
  <si>
    <t>,1,4,3,31,</t>
  </si>
  <si>
    <t>,4,1,5,</t>
  </si>
  <si>
    <t>,3,2,4,</t>
  </si>
  <si>
    <t>,1,9,25,</t>
  </si>
  <si>
    <t>,4,1,2,</t>
  </si>
  <si>
    <t>,6,3,1,2,</t>
  </si>
  <si>
    <t>,8,4,</t>
  </si>
  <si>
    <t>,1,3,4,31,</t>
  </si>
  <si>
    <t>,4,5,1,</t>
  </si>
  <si>
    <t>,4,3,7,</t>
  </si>
  <si>
    <t>,14,1,</t>
  </si>
  <si>
    <t>,9,25,8,</t>
  </si>
  <si>
    <t>,3,31,10,</t>
  </si>
  <si>
    <t>,3,1,4,</t>
  </si>
  <si>
    <t>,1,3,2,4,</t>
  </si>
  <si>
    <t>,31,7,</t>
  </si>
  <si>
    <t>,7,11,</t>
  </si>
  <si>
    <t>,10,17,</t>
  </si>
  <si>
    <t>,3,19,</t>
  </si>
  <si>
    <t>,9,3,</t>
  </si>
  <si>
    <t>,7,10,</t>
  </si>
  <si>
    <t>,25,31,</t>
  </si>
  <si>
    <t>,7,16,</t>
  </si>
  <si>
    <t>,13,4,</t>
  </si>
  <si>
    <t>,10,3,</t>
  </si>
  <si>
    <t>,7,3,1,</t>
  </si>
  <si>
    <t>,1,5,4,</t>
  </si>
  <si>
    <t>,9,17,3,</t>
  </si>
  <si>
    <t>,3,1,7,</t>
  </si>
  <si>
    <t>,2,7,3,12,</t>
  </si>
  <si>
    <t>,3,6,2,</t>
  </si>
  <si>
    <t>,3,2,1,9,</t>
  </si>
  <si>
    <t>,2,3,7,4,</t>
  </si>
  <si>
    <t>,16,17,</t>
  </si>
  <si>
    <t>,10,19,</t>
  </si>
  <si>
    <t>,11,1,</t>
  </si>
  <si>
    <t>,5,18,</t>
  </si>
  <si>
    <t>,11,8,</t>
  </si>
  <si>
    <t>,8,2,31,</t>
  </si>
  <si>
    <t>,8,15,</t>
  </si>
  <si>
    <t>,11,13,</t>
  </si>
  <si>
    <t>,17,14,</t>
  </si>
  <si>
    <t>,4,3,25,</t>
  </si>
  <si>
    <t>,2,3,1,7,</t>
  </si>
  <si>
    <t>,8,1,7,</t>
  </si>
  <si>
    <t>,4,14,</t>
  </si>
  <si>
    <t>,6,7,</t>
  </si>
  <si>
    <t>,3,1,4,2,</t>
  </si>
  <si>
    <t>,7,11,4,</t>
  </si>
  <si>
    <t>,7,1,</t>
  </si>
  <si>
    <t>,11,17,</t>
  </si>
  <si>
    <t>,19,1,</t>
  </si>
  <si>
    <t>,7,8,</t>
  </si>
  <si>
    <t>,1,31,4,</t>
  </si>
  <si>
    <t>,12,6,</t>
  </si>
  <si>
    <t>,1,4,31,9,</t>
  </si>
  <si>
    <t>,9,2,</t>
  </si>
  <si>
    <t>,2,9,3,</t>
  </si>
  <si>
    <t>,9,3,1,2,</t>
  </si>
  <si>
    <t>,19,6,1,</t>
  </si>
  <si>
    <t>,12,11,</t>
  </si>
  <si>
    <t>,3,1,4,10,</t>
  </si>
  <si>
    <t>,7,3,12,</t>
  </si>
  <si>
    <t>,7,1,8,</t>
  </si>
  <si>
    <t>,31,2,11,4,</t>
  </si>
  <si>
    <t>,7,11,4,3,</t>
  </si>
  <si>
    <t>,4,25,</t>
  </si>
  <si>
    <t>,3,7,1,</t>
  </si>
  <si>
    <t>,3,1,5,</t>
  </si>
  <si>
    <t>,31,3,14,</t>
  </si>
  <si>
    <t>,4,1,3,</t>
  </si>
  <si>
    <t>,7,1,3,</t>
  </si>
  <si>
    <t>,1,31,9,</t>
  </si>
  <si>
    <t>,2,13,</t>
  </si>
  <si>
    <t>,9,1,31,</t>
  </si>
  <si>
    <t>,31,13,</t>
  </si>
  <si>
    <t>,2,3,1,25,</t>
  </si>
  <si>
    <t>,31,2,3,</t>
  </si>
  <si>
    <t>,1,9,31,</t>
  </si>
  <si>
    <t>,7,31,</t>
  </si>
  <si>
    <t>,31,1,</t>
  </si>
  <si>
    <t>,31,5,</t>
  </si>
  <si>
    <t>,5,31,</t>
  </si>
  <si>
    <t>,13,31,</t>
  </si>
  <si>
    <t>,1,9,4,3,2,</t>
  </si>
  <si>
    <t>,1,4,2,3,9,</t>
  </si>
  <si>
    <t>,1,3,5,2,11,</t>
  </si>
  <si>
    <t>,9,3,5,13,25,</t>
  </si>
  <si>
    <t>,5,2,1,4,3,</t>
  </si>
  <si>
    <t>,5,7,1,</t>
  </si>
  <si>
    <t>,1,2,3,31,9,</t>
  </si>
  <si>
    <t>,25,4,1,3,</t>
  </si>
  <si>
    <t>,31,2,11,3,4,</t>
  </si>
  <si>
    <t>,31,1,4,7,6,</t>
  </si>
  <si>
    <t>,1,3,4,7,2,</t>
  </si>
  <si>
    <t>,1,9,5,2,3,</t>
  </si>
  <si>
    <t>,1,7,25,31,2,</t>
  </si>
  <si>
    <t>,9,1,3,4,7,</t>
  </si>
  <si>
    <t>,2,11,3,31,9,</t>
  </si>
  <si>
    <t>,1,7,2,4,3,</t>
  </si>
  <si>
    <t>,10,31,</t>
  </si>
  <si>
    <t>,3,2,31,7,</t>
  </si>
  <si>
    <t>,31,5,8,2,</t>
  </si>
  <si>
    <t>,7,3,1,6,2,</t>
  </si>
  <si>
    <t>,9,1,5,7,3,</t>
  </si>
  <si>
    <t>,1,9,5,25,13,</t>
  </si>
  <si>
    <t>,3,31,14,</t>
  </si>
  <si>
    <t>,1,4,9,2,31,</t>
  </si>
  <si>
    <t>,1,3,2,7,9,</t>
  </si>
  <si>
    <t>,1,9,4,13,2,</t>
  </si>
  <si>
    <t>,4,2,3,31,</t>
  </si>
  <si>
    <t>,1,31,9,2,</t>
  </si>
  <si>
    <t>,25,4,31,</t>
  </si>
  <si>
    <t>,3,31,5,14,</t>
  </si>
  <si>
    <t>,4,3,2,1,25,</t>
  </si>
  <si>
    <t>,1,9,31,5,2,</t>
  </si>
  <si>
    <t>,3,1,6,2,5,</t>
  </si>
  <si>
    <t>,1,3,12,4,7,</t>
  </si>
  <si>
    <t>,6,1,9,3,2,</t>
  </si>
  <si>
    <t>,7,6,3,8,11,</t>
  </si>
  <si>
    <t>,8,2,3,1,7,</t>
  </si>
  <si>
    <t>,1,2,6,25,3,</t>
  </si>
  <si>
    <t>,1,4,3,7,13,</t>
  </si>
  <si>
    <t>,1,5,9,3,4,</t>
  </si>
  <si>
    <t>,1,9,5,3,7,</t>
  </si>
  <si>
    <t>,5,9,4,2,1,</t>
  </si>
  <si>
    <t>,5,3,2,1,4,</t>
  </si>
  <si>
    <t>,31,1,4,3,7,</t>
  </si>
  <si>
    <t>,4,13,25,1,8,</t>
  </si>
  <si>
    <t>,3,2,31,1,7,</t>
  </si>
  <si>
    <t>,2,7,1,3,4,</t>
  </si>
  <si>
    <t>,31,4,3,2,1,</t>
  </si>
  <si>
    <t>,2,1,7,8,4,</t>
  </si>
  <si>
    <t>,1,4,7,3,2,</t>
  </si>
  <si>
    <t>,1,2,5,3,31,</t>
  </si>
  <si>
    <t>,3,5,9,2,4,</t>
  </si>
  <si>
    <t>,1,4,31,3,</t>
  </si>
  <si>
    <t>,4,1,3,2,7,</t>
  </si>
  <si>
    <t>,1,4,3,7,2,</t>
  </si>
  <si>
    <t>,7,4,11,2,3,</t>
  </si>
  <si>
    <t>,4,9,7,3,11,</t>
  </si>
  <si>
    <t>,2,1,9,8,5,</t>
  </si>
  <si>
    <t>,7,1,2,3,25,</t>
  </si>
  <si>
    <t>,1,3,7,11,2,</t>
  </si>
  <si>
    <t>,4,12,8,2,6,</t>
  </si>
  <si>
    <t>,3,2,7,6,11,</t>
  </si>
  <si>
    <t>,7,25,3,1,2,</t>
  </si>
  <si>
    <t>,7,1,2,6,31,</t>
  </si>
  <si>
    <t>,1,7,2,6,3,</t>
  </si>
  <si>
    <t>,1,7,2,6,25,</t>
  </si>
  <si>
    <t>,5,1,2,3,6,</t>
  </si>
  <si>
    <t>,1,7,2,4,6,</t>
  </si>
  <si>
    <t>,2,3,31,</t>
  </si>
  <si>
    <t>,4,3,31,1,</t>
  </si>
  <si>
    <t>,4,1,7,3,2,</t>
  </si>
  <si>
    <t>,3,1,5,9,2,</t>
  </si>
  <si>
    <t>,3,1,4,2,7,</t>
  </si>
  <si>
    <t>,31,4,1,6,7,</t>
  </si>
  <si>
    <t>,4,1,3,2,9,</t>
  </si>
  <si>
    <t>,2,3,1,4,31,</t>
  </si>
  <si>
    <t>,3,2,1,4,7,</t>
  </si>
  <si>
    <t>,1,3,9,8,2,</t>
  </si>
  <si>
    <t>,3,1,2,4,5,</t>
  </si>
  <si>
    <t>,5,2,1,7,31,</t>
  </si>
  <si>
    <t>,1,2,3,6,4,</t>
  </si>
  <si>
    <t>,6,3,2,1,9,</t>
  </si>
  <si>
    <t>,1,5,9,3,2,</t>
  </si>
  <si>
    <t>,1,2,6,3,9,</t>
  </si>
  <si>
    <t>,1,5,9,2,7,</t>
  </si>
  <si>
    <t>,9,25,31,8,</t>
  </si>
  <si>
    <t>,1,4,3,6,7,</t>
  </si>
  <si>
    <t>,3,1,9,5,2,</t>
  </si>
  <si>
    <t>,3,6,1,2,</t>
  </si>
  <si>
    <t>,1,3,31,7,</t>
  </si>
  <si>
    <t>,1,3,7,6,31,</t>
  </si>
  <si>
    <t>,1,4,3,9,5,</t>
  </si>
  <si>
    <t>,1,25,4,8,2,</t>
  </si>
  <si>
    <t>,1,12,3,25,6,</t>
  </si>
  <si>
    <t>,3,1,2,25,4,</t>
  </si>
  <si>
    <t>answer_num_count</t>
  </si>
  <si>
    <t>coding_a</t>
    <phoneticPr fontId="4" type="noConversion"/>
  </si>
  <si>
    <t>coding_b</t>
  </si>
  <si>
    <t>Q1S1FA_code_ 1</t>
    <phoneticPr fontId="4" type="noConversion"/>
  </si>
  <si>
    <t>Q1S3FA_code_ 3</t>
    <phoneticPr fontId="4" type="noConversion"/>
  </si>
  <si>
    <t>Q1S4FA_code_ 4</t>
    <phoneticPr fontId="4" type="noConversion"/>
  </si>
  <si>
    <t>Q1S5FA_code_ 5</t>
    <phoneticPr fontId="4" type="noConversion"/>
  </si>
  <si>
    <t>Q1S2FA_code_ 2</t>
    <phoneticPr fontId="4" type="noConversion"/>
  </si>
  <si>
    <t>男性</t>
  </si>
  <si>
    <t>20-24</t>
  </si>
  <si>
    <t>未婚</t>
  </si>
  <si>
    <t>女性</t>
  </si>
  <si>
    <t>已婚无孩子</t>
  </si>
  <si>
    <t>已婚有孩子</t>
  </si>
  <si>
    <t>45-49</t>
  </si>
  <si>
    <t>1,2,3,4</t>
  </si>
  <si>
    <t>北京 男性 20-24 未婚</t>
  </si>
  <si>
    <t>北京 男性 20-24 已婚无孩子</t>
  </si>
  <si>
    <t>北京 男性 20-24 已婚有孩子</t>
  </si>
  <si>
    <t>北京 男性 25-29 未婚</t>
  </si>
  <si>
    <t>北京 男性 25-29 已婚无孩子</t>
  </si>
  <si>
    <t>北京 男性 25-29 已婚有孩子</t>
  </si>
  <si>
    <t>北京 男性 30-34 未婚</t>
  </si>
  <si>
    <t>北京 男性 30-34 已婚无孩子</t>
  </si>
  <si>
    <t>北京 男性 30-34 已婚有孩子</t>
  </si>
  <si>
    <t>北京 男性 35-39 未婚</t>
  </si>
  <si>
    <t>北京 男性 35-39 已婚无孩子</t>
  </si>
  <si>
    <t>北京 男性 35-39 已婚有孩子</t>
  </si>
  <si>
    <t>北京 男性 40-44 未婚</t>
  </si>
  <si>
    <t>北京 男性 40-44 已婚无孩子</t>
  </si>
  <si>
    <t>北京 男性 40-44 已婚有孩子</t>
  </si>
  <si>
    <t>北京 男性 45-49 未婚</t>
  </si>
  <si>
    <t>北京 男性 45-49 已婚无孩子</t>
  </si>
  <si>
    <t>北京 男性 45-49 已婚有孩子</t>
  </si>
  <si>
    <t>北京 女性 20-24 未婚</t>
  </si>
  <si>
    <t>北京 女性 20-24 已婚无孩子</t>
  </si>
  <si>
    <t>北京 女性 20-24 已婚有孩子</t>
  </si>
  <si>
    <t>北京 女性 25-29 未婚</t>
  </si>
  <si>
    <t>北京 女性 25-29 已婚无孩子</t>
  </si>
  <si>
    <t>北京 女性 25-29 已婚有孩子</t>
  </si>
  <si>
    <t>北京 女性 30-34 未婚</t>
  </si>
  <si>
    <t>北京 女性 30-34 已婚无孩子</t>
  </si>
  <si>
    <t>北京 女性 30-34 已婚有孩子</t>
  </si>
  <si>
    <t>北京 女性 35-39 未婚</t>
  </si>
  <si>
    <t>北京 女性 35-39 已婚无孩子</t>
  </si>
  <si>
    <t>北京 女性 35-39 已婚有孩子</t>
  </si>
  <si>
    <t>北京 女性 40-44 未婚</t>
  </si>
  <si>
    <t>北京 女性 40-44 已婚无孩子</t>
  </si>
  <si>
    <t>北京 女性 40-44 已婚有孩子</t>
  </si>
  <si>
    <t>北京 女性 45-49 未婚</t>
  </si>
  <si>
    <t>北京 女性 45-49 已婚无孩子</t>
  </si>
  <si>
    <t>北京 女性 45-49 已婚有孩子</t>
  </si>
  <si>
    <t>上海 男性 20-24 未婚</t>
  </si>
  <si>
    <t>上海 男性 20-24 已婚无孩子</t>
  </si>
  <si>
    <t>上海 男性 20-24 已婚有孩子</t>
  </si>
  <si>
    <t>上海 男性 25-29 未婚</t>
  </si>
  <si>
    <t>上海 男性 25-29 已婚无孩子</t>
  </si>
  <si>
    <t>上海 男性 25-29 已婚有孩子</t>
  </si>
  <si>
    <t>上海 男性 30-34 未婚</t>
  </si>
  <si>
    <t>上海 男性 30-34 已婚无孩子</t>
  </si>
  <si>
    <t>上海 男性 30-34 已婚有孩子</t>
  </si>
  <si>
    <t>上海 男性 35-39 未婚</t>
  </si>
  <si>
    <t>上海 男性 35-39 已婚无孩子</t>
  </si>
  <si>
    <t>上海 男性 35-39 已婚有孩子</t>
  </si>
  <si>
    <t>上海 男性 40-44 未婚</t>
  </si>
  <si>
    <t>上海 男性 40-44 已婚无孩子</t>
  </si>
  <si>
    <t>上海 男性 40-44 已婚有孩子</t>
  </si>
  <si>
    <t>上海 男性 45-49 未婚</t>
  </si>
  <si>
    <t>上海 男性 45-49 已婚无孩子</t>
  </si>
  <si>
    <t>上海 男性 45-49 已婚有孩子</t>
  </si>
  <si>
    <t>上海 女性 20-24 未婚</t>
  </si>
  <si>
    <t>上海 女性 20-24 已婚无孩子</t>
  </si>
  <si>
    <t>上海 女性 20-24 已婚有孩子</t>
  </si>
  <si>
    <t>上海 女性 25-29 未婚</t>
  </si>
  <si>
    <t>上海 女性 25-29 已婚无孩子</t>
  </si>
  <si>
    <t>上海 女性 25-29 已婚有孩子</t>
  </si>
  <si>
    <t>上海 女性 30-34 未婚</t>
  </si>
  <si>
    <t>上海 女性 30-34 已婚无孩子</t>
  </si>
  <si>
    <t>上海 女性 30-34 已婚有孩子</t>
  </si>
  <si>
    <t>上海 女性 35-39 未婚</t>
  </si>
  <si>
    <t>上海 女性 35-39 已婚无孩子</t>
  </si>
  <si>
    <t>上海 女性 35-39 已婚有孩子</t>
  </si>
  <si>
    <t>上海 女性 40-44 未婚</t>
  </si>
  <si>
    <t>上海 女性 40-44 已婚无孩子</t>
  </si>
  <si>
    <t>上海 女性 40-44 已婚有孩子</t>
  </si>
  <si>
    <t>上海 女性 45-49 未婚</t>
  </si>
  <si>
    <t>上海 女性 45-49 已婚无孩子</t>
  </si>
  <si>
    <t>上海 女性 45-49 已婚有孩子</t>
  </si>
  <si>
    <t>广州 男性 20-24 未婚</t>
  </si>
  <si>
    <t>广州 男性 20-24 已婚无孩子</t>
  </si>
  <si>
    <t>广州 男性 20-24 已婚有孩子</t>
  </si>
  <si>
    <t>广州 男性 25-29 未婚</t>
  </si>
  <si>
    <t>广州 男性 25-29 已婚无孩子</t>
  </si>
  <si>
    <t>广州 男性 25-29 已婚有孩子</t>
  </si>
  <si>
    <t>广州 男性 30-34 未婚</t>
  </si>
  <si>
    <t>广州 男性 30-34 已婚无孩子</t>
  </si>
  <si>
    <t>广州 男性 30-34 已婚有孩子</t>
  </si>
  <si>
    <t>广州 男性 35-39 未婚</t>
  </si>
  <si>
    <t>广州 男性 35-39 已婚无孩子</t>
  </si>
  <si>
    <t>广州 男性 35-39 已婚有孩子</t>
  </si>
  <si>
    <t>广州 男性 40-44 未婚</t>
  </si>
  <si>
    <t>广州 男性 40-44 已婚无孩子</t>
  </si>
  <si>
    <t>广州 男性 40-44 已婚有孩子</t>
  </si>
  <si>
    <t>广州 男性 45-49 未婚</t>
  </si>
  <si>
    <t>广州 男性 45-49 已婚无孩子</t>
  </si>
  <si>
    <t>广州 男性 45-49 已婚有孩子</t>
  </si>
  <si>
    <t>广州 女性 20-24 未婚</t>
  </si>
  <si>
    <t>广州 女性 20-24 已婚无孩子</t>
  </si>
  <si>
    <t>广州 女性 20-24 已婚有孩子</t>
  </si>
  <si>
    <t>广州 女性 25-29 未婚</t>
  </si>
  <si>
    <t>广州 女性 25-29 已婚无孩子</t>
  </si>
  <si>
    <t>广州 女性 25-29 已婚有孩子</t>
  </si>
  <si>
    <t>广州 女性 30-34 未婚</t>
  </si>
  <si>
    <t>广州 女性 30-34 已婚无孩子</t>
  </si>
  <si>
    <t>广州 女性 30-34 已婚有孩子</t>
  </si>
  <si>
    <t>广州 女性 35-39 未婚</t>
  </si>
  <si>
    <t>广州 女性 35-39 已婚无孩子</t>
  </si>
  <si>
    <t>广州 女性 35-39 已婚有孩子</t>
  </si>
  <si>
    <t>广州 女性 40-44 未婚</t>
  </si>
  <si>
    <t>广州 女性 40-44 已婚无孩子</t>
  </si>
  <si>
    <t>广州 女性 40-44 已婚有孩子</t>
  </si>
  <si>
    <t>广州 女性 45-49 未婚</t>
  </si>
  <si>
    <t>广州 女性 45-49 已婚无孩子</t>
  </si>
  <si>
    <t>广州 女性 45-49 已婚有孩子</t>
  </si>
  <si>
    <t>成都 男性 20-24 未婚</t>
  </si>
  <si>
    <t>成都 男性 20-24 已婚无孩子</t>
  </si>
  <si>
    <t>成都 男性 20-24 已婚有孩子</t>
  </si>
  <si>
    <t>成都 男性 25-29 未婚</t>
  </si>
  <si>
    <t>成都 男性 25-29 已婚无孩子</t>
  </si>
  <si>
    <t>成都 男性 25-29 已婚有孩子</t>
  </si>
  <si>
    <t>成都 男性 30-34 未婚</t>
  </si>
  <si>
    <t>成都 男性 30-34 已婚无孩子</t>
  </si>
  <si>
    <t>成都 男性 30-34 已婚有孩子</t>
  </si>
  <si>
    <t>成都 男性 35-39 未婚</t>
  </si>
  <si>
    <t>成都 男性 35-39 已婚无孩子</t>
  </si>
  <si>
    <t>成都 男性 35-39 已婚有孩子</t>
  </si>
  <si>
    <t>成都 男性 40-44 未婚</t>
  </si>
  <si>
    <t>成都 男性 40-44 已婚无孩子</t>
  </si>
  <si>
    <t>成都 男性 40-44 已婚有孩子</t>
  </si>
  <si>
    <t>成都 男性 45-49 未婚</t>
  </si>
  <si>
    <t>成都 男性 45-49 已婚无孩子</t>
  </si>
  <si>
    <t>成都 男性 45-49 已婚有孩子</t>
  </si>
  <si>
    <t>成都 女性 20-24 未婚</t>
  </si>
  <si>
    <t>成都 女性 20-24 已婚无孩子</t>
  </si>
  <si>
    <t>成都 女性 20-24 已婚有孩子</t>
  </si>
  <si>
    <t>成都 女性 25-29 未婚</t>
  </si>
  <si>
    <t>成都 女性 25-29 已婚无孩子</t>
  </si>
  <si>
    <t>成都 女性 25-29 已婚有孩子</t>
  </si>
  <si>
    <t>成都 女性 30-34 未婚</t>
  </si>
  <si>
    <t>成都 女性 30-34 已婚无孩子</t>
  </si>
  <si>
    <t>成都 女性 30-34 已婚有孩子</t>
  </si>
  <si>
    <t>成都 女性 35-39 未婚</t>
  </si>
  <si>
    <t>成都 女性 35-39 已婚无孩子</t>
  </si>
  <si>
    <t>成都 女性 35-39 已婚有孩子</t>
  </si>
  <si>
    <t>成都 女性 40-44 未婚</t>
  </si>
  <si>
    <t>成都 女性 40-44 已婚无孩子</t>
  </si>
  <si>
    <t>成都 女性 40-44 已婚有孩子</t>
  </si>
  <si>
    <t>成都 女性 45-49 未婚</t>
  </si>
  <si>
    <t>成都 女性 45-49 已婚无孩子</t>
  </si>
  <si>
    <t>成都 女性 45-49 已婚有孩子</t>
  </si>
  <si>
    <t>20-29</t>
  </si>
  <si>
    <t>30-39</t>
  </si>
  <si>
    <t>40-49</t>
  </si>
  <si>
    <t>低收入[～16K)</t>
  </si>
  <si>
    <t>中等收入[16-25K)]</t>
  </si>
  <si>
    <t>高收入[25K～]</t>
  </si>
  <si>
    <t>单身</t>
  </si>
  <si>
    <t>已婚(没孩子)</t>
  </si>
  <si>
    <t>已婚(有孩子)</t>
  </si>
  <si>
    <t>孩子(学龄前)</t>
  </si>
  <si>
    <t>孩子(学龄)</t>
  </si>
  <si>
    <t>单身+没孩子</t>
  </si>
  <si>
    <t>大包装[700ml～]</t>
  </si>
  <si>
    <t>小包装[～500ml]</t>
  </si>
  <si>
    <t>低脂核心用户</t>
  </si>
  <si>
    <t>用户_光明 鲜牛奶</t>
  </si>
  <si>
    <t>用户_光明 致优鲜牛奶</t>
  </si>
  <si>
    <t>用户_光明 致优娟姗牛鲜牛奶</t>
  </si>
  <si>
    <t>用户_光明 优倍鲜牛奶</t>
  </si>
  <si>
    <t>用户_光明 新鲜牧场</t>
  </si>
  <si>
    <t>用户_明治 醇壹牛乳</t>
  </si>
  <si>
    <t>用户_明治 醇壹低脂肪牛乳</t>
  </si>
  <si>
    <t>用户_味全 严选牧场鲜牛奶</t>
  </si>
  <si>
    <t>用户_朝日绿源 唯品纯牛乳</t>
  </si>
  <si>
    <t>用户_盒马鲜生 日日鲜鲜牛乳</t>
  </si>
  <si>
    <t>用户_蒙牛 每日鲜语鲜牛乳</t>
  </si>
  <si>
    <t>用户_蒙牛 新鲜工厂</t>
  </si>
  <si>
    <t>用户_安佳 鲜牛乳</t>
  </si>
  <si>
    <t>用户_光明品牌</t>
  </si>
  <si>
    <t>用户_明治品牌</t>
  </si>
  <si>
    <t>用户_盒马品牌</t>
  </si>
  <si>
    <t>用户_蒙牛品牌</t>
  </si>
  <si>
    <t>核心_光明 鲜牛奶</t>
  </si>
  <si>
    <t>核心_光明 致优鲜牛奶</t>
  </si>
  <si>
    <t>核心_光明 优倍鲜牛奶</t>
  </si>
  <si>
    <t>核心_明治 醇壹牛乳</t>
  </si>
  <si>
    <t>核心_味全 严选牧场鲜牛奶</t>
  </si>
  <si>
    <t>核心_蒙牛 每日鲜语鲜牛乳</t>
  </si>
  <si>
    <t>核心_安佳 鲜牛乳</t>
  </si>
  <si>
    <t>核心_光明品牌</t>
  </si>
  <si>
    <t>核心_明治品牌</t>
  </si>
  <si>
    <t>核心_盒马品牌</t>
  </si>
  <si>
    <t>核心_蒙牛品牌</t>
  </si>
  <si>
    <t>非核心_明治 醇壹牛乳</t>
  </si>
  <si>
    <t>终止_明治 醇壹牛乳</t>
  </si>
  <si>
    <t>非核心_明治品牌</t>
  </si>
  <si>
    <t>终止_明治品牌</t>
  </si>
  <si>
    <t>认知_明治品牌</t>
  </si>
  <si>
    <t>经验_明治品牌</t>
  </si>
  <si>
    <t>早餐时间带(MA)</t>
  </si>
  <si>
    <t>午餐时间带(MA)</t>
  </si>
  <si>
    <t>下午时间带(MA)</t>
  </si>
  <si>
    <t>晚餐时间带(MA)</t>
  </si>
  <si>
    <t>睡前时间带(MA)</t>
  </si>
  <si>
    <t>早餐时间带(SA)</t>
  </si>
  <si>
    <t>午餐时间带(SA)</t>
  </si>
  <si>
    <t>下午时间带(SA)</t>
  </si>
  <si>
    <t>晚餐时间带(SA)</t>
  </si>
  <si>
    <t>睡前时间带(SA)</t>
  </si>
  <si>
    <t>饮用者_只有我</t>
  </si>
  <si>
    <t>饮用者_含配偶</t>
  </si>
  <si>
    <t>饮用者_含父母</t>
  </si>
  <si>
    <t>饮用者_含小孩</t>
  </si>
  <si>
    <t>普通超市</t>
  </si>
  <si>
    <t>精品/进口超市</t>
  </si>
  <si>
    <t>24小时便利店</t>
  </si>
  <si>
    <t>网购网站/电商</t>
  </si>
  <si>
    <t>a</t>
    <phoneticPr fontId="192" type="noConversion"/>
  </si>
  <si>
    <t>b</t>
    <phoneticPr fontId="192" type="noConversion"/>
  </si>
  <si>
    <t>c</t>
    <phoneticPr fontId="192" type="noConversion"/>
  </si>
  <si>
    <t>d</t>
    <phoneticPr fontId="192" type="noConversion"/>
  </si>
  <si>
    <t>1-2</t>
    <phoneticPr fontId="192" type="noConversion"/>
  </si>
  <si>
    <t>23-34</t>
    <phoneticPr fontId="192" type="noConversion"/>
  </si>
  <si>
    <t>23-44</t>
    <phoneticPr fontId="192" type="noConversion"/>
  </si>
  <si>
    <t>45-90</t>
    <phoneticPr fontId="192" type="noConversion"/>
  </si>
  <si>
    <t>1,2</t>
    <phoneticPr fontId="4" type="noConversion"/>
  </si>
  <si>
    <t>,</t>
  </si>
  <si>
    <t>,1,.,2,.,3,</t>
    <phoneticPr fontId="4" type="noConversion"/>
  </si>
  <si>
    <t>,w,e,w,q,.,</t>
    <phoneticPr fontId="4" type="noConversion"/>
  </si>
  <si>
    <t>,1,.,2,.,4,</t>
    <phoneticPr fontId="4" type="noConversion"/>
  </si>
  <si>
    <t>,.,.,2,</t>
    <phoneticPr fontId="4" type="noConversion"/>
  </si>
  <si>
    <t>,d,2,。,。,.,.,2,</t>
    <phoneticPr fontId="4" type="noConversion"/>
  </si>
  <si>
    <t>,,,</t>
    <phoneticPr fontId="4" type="noConversion"/>
  </si>
  <si>
    <t>ok,ok</t>
    <phoneticPr fontId="4" type="noConversion"/>
  </si>
  <si>
    <t>ok,ok</t>
    <phoneticPr fontId="4" type="noConversion"/>
  </si>
  <si>
    <t>ok,okqok,okwok,okeok,okqok,okwok,ok</t>
    <phoneticPr fontId="4" type="noConversion"/>
  </si>
  <si>
    <t>tttotttkttt2tttotttkttt1tttotttkttt3tttotttkttt</t>
    <phoneticPr fontId="4" type="noConversion"/>
  </si>
  <si>
    <t>tttotttkttt</t>
    <phoneticPr fontId="4" type="noConversion"/>
  </si>
  <si>
    <t>tttotttkttt1tttotttkttt2tttotttkttt3tttotttkttt</t>
    <phoneticPr fontId="4" type="noConversion"/>
  </si>
  <si>
    <t>tttotttkttt</t>
    <phoneticPr fontId="4" type="noConversion"/>
  </si>
  <si>
    <t>ttottktt,ttottktt</t>
    <phoneticPr fontId="4" type="noConversion"/>
  </si>
  <si>
    <t>ttottktt,ttottktt</t>
    <phoneticPr fontId="4" type="noConversion"/>
  </si>
  <si>
    <t>ttottktt,ttottkttqttottktt,ttottkttwttottktt,ttottkttettottktt,ttottkttqttottktt,ttottkttwttottktt,ttottktt</t>
    <phoneticPr fontId="4" type="noConversion"/>
  </si>
  <si>
    <t>ttottktt,ttottktt1ttottktt,ttottktt,ttottktt,ttottktt2ttottktt,ttottktt</t>
    <phoneticPr fontId="4" type="noConversion"/>
  </si>
  <si>
    <t>ttottktt,ttottktt1ttottktt,ttottktt2ttottktt,ttottktt</t>
    <phoneticPr fontId="4" type="noConversion"/>
  </si>
  <si>
    <t>ok</t>
    <phoneticPr fontId="4" type="noConversion"/>
  </si>
  <si>
    <t>tt,tt</t>
    <phoneticPr fontId="4" type="noConversion"/>
  </si>
  <si>
    <t>tt,ttqtt,ttwtt,ttett,ttqtt,ttwtt,tt</t>
    <phoneticPr fontId="4" type="noConversion"/>
  </si>
  <si>
    <t>tt,tt</t>
    <phoneticPr fontId="4" type="noConversion"/>
  </si>
  <si>
    <t>tt</t>
    <phoneticPr fontId="4" type="noConversion"/>
  </si>
  <si>
    <t>2.。。3..</t>
    <phoneticPr fontId="4" type="noConversion"/>
  </si>
  <si>
    <t>五五七..21</t>
    <phoneticPr fontId="4" type="noConversion"/>
  </si>
  <si>
    <t>2,。。3,,</t>
    <phoneticPr fontId="4" type="noConversion"/>
  </si>
  <si>
    <t>,,21</t>
    <phoneticPr fontId="4" type="noConversion"/>
  </si>
  <si>
    <t>[^一-龥]</t>
    <phoneticPr fontId="4" type="noConversion"/>
  </si>
  <si>
    <t>w</t>
    <phoneticPr fontId="4" type="noConversion"/>
  </si>
  <si>
    <t>ot</t>
    <phoneticPr fontId="4" type="noConversion"/>
  </si>
  <si>
    <t>撒大声地</t>
    <phoneticPr fontId="4" type="noConversion"/>
  </si>
  <si>
    <t>○</t>
    <phoneticPr fontId="31"/>
  </si>
  <si>
    <t>SA：</t>
  </si>
  <si>
    <t>单选</t>
  </si>
  <si>
    <t>□</t>
    <phoneticPr fontId="31"/>
  </si>
  <si>
    <t>MA：</t>
  </si>
  <si>
    <t>可多选</t>
  </si>
  <si>
    <t>FA：　自由回答</t>
    <rPh sb="4" eb="6">
      <t>ジユウ</t>
    </rPh>
    <rPh sb="6" eb="8">
      <t>カイトウ</t>
    </rPh>
    <phoneticPr fontId="31"/>
  </si>
  <si>
    <t>自由回答</t>
  </si>
  <si>
    <t>NA：</t>
  </si>
  <si>
    <t>数字输入</t>
  </si>
  <si>
    <t>■対象者条件</t>
    <rPh sb="1" eb="2">
      <t>ヒ</t>
    </rPh>
    <rPh sb="3" eb="4">
      <t>シャ</t>
    </rPh>
    <rPh sb="4" eb="6">
      <t>ジョウケン</t>
    </rPh>
    <phoneticPr fontId="31"/>
  </si>
  <si>
    <t>调研方法：</t>
  </si>
  <si>
    <t>WEB定量</t>
    <rPh sb="0" eb="2">
      <t>ダンジョ</t>
    </rPh>
    <phoneticPr fontId="193"/>
  </si>
  <si>
    <t>执行城市：</t>
  </si>
  <si>
    <t>上海</t>
    <phoneticPr fontId="199" type="noConversion"/>
  </si>
  <si>
    <t>样本数量：</t>
    <phoneticPr fontId="199" type="noConversion"/>
  </si>
  <si>
    <t>450ss</t>
    <phoneticPr fontId="200"/>
  </si>
  <si>
    <t>样本条件：</t>
    <phoneticPr fontId="200"/>
  </si>
  <si>
    <t>●20-49岁男女</t>
    <phoneticPr fontId="200"/>
  </si>
  <si>
    <t>●行业排除</t>
    <phoneticPr fontId="199" type="noConversion"/>
  </si>
  <si>
    <r>
      <t>●个人月收5000元+ and 家庭月收10000元+ （</t>
    </r>
    <r>
      <rPr>
        <sz val="9"/>
        <color rgb="FFFF0000"/>
        <rFont val="SimHei"/>
        <family val="3"/>
        <charset val="134"/>
      </rPr>
      <t>学生无个人收入，根据家庭收入判断</t>
    </r>
    <r>
      <rPr>
        <sz val="9"/>
        <rFont val="SimHei"/>
        <family val="3"/>
        <charset val="134"/>
      </rPr>
      <t>）</t>
    </r>
    <phoneticPr fontId="199" type="noConversion"/>
  </si>
  <si>
    <t>●运动目的</t>
    <phoneticPr fontId="199" type="noConversion"/>
  </si>
  <si>
    <t>└乳清蛋白粉whey：竞技/体型 向上</t>
    <phoneticPr fontId="199" type="noConversion"/>
  </si>
  <si>
    <t>└植物蛋白分soy：竞技/体型/健康 向上or维持</t>
    <phoneticPr fontId="199" type="noConversion"/>
  </si>
  <si>
    <t>●运动项目：特定运动项目（参考相关设问）</t>
    <phoneticPr fontId="199" type="noConversion"/>
  </si>
  <si>
    <t>●蛋白粉饮用频率：每周1次及以上</t>
    <phoneticPr fontId="199" type="noConversion"/>
  </si>
  <si>
    <r>
      <t>●蛋白粉购买：</t>
    </r>
    <r>
      <rPr>
        <sz val="9"/>
        <color rgb="FFFF0000"/>
        <rFont val="SimHei"/>
        <family val="3"/>
        <charset val="134"/>
      </rPr>
      <t>最近半年在网上购买过</t>
    </r>
    <phoneticPr fontId="199" type="noConversion"/>
  </si>
  <si>
    <t>配额：</t>
  </si>
  <si>
    <t>参照右侧配额表（WHEY×Sport, WHEY×Health, /SOY</t>
    <phoneticPr fontId="200"/>
  </si>
  <si>
    <t>设问数量：</t>
  </si>
  <si>
    <t>プロフィール</t>
    <phoneticPr fontId="199" type="noConversion"/>
  </si>
  <si>
    <t>全員</t>
  </si>
  <si>
    <t>【居住地】</t>
  </si>
  <si>
    <t>您居住在哪个城市？（单选）</t>
    <phoneticPr fontId="200"/>
  </si>
  <si>
    <t>○</t>
  </si>
  <si>
    <t>北京市</t>
    <phoneticPr fontId="199" type="noConversion"/>
  </si>
  <si>
    <t>×調査中止</t>
  </si>
  <si>
    <t>上海市</t>
    <phoneticPr fontId="199" type="noConversion"/>
  </si>
  <si>
    <t>→割付設定</t>
    <phoneticPr fontId="199" type="noConversion"/>
  </si>
  <si>
    <t>广州市</t>
    <phoneticPr fontId="199" type="noConversion"/>
  </si>
  <si>
    <t>其他城市</t>
    <phoneticPr fontId="199" type="noConversion"/>
  </si>
  <si>
    <t>【年齢】</t>
  </si>
  <si>
    <t>请选择您的性别与年龄。（单选）</t>
    <phoneticPr fontId="200"/>
  </si>
  <si>
    <t>男性:20岁不到</t>
  </si>
  <si>
    <t>×调查终止</t>
  </si>
  <si>
    <t>女性:20岁不到</t>
  </si>
  <si>
    <t>男性:20－24岁</t>
  </si>
  <si>
    <t>→配额设置</t>
    <phoneticPr fontId="199" type="noConversion"/>
  </si>
  <si>
    <t>女性:20－24岁</t>
  </si>
  <si>
    <t>男性:25－29岁</t>
  </si>
  <si>
    <t>女性:25－29岁</t>
  </si>
  <si>
    <t>男性:30－34岁</t>
  </si>
  <si>
    <t>女性:30－34岁</t>
  </si>
  <si>
    <t>男性:35－39岁</t>
  </si>
  <si>
    <t>女性:35－39岁</t>
  </si>
  <si>
    <t>男性:40－44岁</t>
  </si>
  <si>
    <t>女性:40－44岁</t>
  </si>
  <si>
    <t>男性:45－49岁</t>
  </si>
  <si>
    <t>女性:45－49岁</t>
  </si>
  <si>
    <t>男性:50－54岁</t>
  </si>
  <si>
    <t>女性:50－54岁</t>
  </si>
  <si>
    <t>男性:55－59岁</t>
  </si>
  <si>
    <t>女性:55－59岁</t>
  </si>
  <si>
    <t>男性:60岁及以上</t>
  </si>
  <si>
    <t>女性:60岁及以上</t>
  </si>
  <si>
    <t>【業界排除】</t>
    <phoneticPr fontId="199" type="noConversion"/>
  </si>
  <si>
    <t>您从事的工作属于以下哪个行业。（单选）</t>
  </si>
  <si>
    <t>公务员</t>
    <phoneticPr fontId="199" type="noConversion"/>
  </si>
  <si>
    <t>通讯业</t>
  </si>
  <si>
    <t>农业/林业/渔业/矿业</t>
  </si>
  <si>
    <t>餐饮店</t>
  </si>
  <si>
    <t>建筑业</t>
  </si>
  <si>
    <t>银行</t>
  </si>
  <si>
    <t>制造业(汽车/汽车相关零件)</t>
  </si>
  <si>
    <t>证券/投资</t>
  </si>
  <si>
    <t>制造业(电器产品)</t>
  </si>
  <si>
    <t>房地产业</t>
  </si>
  <si>
    <t>制造业(个人健康医疗产品)</t>
  </si>
  <si>
    <t>专业人士(律师/税务师/会计师等)</t>
  </si>
  <si>
    <t>制造业(化妆品)</t>
  </si>
  <si>
    <t>运输业</t>
  </si>
  <si>
    <t>制造业(食品/饮料)</t>
  </si>
  <si>
    <t>电力/煤气/供热/供水</t>
  </si>
  <si>
    <t>制造业(其他)</t>
  </si>
  <si>
    <t>系统/软件业</t>
  </si>
  <si>
    <t>市场调查</t>
    <phoneticPr fontId="199" type="noConversion"/>
  </si>
  <si>
    <t>信息通信/通信基础设施产业</t>
  </si>
  <si>
    <t>咨询/广告/公关</t>
    <phoneticPr fontId="199" type="noConversion"/>
  </si>
  <si>
    <t>互联网服务业</t>
  </si>
  <si>
    <t>传媒(电视/广播/纸媒)</t>
    <phoneticPr fontId="199" type="noConversion"/>
  </si>
  <si>
    <t>医疗业</t>
  </si>
  <si>
    <t>批发/零售业(汽车/汽车相关零件)</t>
  </si>
  <si>
    <t>教育相关行业</t>
  </si>
  <si>
    <t>批发/零售业(电器产品)</t>
  </si>
  <si>
    <t>军人</t>
    <phoneticPr fontId="199" type="noConversion"/>
  </si>
  <si>
    <t>批发/零售业(个人健康医疗产品)</t>
  </si>
  <si>
    <t>无工作(包括家庭主妇/退休等)</t>
  </si>
  <si>
    <t>批发/零售业(化妆品)</t>
  </si>
  <si>
    <t>初中生</t>
    <phoneticPr fontId="199" type="noConversion"/>
  </si>
  <si>
    <t>批发/零售业(食品/饮料)</t>
  </si>
  <si>
    <t>高中生</t>
  </si>
  <si>
    <t>批发/零售业(其他)</t>
  </si>
  <si>
    <t>大学生(包括研究生博士生等)</t>
  </si>
  <si>
    <t>旅游业</t>
  </si>
  <si>
    <t>【収入】</t>
  </si>
  <si>
    <r>
      <t>请问您的</t>
    </r>
    <r>
      <rPr>
        <sz val="9"/>
        <color rgb="FF0000FF"/>
        <rFont val="SimHei"/>
        <family val="3"/>
        <charset val="134"/>
      </rPr>
      <t>个人月收入</t>
    </r>
    <r>
      <rPr>
        <sz val="9"/>
        <rFont val="SimHei"/>
        <family val="3"/>
        <charset val="134"/>
      </rPr>
      <t>以及</t>
    </r>
    <r>
      <rPr>
        <sz val="9"/>
        <color rgb="FF0000FF"/>
        <rFont val="SimHei"/>
        <family val="3"/>
        <charset val="134"/>
      </rPr>
      <t>家庭月收入</t>
    </r>
    <r>
      <rPr>
        <sz val="9"/>
        <rFont val="SimHei"/>
        <family val="3"/>
        <charset val="134"/>
      </rPr>
      <t>最接近哪个范围？（税前）（纵向单选）</t>
    </r>
    <phoneticPr fontId="199" type="noConversion"/>
  </si>
  <si>
    <t>↓</t>
    <phoneticPr fontId="193"/>
  </si>
  <si>
    <t>不到3,000元</t>
  </si>
  <si>
    <t>※个人月收≥5000 and 家庭月收≥10000（大学生无个人收入，根据家庭收入判断）</t>
    <phoneticPr fontId="199" type="noConversion"/>
  </si>
  <si>
    <t>3,000～3,999元</t>
    <phoneticPr fontId="199" type="noConversion"/>
  </si>
  <si>
    <t>4,000～4,999元</t>
    <phoneticPr fontId="199" type="noConversion"/>
  </si>
  <si>
    <t>5,000～5,999元</t>
    <phoneticPr fontId="199" type="noConversion"/>
  </si>
  <si>
    <t>6,000～6,999元</t>
    <phoneticPr fontId="199" type="noConversion"/>
  </si>
  <si>
    <t>7,000～7,999元</t>
    <phoneticPr fontId="199" type="noConversion"/>
  </si>
  <si>
    <t>8,000～8,999元</t>
    <phoneticPr fontId="199" type="noConversion"/>
  </si>
  <si>
    <t>9,000～9,999元</t>
    <phoneticPr fontId="199" type="noConversion"/>
  </si>
  <si>
    <t>10,000～11,999元</t>
    <phoneticPr fontId="199" type="noConversion"/>
  </si>
  <si>
    <t>12,000～13,999元</t>
    <phoneticPr fontId="199" type="noConversion"/>
  </si>
  <si>
    <t>14,000～15,999元</t>
    <phoneticPr fontId="199" type="noConversion"/>
  </si>
  <si>
    <t>16,000～17,999元</t>
    <phoneticPr fontId="199" type="noConversion"/>
  </si>
  <si>
    <t>18,000～19,999元</t>
    <phoneticPr fontId="199" type="noConversion"/>
  </si>
  <si>
    <t>20,000～24,999元</t>
    <phoneticPr fontId="199" type="noConversion"/>
  </si>
  <si>
    <t>25,000～29,999元</t>
    <phoneticPr fontId="199" type="noConversion"/>
  </si>
  <si>
    <t>【直近半年継続やること・運動確認】</t>
    <phoneticPr fontId="199" type="noConversion"/>
  </si>
  <si>
    <t>以下各个项目中，最近半年您持续在做的有哪些？ （可多选）</t>
    <phoneticPr fontId="200"/>
  </si>
  <si>
    <t>↓Random</t>
    <phoneticPr fontId="200"/>
  </si>
  <si>
    <t>□</t>
  </si>
  <si>
    <t>旅游</t>
  </si>
  <si>
    <t>逛街/购物</t>
  </si>
  <si>
    <t>品尝美食</t>
  </si>
  <si>
    <t>烹饪/烘焙</t>
  </si>
  <si>
    <t>与朋友聚会</t>
  </si>
  <si>
    <t>去酒吧/夜店</t>
  </si>
  <si>
    <t>追剧</t>
  </si>
  <si>
    <t>看动漫</t>
    <phoneticPr fontId="199" type="noConversion"/>
  </si>
  <si>
    <t>打游戏/电玩</t>
  </si>
  <si>
    <t>健身/运动</t>
  </si>
  <si>
    <t>→ ON 必须</t>
    <phoneticPr fontId="199" type="noConversion"/>
  </si>
  <si>
    <t>进修/学习</t>
  </si>
  <si>
    <t>投资理财</t>
    <phoneticPr fontId="199" type="noConversion"/>
  </si>
  <si>
    <t>养宠物</t>
    <phoneticPr fontId="199" type="noConversion"/>
  </si>
  <si>
    <t>【直近半年継続食用品・プロティン確認】</t>
    <phoneticPr fontId="199" type="noConversion"/>
  </si>
  <si>
    <t>以下各类产品中，最近半年您持续饮用/食用的有哪些？ （可多选）</t>
    <phoneticPr fontId="200"/>
  </si>
  <si>
    <t>牛奶</t>
    <phoneticPr fontId="199" type="noConversion"/>
  </si>
  <si>
    <t>酸奶</t>
    <phoneticPr fontId="199" type="noConversion"/>
  </si>
  <si>
    <t>能量饮料</t>
    <phoneticPr fontId="199" type="noConversion"/>
  </si>
  <si>
    <t>咖啡</t>
    <phoneticPr fontId="199" type="noConversion"/>
  </si>
  <si>
    <t>蛋白粉(粉末)</t>
    <phoneticPr fontId="199" type="noConversion"/>
  </si>
  <si>
    <t>维生素</t>
    <phoneticPr fontId="199" type="noConversion"/>
  </si>
  <si>
    <t>粗粮/谷物</t>
    <phoneticPr fontId="199" type="noConversion"/>
  </si>
  <si>
    <t>含胶原蛋白产品</t>
    <phoneticPr fontId="199" type="noConversion"/>
  </si>
  <si>
    <t>含氨基酸产品</t>
    <phoneticPr fontId="199" type="noConversion"/>
  </si>
  <si>
    <t>含益生菌产品</t>
    <phoneticPr fontId="199" type="noConversion"/>
  </si>
  <si>
    <t>含膳食纤维产品</t>
    <phoneticPr fontId="199" type="noConversion"/>
  </si>
  <si>
    <t>【運動頻度】</t>
    <phoneticPr fontId="199" type="noConversion"/>
  </si>
  <si>
    <t>您目前运动的频率大概是每周几次？（数字填写）</t>
  </si>
  <si>
    <t>次/周</t>
    <rPh sb="0" eb="1">
      <t>ガツ</t>
    </rPh>
    <phoneticPr fontId="224"/>
  </si>
  <si>
    <t>→ ≥3次/周</t>
    <phoneticPr fontId="199" type="noConversion"/>
  </si>
  <si>
    <t>【運動目的】</t>
    <phoneticPr fontId="199" type="noConversion"/>
  </si>
  <si>
    <t>您目前持续健身运动最主要的目的是什么？（单选）</t>
    <phoneticPr fontId="200"/>
  </si>
  <si>
    <t>使自己进行的体育项目/竞技的水平接近自身的极限</t>
  </si>
  <si>
    <t>使自己进行的体育项目/竞技的水平有所提升</t>
  </si>
  <si>
    <t>通过进行运动/体育项目/竞技改善自己的体型</t>
  </si>
  <si>
    <t>维持自己进行的体育项目/竞技的状态</t>
  </si>
  <si>
    <t>→ 乳清蛋白粉whey配额 调查终止</t>
    <phoneticPr fontId="199" type="noConversion"/>
  </si>
  <si>
    <t>通过进行运动/体育项目/竞技以维持自己的体型</t>
  </si>
  <si>
    <t>通过进行运动/体育项目/竞技以维持自己的健康</t>
  </si>
  <si>
    <t>【運動項目】</t>
    <phoneticPr fontId="199" type="noConversion"/>
  </si>
  <si>
    <t>您目前在作哪些健身运动？最主要做的是哪项？（纵向可多选→纵向单选）</t>
  </si>
  <si>
    <t>做哪些运动</t>
    <phoneticPr fontId="199" type="noConversion"/>
  </si>
  <si>
    <t>最主要做</t>
    <rPh sb="0" eb="1">
      <t>モット</t>
    </rPh>
    <phoneticPr fontId="199" type="noConversion"/>
  </si>
  <si>
    <t>散步</t>
  </si>
  <si>
    <t>→S1不包含 3,5,6,7,9-15 终止访问</t>
    <phoneticPr fontId="199" type="noConversion"/>
  </si>
  <si>
    <t>广场舞</t>
  </si>
  <si>
    <t>跑步</t>
  </si>
  <si>
    <t>有氧操/舞蹈(家里)</t>
  </si>
  <si>
    <t>有氧操/舞蹈(健身房/舞蹈室)</t>
  </si>
  <si>
    <t>力量肌肉训练</t>
  </si>
  <si>
    <t>CrossFit</t>
  </si>
  <si>
    <t>瑜伽/普拉提</t>
  </si>
  <si>
    <t>游泳</t>
  </si>
  <si>
    <t>自行车</t>
  </si>
  <si>
    <t>个人球类(乒乓/羽毛球等)</t>
  </si>
  <si>
    <t>团体球类(篮球/足球等)</t>
  </si>
  <si>
    <t>搏击格斗</t>
  </si>
  <si>
    <t>攀岩</t>
  </si>
  <si>
    <t>滑板</t>
  </si>
  <si>
    <t>其他</t>
    <phoneticPr fontId="199" type="noConversion"/>
  </si>
  <si>
    <t>【プロティン飲用頻度】</t>
    <phoneticPr fontId="199" type="noConversion"/>
  </si>
  <si>
    <t>您目前喝(粉末)蛋白粉的频率是怎样的？（单选）</t>
    <phoneticPr fontId="199" type="noConversion"/>
  </si>
  <si>
    <t>大概每个月1次或更低</t>
  </si>
  <si>
    <t>大概每半个月1次</t>
  </si>
  <si>
    <t>大概每周1次</t>
  </si>
  <si>
    <t>大概每周2-3次</t>
  </si>
  <si>
    <t>大概每周4-5次或更高</t>
  </si>
  <si>
    <t>【whey/soyユーザー割付確定】</t>
    <phoneticPr fontId="199" type="noConversion"/>
  </si>
  <si>
    <t>您目前主要喝的(粉末)蛋白粉都是采用哪种原料的？（可多选）</t>
    <phoneticPr fontId="199" type="noConversion"/>
  </si>
  <si>
    <t>乳蛋白原料（乳清蛋白、牛奶蛋白等）</t>
  </si>
  <si>
    <t>→ 乳蛋白原料配额</t>
    <phoneticPr fontId="199" type="noConversion"/>
  </si>
  <si>
    <t>植物原料/植物基（大豆、黒芝麻、核桃等）</t>
  </si>
  <si>
    <t>→ 植物原料配额</t>
    <phoneticPr fontId="199" type="noConversion"/>
  </si>
  <si>
    <t>不清楚/没注意</t>
  </si>
  <si>
    <t>【ブランド認知】</t>
    <phoneticPr fontId="199" type="noConversion"/>
  </si>
  <si>
    <t>下面这些(粉末)蛋白粉品牌，你知道的有哪些？购买/食用过的有哪些、最近一年购买/食用过的有哪些？（纵向可多选）</t>
    <rPh sb="5" eb="7">
      <t>バンメ</t>
    </rPh>
    <phoneticPr fontId="78"/>
  </si>
  <si>
    <t>↓组内Random</t>
    <phoneticPr fontId="200"/>
  </si>
  <si>
    <t>MUSCLETECH 肌肉科技</t>
  </si>
  <si>
    <t>CPT 康比特</t>
  </si>
  <si>
    <t>Optimum nutrition 奥普帝蒙</t>
  </si>
  <si>
    <t>GymMax 健乐多</t>
  </si>
  <si>
    <t>MYPROTEIN 熊猫</t>
  </si>
  <si>
    <t>NUTREND 诺特兰德</t>
  </si>
  <si>
    <t>SAVAS 匝巴斯</t>
  </si>
  <si>
    <t>汤臣倍健 BYHEALTH</t>
  </si>
  <si>
    <t>Amway 安利 (紐崔莱)</t>
    <phoneticPr fontId="199" type="noConversion"/>
  </si>
  <si>
    <t>Swisse 澳洲</t>
  </si>
  <si>
    <t>CONBA 康恩贝</t>
    <phoneticPr fontId="199" type="noConversion"/>
  </si>
  <si>
    <t>HERBALIFE NUTRITION 康宝莱营养</t>
  </si>
  <si>
    <t>以上均无</t>
    <phoneticPr fontId="199" type="noConversion"/>
  </si>
  <si>
    <t>【ブランド購入】</t>
    <phoneticPr fontId="199" type="noConversion"/>
  </si>
  <si>
    <t>下面这些(粉末)蛋白粉品牌，你知道的有哪些？购买/食用过的有哪些、最近一年购买/食用过的有哪些？（纵向可多选→纵向单选）</t>
    <rPh sb="5" eb="7">
      <t>バンメ</t>
    </rPh>
    <phoneticPr fontId="78"/>
  </si>
  <si>
    <t>购买/食用过的</t>
    <phoneticPr fontId="199" type="noConversion"/>
  </si>
  <si>
    <t>最近一年购买/食用过的</t>
    <phoneticPr fontId="199" type="noConversion"/>
  </si>
  <si>
    <t>现在最主要购买/食用的</t>
    <phoneticPr fontId="199" type="noConversion"/>
  </si>
  <si>
    <t>↓仅显示前问认知品牌</t>
    <phoneticPr fontId="199" type="noConversion"/>
  </si>
  <si>
    <t>Optimum nutrition 奥普帝蒙</t>
    <phoneticPr fontId="199" type="noConversion"/>
  </si>
  <si>
    <t>Amway 安利 (紐崔莱)</t>
  </si>
  <si>
    <t>CONBA 康恩贝</t>
  </si>
  <si>
    <t>其他（请注明：    ）</t>
    <phoneticPr fontId="199" type="noConversion"/>
  </si>
  <si>
    <t>【直近購入時期・ルート】</t>
    <phoneticPr fontId="199" type="noConversion"/>
  </si>
  <si>
    <t>您最近一次购买(粉末)蛋白粉符合以下哪种情况？（单选）</t>
    <rPh sb="5" eb="7">
      <t>バンメ</t>
    </rPh>
    <phoneticPr fontId="78"/>
  </si>
  <si>
    <t>过去三个月内，我在网上买过</t>
    <phoneticPr fontId="199" type="noConversion"/>
  </si>
  <si>
    <t>过去三个月～半年内，我在网上买过</t>
    <phoneticPr fontId="199" type="noConversion"/>
  </si>
  <si>
    <t>过去半年之前，我在网上买过</t>
    <phoneticPr fontId="199" type="noConversion"/>
  </si>
  <si>
    <t>过去三个月内，我在实体店买过</t>
  </si>
  <si>
    <t>过去三个月～半年内，我在实体店买过</t>
  </si>
  <si>
    <t>过去半年之前，我在实体店买过</t>
  </si>
  <si>
    <t>蛋白粉不是我自己买的</t>
    <phoneticPr fontId="199" type="noConversion"/>
  </si>
  <si>
    <t>Part1：　長画像全体評価</t>
    <phoneticPr fontId="199" type="noConversion"/>
  </si>
  <si>
    <t>说明页面（单独页面展示）</t>
    <phoneticPr fontId="229" type="noConversion"/>
  </si>
  <si>
    <t>以下内容是有关某蛋白粉产品的“电商产品的详细介绍”，请您阅读内容并给予评价。</t>
    <phoneticPr fontId="229" type="noConversion"/>
  </si>
  <si>
    <t>首先将出示产品详情的长页面，请向下滑动操作阅读。</t>
    <phoneticPr fontId="229" type="noConversion"/>
  </si>
  <si>
    <t>注：如页面无法及时显示，请等图片加载出来后再作向下滑动的操作</t>
    <phoneticPr fontId="229" type="noConversion"/>
  </si>
  <si>
    <t>长页面展示（单独页面展示）</t>
    <phoneticPr fontId="229" type="noConversion"/>
  </si>
  <si>
    <t>乳清蛋白原料配额｜植物原料配额 展示不同素材！</t>
    <phoneticPr fontId="199" type="noConversion"/>
  </si>
  <si>
    <t>【内容想起】</t>
    <phoneticPr fontId="199" type="noConversion"/>
  </si>
  <si>
    <t>刚才的产品详情图片中，您记得哪些内容？请写在下面的对话框内。 （自由回答）</t>
    <phoneticPr fontId="200"/>
  </si>
  <si>
    <t>注：回答内容无需精确，根据您印象回答即可。</t>
    <phoneticPr fontId="200"/>
  </si>
  <si>
    <t xml:space="preserve">记起的内容1. </t>
    <phoneticPr fontId="199" type="noConversion"/>
  </si>
  <si>
    <t xml:space="preserve">记起的内容2. </t>
    <phoneticPr fontId="199" type="noConversion"/>
  </si>
  <si>
    <t xml:space="preserve">记起的内容3. </t>
    <phoneticPr fontId="199" type="noConversion"/>
  </si>
  <si>
    <t xml:space="preserve">记起的内容4. </t>
    <phoneticPr fontId="199" type="noConversion"/>
  </si>
  <si>
    <t xml:space="preserve">记起的内容5. </t>
    <phoneticPr fontId="199" type="noConversion"/>
  </si>
  <si>
    <t>全員</t>
    <phoneticPr fontId="199" type="noConversion"/>
  </si>
  <si>
    <t>【全体評価】</t>
    <phoneticPr fontId="199" type="noConversion"/>
  </si>
  <si>
    <t>总体上，这个“介绍详情”对您来说有吸引力吗？ （单选）</t>
    <phoneticPr fontId="200"/>
  </si>
  <si>
    <t>完全负面</t>
    <phoneticPr fontId="199" type="noConversion"/>
  </si>
  <si>
    <t>负面</t>
    <phoneticPr fontId="199" type="noConversion"/>
  </si>
  <si>
    <t>一般/不好说</t>
    <phoneticPr fontId="199" type="noConversion"/>
  </si>
  <si>
    <t>正面</t>
    <phoneticPr fontId="199" type="noConversion"/>
  </si>
  <si>
    <t>非常正面</t>
    <phoneticPr fontId="199" type="noConversion"/>
  </si>
  <si>
    <t>负面</t>
    <phoneticPr fontId="200"/>
  </si>
  <si>
    <t>←</t>
    <phoneticPr fontId="199" type="noConversion"/>
  </si>
  <si>
    <t>→</t>
    <phoneticPr fontId="199" type="noConversion"/>
  </si>
  <si>
    <t xml:space="preserve">正面
</t>
    <phoneticPr fontId="200"/>
  </si>
  <si>
    <t>总体上没吸引力</t>
    <phoneticPr fontId="199" type="noConversion"/>
  </si>
  <si>
    <t>总体上有吸引力</t>
    <phoneticPr fontId="199" type="noConversion"/>
  </si>
  <si>
    <t>【詳細項目評価】</t>
    <phoneticPr fontId="199" type="noConversion"/>
  </si>
  <si>
    <t>您对这个“产品详情”内容各方面的评价是怎样的？ （横向单选）</t>
    <phoneticPr fontId="200"/>
  </si>
  <si>
    <t>注：分五段评价，左侧为“负面”评价，右侧为“正面”评价。</t>
    <phoneticPr fontId="199" type="noConversion"/>
  </si>
  <si>
    <t>↓Random</t>
  </si>
  <si>
    <t>画面设计没吸引力</t>
  </si>
  <si>
    <t>画面设计有吸引力</t>
  </si>
  <si>
    <t>广告语言/文案没吸引力</t>
  </si>
  <si>
    <t>广告语言/文案有吸引力</t>
  </si>
  <si>
    <t>模特人物没吸引力</t>
  </si>
  <si>
    <t>模特人物有吸引力</t>
  </si>
  <si>
    <t>对产品我不感兴趣</t>
  </si>
  <si>
    <t>对产品我很感兴趣</t>
  </si>
  <si>
    <t>下面是将刚才看到的长页面分成10个独立的画面，请您阅读内容并给予评价。</t>
    <phoneticPr fontId="229" type="noConversion"/>
  </si>
  <si>
    <t>页面展示（单独页面展示）</t>
    <phoneticPr fontId="229" type="noConversion"/>
  </si>
  <si>
    <t>注：红框内是“广告语”</t>
    <phoneticPr fontId="199" type="noConversion"/>
  </si>
  <si>
    <t>您对于这个图片中的印象是怎样的？请您描述下您的想法，写在下面的对话框内。 （自由回答）</t>
    <phoneticPr fontId="200"/>
  </si>
  <si>
    <t>【全体&amp;詳細項目評価】</t>
    <phoneticPr fontId="199" type="noConversion"/>
  </si>
  <si>
    <t>您对这个画面总体、各方面的评价如何？ （横向单选）</t>
  </si>
  <si>
    <t>页面：题目上方出示图片，可适当缩小比率</t>
    <phoneticPr fontId="199" type="noConversion"/>
  </si>
  <si>
    <r>
      <rPr>
        <sz val="9"/>
        <color rgb="FFFF0000"/>
        <rFont val="SimHei"/>
        <family val="3"/>
        <charset val="134"/>
      </rPr>
      <t xml:space="preserve">总体上 </t>
    </r>
    <r>
      <rPr>
        <sz val="9"/>
        <rFont val="SimHei"/>
        <family val="3"/>
        <charset val="134"/>
      </rPr>
      <t>没吸引力</t>
    </r>
    <phoneticPr fontId="199" type="noConversion"/>
  </si>
  <si>
    <r>
      <rPr>
        <sz val="9"/>
        <color rgb="FFFF0000"/>
        <rFont val="SimHei"/>
        <family val="3"/>
        <charset val="134"/>
      </rPr>
      <t xml:space="preserve">总体上 </t>
    </r>
    <r>
      <rPr>
        <sz val="9"/>
        <rFont val="SimHei"/>
        <family val="3"/>
        <charset val="134"/>
      </rPr>
      <t>有吸引力</t>
    </r>
    <phoneticPr fontId="199" type="noConversion"/>
  </si>
  <si>
    <r>
      <rPr>
        <sz val="9"/>
        <color rgb="FF0000FF"/>
        <rFont val="SimHei"/>
        <family val="3"/>
        <charset val="134"/>
      </rPr>
      <t>模特人物</t>
    </r>
    <r>
      <rPr>
        <sz val="9"/>
        <rFont val="SimHei"/>
        <family val="3"/>
        <charset val="134"/>
      </rPr>
      <t xml:space="preserve"> 没吸引力</t>
    </r>
    <phoneticPr fontId="199" type="noConversion"/>
  </si>
  <si>
    <r>
      <rPr>
        <sz val="9"/>
        <color rgb="FF0000FF"/>
        <rFont val="SimHei"/>
        <family val="3"/>
        <charset val="134"/>
      </rPr>
      <t>模特人物</t>
    </r>
    <r>
      <rPr>
        <sz val="9"/>
        <rFont val="SimHei"/>
        <family val="3"/>
        <charset val="134"/>
      </rPr>
      <t xml:space="preserve"> 有吸引力</t>
    </r>
    <phoneticPr fontId="199" type="noConversion"/>
  </si>
  <si>
    <r>
      <t xml:space="preserve">广告语 </t>
    </r>
    <r>
      <rPr>
        <sz val="9"/>
        <color rgb="FF0000FF"/>
        <rFont val="SimHei"/>
        <family val="3"/>
        <charset val="134"/>
      </rPr>
      <t xml:space="preserve">夏日热练 美肌上线 </t>
    </r>
    <r>
      <rPr>
        <sz val="9"/>
        <rFont val="SimHei"/>
        <family val="3"/>
        <charset val="134"/>
      </rPr>
      <t>没吸引力</t>
    </r>
    <phoneticPr fontId="199" type="noConversion"/>
  </si>
  <si>
    <r>
      <t xml:space="preserve">广告语 </t>
    </r>
    <r>
      <rPr>
        <sz val="9"/>
        <color rgb="FF0000FF"/>
        <rFont val="SimHei"/>
        <family val="3"/>
        <charset val="134"/>
      </rPr>
      <t>夏日热练 美肌上线</t>
    </r>
    <r>
      <rPr>
        <sz val="9"/>
        <rFont val="SimHei"/>
        <family val="3"/>
        <charset val="134"/>
      </rPr>
      <t xml:space="preserve">
有吸引力</t>
    </r>
    <phoneticPr fontId="199" type="noConversion"/>
  </si>
  <si>
    <r>
      <t xml:space="preserve">画面内容风格 </t>
    </r>
    <r>
      <rPr>
        <sz val="9"/>
        <color rgb="FF0000FF"/>
        <rFont val="SimHei"/>
        <family val="3"/>
        <charset val="134"/>
      </rPr>
      <t>平淡无奇</t>
    </r>
    <phoneticPr fontId="199" type="noConversion"/>
  </si>
  <si>
    <r>
      <t xml:space="preserve">画面内容风格 </t>
    </r>
    <r>
      <rPr>
        <sz val="9"/>
        <color rgb="FF0000FF"/>
        <rFont val="SimHei"/>
        <family val="3"/>
        <charset val="134"/>
      </rPr>
      <t>令人憧憬</t>
    </r>
    <phoneticPr fontId="199" type="noConversion"/>
  </si>
  <si>
    <t>【全体好意度】</t>
    <phoneticPr fontId="199" type="noConversion"/>
  </si>
  <si>
    <r>
      <rPr>
        <sz val="9"/>
        <color rgb="FF0000FF"/>
        <rFont val="SimHei"/>
        <family val="3"/>
        <charset val="134"/>
      </rPr>
      <t>模特画面</t>
    </r>
    <r>
      <rPr>
        <sz val="9"/>
        <rFont val="SimHei"/>
        <family val="3"/>
        <charset val="134"/>
      </rPr>
      <t xml:space="preserve"> 没吸引力</t>
    </r>
    <phoneticPr fontId="199" type="noConversion"/>
  </si>
  <si>
    <r>
      <rPr>
        <sz val="9"/>
        <color rgb="FF0000FF"/>
        <rFont val="SimHei"/>
        <family val="3"/>
        <charset val="134"/>
      </rPr>
      <t>模特画面</t>
    </r>
    <r>
      <rPr>
        <sz val="9"/>
        <rFont val="SimHei"/>
        <family val="3"/>
        <charset val="134"/>
      </rPr>
      <t xml:space="preserve"> 有吸引力</t>
    </r>
    <phoneticPr fontId="199" type="noConversion"/>
  </si>
  <si>
    <r>
      <rPr>
        <sz val="9"/>
        <color rgb="FF0000FF"/>
        <rFont val="SimHei"/>
        <family val="3"/>
        <charset val="134"/>
      </rPr>
      <t>推荐人群</t>
    </r>
    <r>
      <rPr>
        <sz val="9"/>
        <rFont val="SimHei"/>
        <family val="3"/>
        <charset val="134"/>
      </rPr>
      <t xml:space="preserve"> 不适合自己</t>
    </r>
    <phoneticPr fontId="199" type="noConversion"/>
  </si>
  <si>
    <r>
      <rPr>
        <sz val="9"/>
        <color rgb="FF0000FF"/>
        <rFont val="SimHei"/>
        <family val="3"/>
        <charset val="134"/>
      </rPr>
      <t>推荐人群</t>
    </r>
    <r>
      <rPr>
        <sz val="9"/>
        <rFont val="SimHei"/>
        <family val="3"/>
        <charset val="134"/>
      </rPr>
      <t xml:space="preserve"> 适合自己</t>
    </r>
    <phoneticPr fontId="199" type="noConversion"/>
  </si>
  <si>
    <r>
      <rPr>
        <sz val="9"/>
        <color rgb="FF0000FF"/>
        <rFont val="SimHei"/>
        <family val="3"/>
        <charset val="134"/>
      </rPr>
      <t>日本销量 No.1</t>
    </r>
    <r>
      <rPr>
        <sz val="9"/>
        <rFont val="SimHei"/>
        <family val="3"/>
        <charset val="134"/>
      </rPr>
      <t xml:space="preserve"> 没吸引力</t>
    </r>
    <phoneticPr fontId="199" type="noConversion"/>
  </si>
  <si>
    <r>
      <rPr>
        <sz val="9"/>
        <color rgb="FF0000FF"/>
        <rFont val="SimHei"/>
        <family val="3"/>
        <charset val="134"/>
      </rPr>
      <t>日本销量 No.1</t>
    </r>
    <r>
      <rPr>
        <sz val="9"/>
        <rFont val="SimHei"/>
        <family val="3"/>
        <charset val="134"/>
      </rPr>
      <t xml:space="preserve"> 有吸引力</t>
    </r>
    <phoneticPr fontId="199" type="noConversion"/>
  </si>
  <si>
    <r>
      <rPr>
        <sz val="9"/>
        <color rgb="FF0000FF"/>
        <rFont val="SimHei"/>
        <family val="3"/>
        <charset val="134"/>
      </rPr>
      <t xml:space="preserve">日本畅销、40年历史 </t>
    </r>
    <r>
      <rPr>
        <sz val="9"/>
        <rFont val="SimHei"/>
        <family val="3"/>
        <charset val="134"/>
      </rPr>
      <t>没吸引力</t>
    </r>
    <phoneticPr fontId="199" type="noConversion"/>
  </si>
  <si>
    <r>
      <rPr>
        <sz val="9"/>
        <color rgb="FF0000FF"/>
        <rFont val="SimHei"/>
        <family val="3"/>
        <charset val="134"/>
      </rPr>
      <t xml:space="preserve">日本畅销、40年历史 </t>
    </r>
    <r>
      <rPr>
        <sz val="9"/>
        <rFont val="SimHei"/>
        <family val="3"/>
        <charset val="134"/>
      </rPr>
      <t>有吸引力</t>
    </r>
    <phoneticPr fontId="199" type="noConversion"/>
  </si>
  <si>
    <r>
      <t>内容</t>
    </r>
    <r>
      <rPr>
        <sz val="9"/>
        <color rgb="FF0000FF"/>
        <rFont val="SimHei"/>
        <family val="3"/>
        <charset val="134"/>
      </rPr>
      <t>可信度</t>
    </r>
    <r>
      <rPr>
        <sz val="9"/>
        <rFont val="SimHei"/>
        <family val="3"/>
        <charset val="134"/>
      </rPr>
      <t>低</t>
    </r>
    <phoneticPr fontId="199" type="noConversion"/>
  </si>
  <si>
    <r>
      <t>内容</t>
    </r>
    <r>
      <rPr>
        <sz val="9"/>
        <color rgb="FF0000FF"/>
        <rFont val="SimHei"/>
        <family val="3"/>
        <charset val="134"/>
      </rPr>
      <t>可信度</t>
    </r>
    <r>
      <rPr>
        <sz val="9"/>
        <rFont val="SimHei"/>
        <family val="3"/>
        <charset val="134"/>
      </rPr>
      <t>高</t>
    </r>
    <phoneticPr fontId="199" type="noConversion"/>
  </si>
  <si>
    <r>
      <rPr>
        <sz val="9"/>
        <color rgb="FF0000FF"/>
        <rFont val="SimHei"/>
        <family val="3"/>
        <charset val="134"/>
      </rPr>
      <t>营养配方</t>
    </r>
    <r>
      <rPr>
        <sz val="9"/>
        <rFont val="SimHei"/>
        <family val="3"/>
        <charset val="134"/>
      </rPr>
      <t xml:space="preserve"> 没吸引力</t>
    </r>
    <phoneticPr fontId="199" type="noConversion"/>
  </si>
  <si>
    <r>
      <rPr>
        <sz val="9"/>
        <color rgb="FF0000FF"/>
        <rFont val="SimHei"/>
        <family val="3"/>
        <charset val="134"/>
      </rPr>
      <t>营养配方</t>
    </r>
    <r>
      <rPr>
        <sz val="9"/>
        <rFont val="SimHei"/>
        <family val="3"/>
        <charset val="134"/>
      </rPr>
      <t xml:space="preserve"> 有吸引力</t>
    </r>
    <phoneticPr fontId="199" type="noConversion"/>
  </si>
  <si>
    <r>
      <t xml:space="preserve">广告语 </t>
    </r>
    <r>
      <rPr>
        <sz val="9"/>
        <color rgb="FF0000FF"/>
        <rFont val="SimHei"/>
        <family val="3"/>
        <charset val="134"/>
      </rPr>
      <t>寻找亚洲人的增肌捷径</t>
    </r>
    <r>
      <rPr>
        <sz val="9"/>
        <rFont val="SimHei"/>
        <family val="3"/>
        <charset val="134"/>
      </rPr>
      <t xml:space="preserve"> 没吸引力</t>
    </r>
    <phoneticPr fontId="199" type="noConversion"/>
  </si>
  <si>
    <r>
      <t xml:space="preserve">广告语 </t>
    </r>
    <r>
      <rPr>
        <sz val="9"/>
        <color rgb="FF0000FF"/>
        <rFont val="SimHei"/>
        <family val="3"/>
        <charset val="134"/>
      </rPr>
      <t xml:space="preserve">寻找亚洲人的增肌捷径 </t>
    </r>
    <r>
      <rPr>
        <sz val="9"/>
        <rFont val="SimHei"/>
        <family val="3"/>
        <charset val="134"/>
      </rPr>
      <t>有吸引力</t>
    </r>
    <phoneticPr fontId="199" type="noConversion"/>
  </si>
  <si>
    <r>
      <rPr>
        <sz val="9"/>
        <color rgb="FF0000FF"/>
        <rFont val="SimHei"/>
        <family val="3"/>
        <charset val="134"/>
      </rPr>
      <t xml:space="preserve">产品 </t>
    </r>
    <r>
      <rPr>
        <sz val="9"/>
        <rFont val="SimHei"/>
        <family val="3"/>
        <charset val="134"/>
      </rPr>
      <t>不适合自己</t>
    </r>
    <phoneticPr fontId="199" type="noConversion"/>
  </si>
  <si>
    <r>
      <rPr>
        <sz val="9"/>
        <color rgb="FF0000FF"/>
        <rFont val="SimHei"/>
        <family val="3"/>
        <charset val="134"/>
      </rPr>
      <t xml:space="preserve">产品 </t>
    </r>
    <r>
      <rPr>
        <sz val="9"/>
        <rFont val="SimHei"/>
        <family val="3"/>
        <charset val="134"/>
      </rPr>
      <t>适合自己</t>
    </r>
    <phoneticPr fontId="199" type="noConversion"/>
  </si>
  <si>
    <r>
      <rPr>
        <sz val="9"/>
        <color rgb="FF0000FF"/>
        <rFont val="SimHei"/>
        <family val="3"/>
        <charset val="134"/>
      </rPr>
      <t xml:space="preserve">使用的原材料 </t>
    </r>
    <r>
      <rPr>
        <sz val="9"/>
        <rFont val="SimHei"/>
        <family val="3"/>
        <charset val="134"/>
      </rPr>
      <t>没吸引力</t>
    </r>
    <phoneticPr fontId="199" type="noConversion"/>
  </si>
  <si>
    <r>
      <rPr>
        <sz val="9"/>
        <color rgb="FF0000FF"/>
        <rFont val="SimHei"/>
        <family val="3"/>
        <charset val="134"/>
      </rPr>
      <t xml:space="preserve">使用的原材料 </t>
    </r>
    <r>
      <rPr>
        <sz val="9"/>
        <rFont val="SimHei"/>
        <family val="3"/>
        <charset val="134"/>
      </rPr>
      <t>有吸引力</t>
    </r>
    <phoneticPr fontId="199" type="noConversion"/>
  </si>
  <si>
    <r>
      <rPr>
        <sz val="9"/>
        <color rgb="FF0000FF"/>
        <rFont val="SimHei"/>
        <family val="3"/>
        <charset val="134"/>
      </rPr>
      <t xml:space="preserve">配方成分 </t>
    </r>
    <r>
      <rPr>
        <sz val="9"/>
        <rFont val="SimHei"/>
        <family val="3"/>
        <charset val="134"/>
      </rPr>
      <t>没吸引力</t>
    </r>
    <phoneticPr fontId="199" type="noConversion"/>
  </si>
  <si>
    <r>
      <rPr>
        <sz val="9"/>
        <color rgb="FF0000FF"/>
        <rFont val="SimHei"/>
        <family val="3"/>
        <charset val="134"/>
      </rPr>
      <t xml:space="preserve">配方成分 </t>
    </r>
    <r>
      <rPr>
        <sz val="9"/>
        <rFont val="SimHei"/>
        <family val="3"/>
        <charset val="134"/>
      </rPr>
      <t>有吸引力</t>
    </r>
    <phoneticPr fontId="199" type="noConversion"/>
  </si>
  <si>
    <t>【コンテンツ詳細評価】</t>
    <phoneticPr fontId="199" type="noConversion"/>
  </si>
  <si>
    <r>
      <rPr>
        <sz val="9"/>
        <color rgb="FF0000FF"/>
        <rFont val="SimHei"/>
        <family val="3"/>
        <charset val="134"/>
      </rPr>
      <t xml:space="preserve">模特人物 </t>
    </r>
    <r>
      <rPr>
        <sz val="9"/>
        <rFont val="SimHei"/>
        <family val="3"/>
        <charset val="134"/>
      </rPr>
      <t>没吸引力</t>
    </r>
    <phoneticPr fontId="199" type="noConversion"/>
  </si>
  <si>
    <r>
      <rPr>
        <sz val="9"/>
        <color rgb="FF0000FF"/>
        <rFont val="SimHei"/>
        <family val="3"/>
        <charset val="134"/>
      </rPr>
      <t xml:space="preserve">模特人物 </t>
    </r>
    <r>
      <rPr>
        <sz val="9"/>
        <rFont val="SimHei"/>
        <family val="3"/>
        <charset val="134"/>
      </rPr>
      <t>有吸引力</t>
    </r>
    <phoneticPr fontId="199" type="noConversion"/>
  </si>
  <si>
    <r>
      <rPr>
        <sz val="9"/>
        <color rgb="FF0000FF"/>
        <rFont val="SimHei"/>
        <family val="3"/>
        <charset val="134"/>
      </rPr>
      <t>广告语</t>
    </r>
    <r>
      <rPr>
        <sz val="9"/>
        <rFont val="SimHei"/>
        <family val="3"/>
        <charset val="134"/>
      </rPr>
      <t xml:space="preserve"> 没吸引力</t>
    </r>
    <phoneticPr fontId="199" type="noConversion"/>
  </si>
  <si>
    <r>
      <rPr>
        <sz val="9"/>
        <color rgb="FF0000FF"/>
        <rFont val="SimHei"/>
        <family val="3"/>
        <charset val="134"/>
      </rPr>
      <t>广告语</t>
    </r>
    <r>
      <rPr>
        <sz val="9"/>
        <rFont val="SimHei"/>
        <family val="3"/>
        <charset val="134"/>
      </rPr>
      <t xml:space="preserve"> 有吸引力</t>
    </r>
    <phoneticPr fontId="199" type="noConversion"/>
  </si>
  <si>
    <r>
      <rPr>
        <sz val="9"/>
        <color rgb="FF0000FF"/>
        <rFont val="SimHei"/>
        <family val="3"/>
        <charset val="134"/>
      </rPr>
      <t xml:space="preserve">SAVAS均质造粒工艺 </t>
    </r>
    <r>
      <rPr>
        <sz val="9"/>
        <rFont val="SimHei"/>
        <family val="3"/>
        <charset val="134"/>
      </rPr>
      <t>没吸引力</t>
    </r>
    <phoneticPr fontId="199" type="noConversion"/>
  </si>
  <si>
    <r>
      <rPr>
        <sz val="9"/>
        <color rgb="FF0000FF"/>
        <rFont val="SimHei"/>
        <family val="3"/>
        <charset val="134"/>
      </rPr>
      <t xml:space="preserve">SAVAS均质造粒工艺 </t>
    </r>
    <r>
      <rPr>
        <sz val="9"/>
        <rFont val="SimHei"/>
        <family val="3"/>
        <charset val="134"/>
      </rPr>
      <t>有吸引力</t>
    </r>
    <phoneticPr fontId="199" type="noConversion"/>
  </si>
  <si>
    <r>
      <rPr>
        <sz val="9"/>
        <color rgb="FF0000FF"/>
        <rFont val="SimHei"/>
        <family val="3"/>
        <charset val="134"/>
      </rPr>
      <t xml:space="preserve">百年食品专家，甄选明治美味 </t>
    </r>
    <r>
      <rPr>
        <sz val="9"/>
        <rFont val="SimHei"/>
        <family val="3"/>
        <charset val="134"/>
      </rPr>
      <t>没吸引力</t>
    </r>
    <phoneticPr fontId="199" type="noConversion"/>
  </si>
  <si>
    <r>
      <rPr>
        <sz val="9"/>
        <color rgb="FF0000FF"/>
        <rFont val="SimHei"/>
        <family val="3"/>
        <charset val="134"/>
      </rPr>
      <t>百年食品专家，甄选明治美味</t>
    </r>
    <r>
      <rPr>
        <sz val="9"/>
        <rFont val="SimHei"/>
        <family val="3"/>
        <charset val="134"/>
      </rPr>
      <t xml:space="preserve"> 有吸引力</t>
    </r>
    <phoneticPr fontId="199" type="noConversion"/>
  </si>
  <si>
    <r>
      <rPr>
        <sz val="9"/>
        <color rgb="FF0000FF"/>
        <rFont val="SimHei"/>
        <family val="3"/>
        <charset val="134"/>
      </rPr>
      <t>日本一线体育选手</t>
    </r>
    <r>
      <rPr>
        <sz val="9"/>
        <rFont val="SimHei"/>
        <family val="3"/>
        <charset val="134"/>
      </rPr>
      <t>代言 没吸引力</t>
    </r>
    <phoneticPr fontId="199" type="noConversion"/>
  </si>
  <si>
    <r>
      <rPr>
        <sz val="9"/>
        <color rgb="FF0000FF"/>
        <rFont val="SimHei"/>
        <family val="3"/>
        <charset val="134"/>
      </rPr>
      <t>日本一线体育选手</t>
    </r>
    <r>
      <rPr>
        <sz val="9"/>
        <rFont val="SimHei"/>
        <family val="3"/>
        <charset val="134"/>
      </rPr>
      <t>代言 有吸引力</t>
    </r>
    <phoneticPr fontId="199" type="noConversion"/>
  </si>
  <si>
    <r>
      <rPr>
        <b/>
        <sz val="9"/>
        <color indexed="9"/>
        <rFont val="SimHei"/>
        <family val="3"/>
        <charset val="134"/>
      </rPr>
      <t>问</t>
    </r>
    <r>
      <rPr>
        <b/>
        <sz val="9"/>
        <color indexed="9"/>
        <rFont val="MS PGothic"/>
        <family val="2"/>
      </rPr>
      <t>卷</t>
    </r>
    <r>
      <rPr>
        <b/>
        <sz val="9"/>
        <color indexed="9"/>
        <rFont val="SimHei"/>
        <family val="3"/>
        <charset val="134"/>
      </rPr>
      <t>结</t>
    </r>
    <r>
      <rPr>
        <b/>
        <sz val="9"/>
        <color indexed="9"/>
        <rFont val="MS PGothic"/>
        <family val="2"/>
      </rPr>
      <t>束，再次感</t>
    </r>
    <r>
      <rPr>
        <b/>
        <sz val="9"/>
        <color indexed="9"/>
        <rFont val="SimHei"/>
        <family val="3"/>
        <charset val="134"/>
      </rPr>
      <t>谢您</t>
    </r>
    <r>
      <rPr>
        <b/>
        <sz val="9"/>
        <color indexed="9"/>
        <rFont val="MS PGothic"/>
        <family val="2"/>
      </rPr>
      <t>的支持与配合！</t>
    </r>
  </si>
  <si>
    <t>NA</t>
  </si>
  <si>
    <t>q5=10</t>
  </si>
  <si>
    <t>q6=5</t>
  </si>
  <si>
    <t>↓q3=38时，q4S1不显示</t>
  </si>
  <si>
    <t>TH1</t>
    <phoneticPr fontId="4" type="noConversion"/>
  </si>
  <si>
    <t>TH0</t>
    <phoneticPr fontId="4" type="noConversion"/>
  </si>
  <si>
    <t>列1</t>
  </si>
  <si>
    <t>列2</t>
  </si>
  <si>
    <t>列3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</si>
</sst>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0">
    <numFmt numFmtId="6" formatCode="&quot;¥&quot;#,##0;[Red]&quot;¥&quot;\-#,##0"/>
    <numFmt numFmtId="41" formatCode="_ * #,##0_ ;_ * \-#,##0_ ;_ * &quot;-&quot;_ ;_ @_ "/>
    <numFmt numFmtId="43" formatCode="_ * #,##0.00_ ;_ * \-#,##0.00_ ;_ * &quot;-&quot;??_ ;_ @_ "/>
    <numFmt numFmtId="176" formatCode="_(&quot;$&quot;* #,##0_);_(&quot;$&quot;* \(#,##0\);_(&quot;$&quot;* &quot;-&quot;_);_(@_)"/>
    <numFmt numFmtId="177" formatCode="_(&quot;$&quot;* #,##0.00_);_(&quot;$&quot;* \(#,##0.00\);_(&quot;$&quot;* &quot;-&quot;??_);_(@_)"/>
    <numFmt numFmtId="178" formatCode="0.0_ "/>
    <numFmt numFmtId="179" formatCode="_ * #,##0.0_ ;_ * \-#,##0.0_ ;_ * &quot;-&quot;"/>
    <numFmt numFmtId="180" formatCode="#,##0.0"/>
    <numFmt numFmtId="181" formatCode="0_ "/>
    <numFmt numFmtId="182" formatCode="&quot;+++&quot;0.0_ "/>
    <numFmt numFmtId="183" formatCode="&quot;---&quot;0.0_ "/>
    <numFmt numFmtId="184" formatCode="&quot;++&quot;0.0_ "/>
    <numFmt numFmtId="185" formatCode="&quot;-&quot;0.0_ "/>
    <numFmt numFmtId="186" formatCode="&quot;--&quot;0.0_ "/>
    <numFmt numFmtId="187" formatCode="&quot;+&quot;0.0_ "/>
    <numFmt numFmtId="188" formatCode="0.000_ &quot;  &quot;"/>
    <numFmt numFmtId="189" formatCode="&quot;*&quot;0_ "/>
    <numFmt numFmtId="190" formatCode="0.0_ &quot;  &quot;"/>
    <numFmt numFmtId="191" formatCode="0.0_ &quot; bcDe &quot;"/>
    <numFmt numFmtId="192" formatCode="0.0_ &quot; ABDE &quot;"/>
    <numFmt numFmtId="193" formatCode="0.0_ &quot; C &quot;"/>
    <numFmt numFmtId="194" formatCode="0.0_ &quot; c &quot;"/>
    <numFmt numFmtId="195" formatCode="0.0_ &quot; CD &quot;"/>
    <numFmt numFmtId="196" formatCode="0.0_ &quot; Ac &quot;"/>
    <numFmt numFmtId="197" formatCode="0.0_ &quot; A &quot;"/>
    <numFmt numFmtId="198" formatCode="0.0_ &quot; AC &quot;"/>
    <numFmt numFmtId="199" formatCode="0.0_ &quot; BCDe &quot;"/>
    <numFmt numFmtId="200" formatCode="0.0_ &quot; ACd &quot;"/>
    <numFmt numFmtId="201" formatCode="0.0_ &quot; ad &quot;"/>
    <numFmt numFmtId="202" formatCode="0.0_ &quot; de &quot;"/>
    <numFmt numFmtId="203" formatCode="0.0_ &quot; e &quot;"/>
    <numFmt numFmtId="204" formatCode="0.0_ &quot; b &quot;"/>
    <numFmt numFmtId="205" formatCode="0.0_ &quot; B &quot;"/>
    <numFmt numFmtId="206" formatCode="0.0_ &quot; De &quot;"/>
    <numFmt numFmtId="207" formatCode="0.0_ &quot; d &quot;"/>
    <numFmt numFmtId="208" formatCode="0.0_ &quot; aBD &quot;"/>
    <numFmt numFmtId="209" formatCode="0.0_ &quot; DE &quot;"/>
    <numFmt numFmtId="210" formatCode="0.0_ &quot; aBDe &quot;"/>
    <numFmt numFmtId="211" formatCode="0.00_ "/>
    <numFmt numFmtId="212" formatCode="0.00_);[Red]\(0.00\)"/>
    <numFmt numFmtId="213" formatCode="0.0"/>
    <numFmt numFmtId="214" formatCode="0.0_ &quot; ae &quot;"/>
    <numFmt numFmtId="215" formatCode="0."/>
    <numFmt numFmtId="216" formatCode="_-* #,##0.00_-;\-* #,##0.00_-;_-* &quot;-&quot;??_-;_-@_-"/>
    <numFmt numFmtId="217" formatCode="&quot;$&quot;#,##0;[Red]&quot;$&quot;\-#,##0"/>
    <numFmt numFmtId="218" formatCode="&quot;共 &quot;0&quot;問 (SC/FACE含む)&quot;"/>
    <numFmt numFmtId="219" formatCode="0&quot;ss&quot;"/>
    <numFmt numFmtId="220" formatCode="&quot;SA &quot;0&quot; 問&quot;"/>
    <numFmt numFmtId="221" formatCode="&quot;MA &quot;0&quot; 問&quot;"/>
    <numFmt numFmtId="222" formatCode="&quot;NA &quot;0&quot; 問&quot;"/>
    <numFmt numFmtId="223" formatCode="&quot;MTS &quot;0&quot; 問&quot;"/>
    <numFmt numFmtId="224" formatCode="&quot;MTM &quot;0&quot; 問&quot;"/>
    <numFmt numFmtId="225" formatCode="&quot;FA &quot;0&quot; 問&quot;"/>
    <numFmt numFmtId="226" formatCode="&quot;Q&quot;0"/>
    <numFmt numFmtId="227" formatCode="\Q#"/>
    <numFmt numFmtId="228" formatCode="&quot;q&quot;0"/>
    <numFmt numFmtId="229" formatCode="&quot;S&quot;0"/>
    <numFmt numFmtId="230" formatCode="&quot;Gr&quot;0"/>
    <numFmt numFmtId="231" formatCode="&quot;Gr &quot;0"/>
    <numFmt numFmtId="232" formatCode="&quot;记起的内容 &quot;0&quot;.&quot;"/>
  </numFmts>
  <fonts count="234">
    <font>
      <sz val="11"/>
      <color theme="1"/>
      <name val="等线"/>
      <family val="2"/>
      <scheme val="minor"/>
    </font>
    <font>
      <sz val="9"/>
      <color theme="1"/>
      <name val="MS PGothic"/>
      <family val="2"/>
    </font>
    <font>
      <sz val="9"/>
      <color theme="1"/>
      <name val="MS PGothic"/>
      <family val="2"/>
    </font>
    <font>
      <sz val="11"/>
      <color theme="1"/>
      <name val="等线"/>
      <family val="2"/>
      <scheme val="minor"/>
    </font>
    <font>
      <sz val="9"/>
      <name val="等线"/>
      <family val="3"/>
      <charset val="134"/>
      <scheme val="minor"/>
    </font>
    <font>
      <u/>
      <sz val="11"/>
      <color theme="10"/>
      <name val="等线"/>
      <family val="2"/>
      <scheme val="minor"/>
    </font>
    <font>
      <sz val="9"/>
      <color theme="1"/>
      <name val="MS PGothic"/>
      <family val="2"/>
    </font>
    <font>
      <b/>
      <sz val="11"/>
      <color theme="1"/>
      <name val="等线"/>
      <family val="2"/>
      <scheme val="minor"/>
    </font>
    <font>
      <sz val="12"/>
      <name val="宋体"/>
      <family val="3"/>
      <charset val="134"/>
    </font>
    <font>
      <sz val="9"/>
      <name val="MS PGothic"/>
      <family val="2"/>
    </font>
    <font>
      <sz val="9"/>
      <name val="ＭＳ Ｐゴシック"/>
      <family val="3"/>
      <charset val="128"/>
    </font>
    <font>
      <sz val="10"/>
      <name val="宋体"/>
      <family val="3"/>
      <charset val="134"/>
    </font>
    <font>
      <b/>
      <sz val="9"/>
      <color indexed="9"/>
      <name val="ＭＳ Ｐゴシック"/>
      <family val="3"/>
      <charset val="128"/>
    </font>
    <font>
      <b/>
      <sz val="9"/>
      <color indexed="9"/>
      <name val="ＭＳ Ｐゴシック"/>
      <family val="2"/>
      <charset val="128"/>
    </font>
    <font>
      <sz val="9"/>
      <color indexed="8"/>
      <name val="ＭＳ Ｐゴシック"/>
      <family val="2"/>
      <charset val="128"/>
    </font>
    <font>
      <sz val="9"/>
      <color rgb="FFFF0000"/>
      <name val="MS PGothic"/>
      <family val="2"/>
    </font>
    <font>
      <sz val="9"/>
      <color rgb="FFFF0000"/>
      <name val="Arial Narrow"/>
      <family val="2"/>
    </font>
    <font>
      <sz val="9"/>
      <name val="Arial Narrow"/>
      <family val="2"/>
    </font>
    <font>
      <sz val="11"/>
      <color theme="1"/>
      <name val="SimHei"/>
      <family val="3"/>
      <charset val="134"/>
    </font>
    <font>
      <b/>
      <sz val="9"/>
      <name val="ＭＳ Ｐゴシック"/>
      <family val="2"/>
      <charset val="128"/>
    </font>
    <font>
      <sz val="10"/>
      <name val="ＭＳ Ｐゴシック"/>
      <family val="3"/>
      <charset val="128"/>
    </font>
    <font>
      <sz val="10"/>
      <name val="ＭＳ Ｐゴシック"/>
      <family val="2"/>
      <charset val="128"/>
    </font>
    <font>
      <sz val="11"/>
      <color theme="1"/>
      <name val="Arial Narrow"/>
      <family val="2"/>
    </font>
    <font>
      <sz val="11"/>
      <color rgb="FFFF0000"/>
      <name val="等线"/>
      <family val="2"/>
      <scheme val="minor"/>
    </font>
    <font>
      <b/>
      <sz val="11"/>
      <name val="MS PGothic"/>
      <family val="2"/>
    </font>
    <font>
      <sz val="9"/>
      <color theme="1"/>
      <name val="等线"/>
      <family val="2"/>
      <scheme val="minor"/>
    </font>
    <font>
      <sz val="10"/>
      <color theme="1"/>
      <name val="微软雅黑"/>
      <family val="2"/>
      <charset val="134"/>
    </font>
    <font>
      <sz val="11"/>
      <color theme="1"/>
      <name val="等线"/>
      <family val="3"/>
      <charset val="134"/>
      <scheme val="minor"/>
    </font>
    <font>
      <sz val="11"/>
      <color indexed="17"/>
      <name val="宋体"/>
      <family val="3"/>
      <charset val="134"/>
    </font>
    <font>
      <sz val="11"/>
      <color indexed="20"/>
      <name val="宋体"/>
      <family val="3"/>
      <charset val="134"/>
    </font>
    <font>
      <sz val="11"/>
      <color theme="1"/>
      <name val="等线"/>
      <family val="2"/>
      <charset val="134"/>
      <scheme val="minor"/>
    </font>
    <font>
      <sz val="11"/>
      <name val="ＭＳ Ｐゴシック"/>
      <family val="2"/>
      <charset val="128"/>
    </font>
    <font>
      <sz val="11"/>
      <color indexed="8"/>
      <name val="等线"/>
      <family val="3"/>
      <charset val="134"/>
      <scheme val="minor"/>
    </font>
    <font>
      <sz val="9"/>
      <color indexed="8"/>
      <name val="ＭＳ Ｐゴシック"/>
      <family val="3"/>
      <charset val="128"/>
    </font>
    <font>
      <sz val="9"/>
      <name val="SimHei"/>
      <family val="3"/>
      <charset val="134"/>
    </font>
    <font>
      <sz val="9"/>
      <color theme="1"/>
      <name val="SimHei"/>
      <family val="3"/>
      <charset val="134"/>
    </font>
    <font>
      <sz val="9"/>
      <color rgb="FFFF0000"/>
      <name val="SimHei"/>
      <family val="3"/>
      <charset val="134"/>
    </font>
    <font>
      <sz val="11"/>
      <color theme="1"/>
      <name val="等线"/>
      <family val="3"/>
      <charset val="128"/>
      <scheme val="minor"/>
    </font>
    <font>
      <sz val="9"/>
      <color theme="1"/>
      <name val="等线"/>
      <family val="3"/>
      <charset val="134"/>
      <scheme val="minor"/>
    </font>
    <font>
      <sz val="11"/>
      <color indexed="8"/>
      <name val="Calibri"/>
      <family val="2"/>
    </font>
    <font>
      <sz val="11"/>
      <color indexed="8"/>
      <name val="ＭＳ Ｐゴシック"/>
      <family val="3"/>
      <charset val="128"/>
    </font>
    <font>
      <sz val="11"/>
      <color indexed="8"/>
      <name val="맑은 고딕"/>
      <family val="2"/>
      <charset val="129"/>
    </font>
    <font>
      <sz val="9"/>
      <color indexed="8"/>
      <name val="MS PGothic"/>
      <family val="2"/>
    </font>
    <font>
      <sz val="11"/>
      <color indexed="8"/>
      <name val="宋体"/>
      <family val="3"/>
      <charset val="134"/>
    </font>
    <font>
      <sz val="12"/>
      <color indexed="8"/>
      <name val="宋体"/>
      <family val="3"/>
      <charset val="134"/>
    </font>
    <font>
      <sz val="11"/>
      <color indexed="9"/>
      <name val="Calibri"/>
      <family val="2"/>
    </font>
    <font>
      <sz val="9"/>
      <color indexed="9"/>
      <name val="ＭＳ Ｐゴシック"/>
      <family val="2"/>
      <charset val="128"/>
    </font>
    <font>
      <sz val="9"/>
      <color indexed="9"/>
      <name val="ＭＳ Ｐゴシック"/>
      <family val="3"/>
      <charset val="128"/>
    </font>
    <font>
      <sz val="11"/>
      <color indexed="9"/>
      <name val="ＭＳ Ｐゴシック"/>
      <family val="3"/>
      <charset val="128"/>
    </font>
    <font>
      <sz val="11"/>
      <color indexed="9"/>
      <name val="맑은 고딕"/>
      <family val="2"/>
      <charset val="129"/>
    </font>
    <font>
      <sz val="9"/>
      <color indexed="9"/>
      <name val="MS PGothic"/>
      <family val="2"/>
    </font>
    <font>
      <sz val="11"/>
      <color indexed="9"/>
      <name val="宋体"/>
      <family val="3"/>
      <charset val="134"/>
    </font>
    <font>
      <sz val="12"/>
      <color indexed="9"/>
      <name val="宋体"/>
      <family val="3"/>
      <charset val="134"/>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color indexed="8"/>
      <name val="Arial"/>
      <family val="2"/>
    </font>
    <font>
      <sz val="11"/>
      <name val="ＭＳ Ｐゴシック"/>
      <family val="2"/>
    </font>
    <font>
      <sz val="10"/>
      <name val="Times New Roman"/>
      <family val="1"/>
    </font>
    <font>
      <b/>
      <sz val="11"/>
      <color indexed="63"/>
      <name val="Calibri"/>
      <family val="2"/>
    </font>
    <font>
      <b/>
      <sz val="18"/>
      <color indexed="56"/>
      <name val="Cambria"/>
      <family val="1"/>
    </font>
    <font>
      <b/>
      <sz val="11"/>
      <color indexed="8"/>
      <name val="Calibri"/>
      <family val="2"/>
    </font>
    <font>
      <sz val="11"/>
      <color indexed="10"/>
      <name val="Calibri"/>
      <family val="2"/>
    </font>
    <font>
      <b/>
      <sz val="18"/>
      <color indexed="62"/>
      <name val="ＭＳ Ｐゴシック"/>
      <family val="2"/>
      <charset val="128"/>
    </font>
    <font>
      <b/>
      <sz val="18"/>
      <color indexed="62"/>
      <name val="ＭＳ Ｐゴシック"/>
      <family val="3"/>
      <charset val="128"/>
    </font>
    <font>
      <b/>
      <sz val="18"/>
      <color indexed="56"/>
      <name val="ＭＳ Ｐゴシック"/>
      <family val="3"/>
      <charset val="128"/>
    </font>
    <font>
      <b/>
      <sz val="11"/>
      <color indexed="9"/>
      <name val="ＭＳ Ｐゴシック"/>
      <family val="3"/>
      <charset val="128"/>
    </font>
    <font>
      <sz val="9"/>
      <color indexed="60"/>
      <name val="ＭＳ Ｐゴシック"/>
      <family val="2"/>
      <charset val="128"/>
    </font>
    <font>
      <sz val="9"/>
      <color indexed="60"/>
      <name val="ＭＳ Ｐゴシック"/>
      <family val="3"/>
      <charset val="128"/>
    </font>
    <font>
      <sz val="11"/>
      <color indexed="60"/>
      <name val="ＭＳ Ｐゴシック"/>
      <family val="3"/>
      <charset val="128"/>
    </font>
    <font>
      <u/>
      <sz val="9"/>
      <color indexed="12"/>
      <name val="ＭＳ Ｐゴシック"/>
      <family val="3"/>
      <charset val="128"/>
    </font>
    <font>
      <u/>
      <sz val="9"/>
      <color indexed="12"/>
      <name val="ＭＳ Ｐゴシック"/>
      <family val="2"/>
      <charset val="128"/>
    </font>
    <font>
      <u/>
      <sz val="11"/>
      <color theme="10"/>
      <name val="等线"/>
      <family val="2"/>
      <charset val="128"/>
      <scheme val="minor"/>
    </font>
    <font>
      <u/>
      <sz val="11"/>
      <color theme="10"/>
      <name val="等线"/>
      <family val="3"/>
      <charset val="134"/>
      <scheme val="minor"/>
    </font>
    <font>
      <u/>
      <sz val="11"/>
      <color indexed="12"/>
      <name val="ＭＳ Ｐゴシック"/>
      <family val="3"/>
      <charset val="128"/>
    </font>
    <font>
      <u/>
      <sz val="11"/>
      <color indexed="12"/>
      <name val="ＭＳ Ｐゴシック"/>
      <family val="2"/>
      <charset val="128"/>
    </font>
    <font>
      <sz val="11"/>
      <name val="ＭＳ ゴシック"/>
      <family val="3"/>
      <charset val="128"/>
    </font>
    <font>
      <sz val="9"/>
      <color indexed="52"/>
      <name val="ＭＳ Ｐゴシック"/>
      <family val="2"/>
      <charset val="128"/>
    </font>
    <font>
      <sz val="9"/>
      <color indexed="52"/>
      <name val="ＭＳ Ｐゴシック"/>
      <family val="3"/>
      <charset val="128"/>
    </font>
    <font>
      <sz val="11"/>
      <color indexed="52"/>
      <name val="ＭＳ Ｐゴシック"/>
      <family val="3"/>
      <charset val="128"/>
    </font>
    <font>
      <sz val="11"/>
      <color indexed="10"/>
      <name val="맑은 고딕"/>
      <family val="2"/>
      <charset val="129"/>
    </font>
    <font>
      <b/>
      <sz val="11"/>
      <color indexed="10"/>
      <name val="맑은 고딕"/>
      <family val="2"/>
      <charset val="129"/>
    </font>
    <font>
      <sz val="11"/>
      <color indexed="20"/>
      <name val="맑은 고딕"/>
      <family val="2"/>
      <charset val="129"/>
    </font>
    <font>
      <sz val="10"/>
      <name val="細明朝体"/>
      <family val="3"/>
      <charset val="128"/>
    </font>
    <font>
      <sz val="11"/>
      <name val="ＭＳ Ｐゴシック"/>
      <family val="3"/>
      <charset val="128"/>
    </font>
    <font>
      <sz val="11"/>
      <color indexed="19"/>
      <name val="맑은 고딕"/>
      <family val="2"/>
      <charset val="129"/>
    </font>
    <font>
      <i/>
      <sz val="11"/>
      <color indexed="23"/>
      <name val="맑은 고딕"/>
      <family val="2"/>
      <charset val="129"/>
    </font>
    <font>
      <b/>
      <sz val="11"/>
      <color indexed="9"/>
      <name val="맑은 고딕"/>
      <family val="2"/>
      <charset val="129"/>
    </font>
    <font>
      <sz val="11"/>
      <name val="돋움"/>
      <family val="2"/>
      <charset val="129"/>
    </font>
    <font>
      <b/>
      <sz val="11"/>
      <color indexed="8"/>
      <name val="맑은 고딕"/>
      <family val="2"/>
      <charset val="129"/>
    </font>
    <font>
      <sz val="11"/>
      <color indexed="62"/>
      <name val="맑은 고딕"/>
      <family val="2"/>
      <charset val="129"/>
    </font>
    <font>
      <b/>
      <sz val="18"/>
      <color indexed="62"/>
      <name val="맑은 고딕"/>
      <family val="2"/>
      <charset val="129"/>
    </font>
    <font>
      <b/>
      <sz val="15"/>
      <color indexed="62"/>
      <name val="맑은 고딕"/>
      <family val="2"/>
      <charset val="129"/>
    </font>
    <font>
      <b/>
      <sz val="13"/>
      <color indexed="62"/>
      <name val="맑은 고딕"/>
      <family val="2"/>
      <charset val="129"/>
    </font>
    <font>
      <b/>
      <sz val="11"/>
      <color indexed="62"/>
      <name val="맑은 고딕"/>
      <family val="2"/>
      <charset val="129"/>
    </font>
    <font>
      <sz val="11"/>
      <color indexed="17"/>
      <name val="맑은 고딕"/>
      <family val="2"/>
      <charset val="129"/>
    </font>
    <font>
      <b/>
      <sz val="11"/>
      <color indexed="63"/>
      <name val="맑은 고딕"/>
      <family val="2"/>
      <charset val="129"/>
    </font>
    <font>
      <sz val="12"/>
      <name val="굴림체"/>
      <family val="3"/>
      <charset val="129"/>
    </font>
    <font>
      <sz val="11"/>
      <name val="바탕체"/>
      <family val="3"/>
      <charset val="129"/>
    </font>
    <font>
      <sz val="12"/>
      <color indexed="60"/>
      <name val="宋体"/>
      <family val="3"/>
      <charset val="134"/>
    </font>
    <font>
      <sz val="9"/>
      <color indexed="62"/>
      <name val="ＭＳ Ｐゴシック"/>
      <family val="2"/>
      <charset val="128"/>
    </font>
    <font>
      <sz val="9"/>
      <color indexed="62"/>
      <name val="ＭＳ Ｐゴシック"/>
      <family val="3"/>
      <charset val="128"/>
    </font>
    <font>
      <b/>
      <sz val="9"/>
      <color indexed="63"/>
      <name val="ＭＳ Ｐゴシック"/>
      <family val="2"/>
      <charset val="128"/>
    </font>
    <font>
      <b/>
      <sz val="9"/>
      <color indexed="63"/>
      <name val="ＭＳ Ｐゴシック"/>
      <family val="3"/>
      <charset val="128"/>
    </font>
    <font>
      <sz val="11"/>
      <color theme="1"/>
      <name val="等线"/>
      <family val="2"/>
      <charset val="128"/>
      <scheme val="minor"/>
    </font>
    <font>
      <b/>
      <sz val="12"/>
      <color indexed="8"/>
      <name val="宋体"/>
      <family val="3"/>
      <charset val="134"/>
    </font>
    <font>
      <sz val="12"/>
      <color indexed="20"/>
      <name val="宋体"/>
      <family val="3"/>
      <charset val="134"/>
    </font>
    <font>
      <sz val="9"/>
      <color indexed="17"/>
      <name val="MS PGothic"/>
      <family val="2"/>
    </font>
    <font>
      <sz val="9"/>
      <color indexed="17"/>
      <name val="ＭＳ Ｐゴシック"/>
      <family val="2"/>
      <charset val="128"/>
    </font>
    <font>
      <sz val="11"/>
      <color indexed="17"/>
      <name val="ＭＳ Ｐゴシック"/>
      <family val="2"/>
      <charset val="128"/>
    </font>
    <font>
      <sz val="11"/>
      <color indexed="17"/>
      <name val="宋体"/>
      <family val="3"/>
      <charset val="134"/>
    </font>
    <font>
      <sz val="11"/>
      <color indexed="17"/>
      <name val="ＭＳ Ｐゴシック"/>
      <family val="2"/>
    </font>
    <font>
      <sz val="9"/>
      <color indexed="20"/>
      <name val="MS PGothic"/>
      <family val="2"/>
    </font>
    <font>
      <sz val="9"/>
      <color indexed="32"/>
      <name val="ＭＳ Ｐゴシック"/>
      <family val="2"/>
      <charset val="128"/>
    </font>
    <font>
      <sz val="11"/>
      <color indexed="20"/>
      <name val="ＭＳ Ｐゴシック"/>
      <family val="2"/>
      <charset val="128"/>
    </font>
    <font>
      <sz val="11"/>
      <color indexed="20"/>
      <name val="宋体"/>
      <family val="3"/>
      <charset val="134"/>
    </font>
    <font>
      <sz val="11"/>
      <color indexed="20"/>
      <name val="ＭＳ Ｐゴシック"/>
      <family val="2"/>
    </font>
    <font>
      <sz val="9"/>
      <color theme="1"/>
      <name val="黑体"/>
      <family val="2"/>
      <charset val="134"/>
    </font>
    <font>
      <sz val="9"/>
      <name val="ＭＳ Ｐゴシック"/>
      <family val="2"/>
      <charset val="128"/>
    </font>
    <font>
      <sz val="11"/>
      <name val="Calibri"/>
      <family val="2"/>
    </font>
    <font>
      <sz val="12"/>
      <name val="宋体"/>
      <family val="3"/>
      <charset val="134"/>
    </font>
    <font>
      <sz val="9"/>
      <color indexed="32"/>
      <name val="ＭＳ Ｐゴシック"/>
      <family val="3"/>
      <charset val="128"/>
    </font>
    <font>
      <sz val="11"/>
      <color indexed="20"/>
      <name val="ＭＳ Ｐゴシック"/>
      <family val="3"/>
      <charset val="128"/>
    </font>
    <font>
      <b/>
      <sz val="15"/>
      <color indexed="56"/>
      <name val="MS PGothic"/>
      <family val="2"/>
    </font>
    <font>
      <b/>
      <sz val="15"/>
      <color indexed="56"/>
      <name val="宋体"/>
      <family val="3"/>
      <charset val="134"/>
    </font>
    <font>
      <b/>
      <sz val="15"/>
      <color indexed="62"/>
      <name val="ＭＳ Ｐゴシック"/>
      <family val="2"/>
      <charset val="128"/>
    </font>
    <font>
      <b/>
      <sz val="13"/>
      <color indexed="56"/>
      <name val="MS PGothic"/>
      <family val="2"/>
    </font>
    <font>
      <b/>
      <sz val="13"/>
      <color indexed="56"/>
      <name val="宋体"/>
      <family val="3"/>
      <charset val="134"/>
    </font>
    <font>
      <b/>
      <sz val="13"/>
      <color indexed="62"/>
      <name val="ＭＳ Ｐゴシック"/>
      <family val="2"/>
      <charset val="128"/>
    </font>
    <font>
      <b/>
      <sz val="11"/>
      <color indexed="56"/>
      <name val="MS PGothic"/>
      <family val="2"/>
    </font>
    <font>
      <b/>
      <sz val="11"/>
      <color indexed="56"/>
      <name val="宋体"/>
      <family val="3"/>
      <charset val="134"/>
    </font>
    <font>
      <b/>
      <sz val="11"/>
      <color indexed="62"/>
      <name val="ＭＳ Ｐゴシック"/>
      <family val="2"/>
      <charset val="128"/>
    </font>
    <font>
      <b/>
      <sz val="18"/>
      <color indexed="56"/>
      <name val="宋体"/>
      <family val="3"/>
      <charset val="134"/>
    </font>
    <font>
      <b/>
      <sz val="9"/>
      <color indexed="9"/>
      <name val="MS PGothic"/>
      <family val="2"/>
    </font>
    <font>
      <b/>
      <sz val="11"/>
      <color indexed="9"/>
      <name val="宋体"/>
      <family val="3"/>
      <charset val="134"/>
    </font>
    <font>
      <b/>
      <sz val="12"/>
      <color indexed="9"/>
      <name val="宋体"/>
      <family val="3"/>
      <charset val="134"/>
    </font>
    <font>
      <b/>
      <sz val="9"/>
      <color indexed="8"/>
      <name val="MS PGothic"/>
      <family val="2"/>
    </font>
    <font>
      <b/>
      <sz val="11"/>
      <color indexed="8"/>
      <name val="宋体"/>
      <family val="3"/>
      <charset val="134"/>
    </font>
    <font>
      <b/>
      <sz val="9"/>
      <color indexed="8"/>
      <name val="ＭＳ Ｐゴシック"/>
      <family val="2"/>
      <charset val="128"/>
    </font>
    <font>
      <b/>
      <sz val="9"/>
      <color indexed="8"/>
      <name val="ＭＳ Ｐゴシック"/>
      <family val="3"/>
      <charset val="128"/>
    </font>
    <font>
      <sz val="9"/>
      <color indexed="17"/>
      <name val="ＭＳ Ｐゴシック"/>
      <family val="3"/>
      <charset val="128"/>
    </font>
    <font>
      <sz val="11"/>
      <color indexed="17"/>
      <name val="ＭＳ Ｐゴシック"/>
      <family val="3"/>
      <charset val="128"/>
    </font>
    <font>
      <b/>
      <sz val="15"/>
      <color indexed="62"/>
      <name val="ＭＳ Ｐゴシック"/>
      <family val="3"/>
      <charset val="128"/>
    </font>
    <font>
      <b/>
      <sz val="15"/>
      <color indexed="56"/>
      <name val="ＭＳ Ｐゴシック"/>
      <family val="3"/>
      <charset val="128"/>
    </font>
    <font>
      <b/>
      <sz val="13"/>
      <color indexed="62"/>
      <name val="ＭＳ Ｐゴシック"/>
      <family val="3"/>
      <charset val="128"/>
    </font>
    <font>
      <b/>
      <sz val="13"/>
      <color indexed="56"/>
      <name val="ＭＳ Ｐゴシック"/>
      <family val="3"/>
      <charset val="128"/>
    </font>
    <font>
      <b/>
      <sz val="11"/>
      <color indexed="62"/>
      <name val="ＭＳ Ｐゴシック"/>
      <family val="3"/>
      <charset val="128"/>
    </font>
    <font>
      <b/>
      <sz val="11"/>
      <color indexed="56"/>
      <name val="ＭＳ Ｐゴシック"/>
      <family val="3"/>
      <charset val="128"/>
    </font>
    <font>
      <i/>
      <sz val="9"/>
      <color indexed="23"/>
      <name val="MS PGothic"/>
      <family val="2"/>
    </font>
    <font>
      <i/>
      <sz val="11"/>
      <color indexed="23"/>
      <name val="宋体"/>
      <family val="3"/>
      <charset val="134"/>
    </font>
    <font>
      <i/>
      <sz val="9"/>
      <color indexed="23"/>
      <name val="ＭＳ Ｐゴシック"/>
      <family val="2"/>
      <charset val="128"/>
    </font>
    <font>
      <b/>
      <sz val="9"/>
      <color indexed="52"/>
      <name val="ＭＳ Ｐゴシック"/>
      <family val="2"/>
      <charset val="128"/>
    </font>
    <font>
      <b/>
      <sz val="9"/>
      <color indexed="52"/>
      <name val="ＭＳ Ｐゴシック"/>
      <family val="3"/>
      <charset val="128"/>
    </font>
    <font>
      <b/>
      <sz val="12"/>
      <color indexed="52"/>
      <name val="宋体"/>
      <family val="3"/>
      <charset val="134"/>
    </font>
    <font>
      <i/>
      <sz val="12"/>
      <color indexed="23"/>
      <name val="宋体"/>
      <family val="3"/>
      <charset val="134"/>
    </font>
    <font>
      <i/>
      <sz val="9"/>
      <color indexed="23"/>
      <name val="ＭＳ Ｐゴシック"/>
      <family val="3"/>
      <charset val="128"/>
    </font>
    <font>
      <i/>
      <sz val="11"/>
      <color indexed="23"/>
      <name val="ＭＳ Ｐゴシック"/>
      <family val="3"/>
      <charset val="128"/>
    </font>
    <font>
      <sz val="9"/>
      <color indexed="10"/>
      <name val="ＭＳ Ｐゴシック"/>
      <family val="2"/>
      <charset val="128"/>
    </font>
    <font>
      <sz val="9"/>
      <color indexed="10"/>
      <name val="ＭＳ Ｐゴシック"/>
      <family val="3"/>
      <charset val="128"/>
    </font>
    <font>
      <sz val="11"/>
      <color indexed="10"/>
      <name val="ＭＳ Ｐゴシック"/>
      <family val="3"/>
      <charset val="128"/>
    </font>
    <font>
      <sz val="12"/>
      <color indexed="10"/>
      <name val="宋体"/>
      <family val="3"/>
      <charset val="134"/>
    </font>
    <font>
      <sz val="9"/>
      <color indexed="10"/>
      <name val="MS PGothic"/>
      <family val="2"/>
    </font>
    <font>
      <sz val="11"/>
      <color indexed="10"/>
      <name val="宋体"/>
      <family val="3"/>
      <charset val="134"/>
    </font>
    <font>
      <b/>
      <sz val="9"/>
      <color indexed="52"/>
      <name val="MS PGothic"/>
      <family val="2"/>
    </font>
    <font>
      <b/>
      <sz val="11"/>
      <color indexed="52"/>
      <name val="宋体"/>
      <family val="3"/>
      <charset val="134"/>
    </font>
    <font>
      <u/>
      <sz val="9"/>
      <color theme="10"/>
      <name val="ＭＳ Ｐゴシック"/>
      <family val="3"/>
      <charset val="128"/>
    </font>
    <font>
      <u/>
      <sz val="11"/>
      <color theme="10"/>
      <name val="宋体"/>
      <family val="3"/>
      <charset val="128"/>
    </font>
    <font>
      <u/>
      <sz val="10"/>
      <color indexed="12"/>
      <name val="宋体"/>
      <family val="3"/>
      <charset val="134"/>
    </font>
    <font>
      <u/>
      <sz val="11"/>
      <color indexed="12"/>
      <name val="宋体"/>
      <family val="3"/>
      <charset val="134"/>
    </font>
    <font>
      <u/>
      <sz val="12"/>
      <color indexed="12"/>
      <name val="宋体"/>
      <family val="3"/>
      <charset val="134"/>
    </font>
    <font>
      <u/>
      <sz val="11"/>
      <color theme="10"/>
      <name val="等线"/>
      <family val="2"/>
      <charset val="134"/>
      <scheme val="minor"/>
    </font>
    <font>
      <u/>
      <sz val="11"/>
      <color theme="10"/>
      <name val="ＭＳ Ｐゴシック"/>
      <family val="2"/>
      <charset val="128"/>
    </font>
    <font>
      <sz val="12"/>
      <color indexed="62"/>
      <name val="宋体"/>
      <family val="3"/>
      <charset val="134"/>
    </font>
    <font>
      <b/>
      <sz val="12"/>
      <color indexed="63"/>
      <name val="宋体"/>
      <family val="3"/>
      <charset val="134"/>
    </font>
    <font>
      <sz val="9"/>
      <color indexed="62"/>
      <name val="MS PGothic"/>
      <family val="2"/>
    </font>
    <font>
      <sz val="11"/>
      <color indexed="62"/>
      <name val="宋体"/>
      <family val="3"/>
      <charset val="134"/>
    </font>
    <font>
      <b/>
      <sz val="9"/>
      <color indexed="63"/>
      <name val="MS PGothic"/>
      <family val="2"/>
    </font>
    <font>
      <b/>
      <sz val="11"/>
      <color indexed="63"/>
      <name val="宋体"/>
      <family val="3"/>
      <charset val="134"/>
    </font>
    <font>
      <sz val="9"/>
      <color indexed="60"/>
      <name val="MS PGothic"/>
      <family val="2"/>
    </font>
    <font>
      <sz val="11"/>
      <color indexed="60"/>
      <name val="宋体"/>
      <family val="3"/>
      <charset val="134"/>
    </font>
    <font>
      <sz val="12"/>
      <color indexed="52"/>
      <name val="宋体"/>
      <family val="3"/>
      <charset val="134"/>
    </font>
    <font>
      <sz val="9"/>
      <color indexed="52"/>
      <name val="MS PGothic"/>
      <family val="2"/>
    </font>
    <font>
      <sz val="11"/>
      <color indexed="52"/>
      <name val="宋体"/>
      <family val="3"/>
      <charset val="134"/>
    </font>
    <font>
      <sz val="9"/>
      <name val="等线"/>
      <family val="2"/>
      <charset val="134"/>
      <scheme val="minor"/>
    </font>
    <font>
      <i/>
      <sz val="9"/>
      <color indexed="23"/>
      <name val="MS PGothic"/>
      <family val="2"/>
      <charset val="128"/>
    </font>
    <font>
      <sz val="9"/>
      <color indexed="12"/>
      <name val="SimHei"/>
      <family val="3"/>
      <charset val="134"/>
    </font>
    <font>
      <sz val="9"/>
      <name val="MS PGothic"/>
      <family val="2"/>
      <charset val="128"/>
    </font>
    <font>
      <b/>
      <i/>
      <sz val="9"/>
      <color rgb="FFFF0000"/>
      <name val="MS PGothic"/>
      <family val="2"/>
      <charset val="128"/>
    </font>
    <font>
      <sz val="9"/>
      <color indexed="18"/>
      <name val="MS PGothic"/>
      <family val="2"/>
      <charset val="128"/>
    </font>
    <font>
      <b/>
      <sz val="9"/>
      <name val="SimHei"/>
      <family val="3"/>
      <charset val="134"/>
    </font>
    <font>
      <sz val="9"/>
      <color indexed="12"/>
      <name val="MS PGothic"/>
      <family val="2"/>
      <charset val="128"/>
    </font>
    <font>
      <sz val="6"/>
      <name val="ＭＳ Ｐゴシック"/>
      <family val="2"/>
      <charset val="128"/>
    </font>
    <font>
      <u/>
      <sz val="9"/>
      <name val="SimHei"/>
      <family val="3"/>
      <charset val="134"/>
    </font>
    <font>
      <b/>
      <u/>
      <sz val="9"/>
      <name val="SimHei"/>
      <family val="3"/>
      <charset val="134"/>
    </font>
    <font>
      <b/>
      <sz val="9"/>
      <name val="MS PGothic"/>
      <family val="2"/>
    </font>
    <font>
      <b/>
      <sz val="9"/>
      <color theme="2" tint="-0.499984740745262"/>
      <name val="MS PGothic"/>
      <family val="2"/>
    </font>
    <font>
      <b/>
      <sz val="9"/>
      <color indexed="9"/>
      <name val="SimHei"/>
      <family val="3"/>
      <charset val="134"/>
    </font>
    <font>
      <sz val="9"/>
      <color indexed="9"/>
      <name val="SimHei"/>
      <family val="3"/>
      <charset val="134"/>
    </font>
    <font>
      <b/>
      <sz val="9"/>
      <color indexed="14"/>
      <name val="MS PGothic"/>
      <family val="2"/>
    </font>
    <font>
      <b/>
      <sz val="9"/>
      <color indexed="14"/>
      <name val="SimHei"/>
      <family val="3"/>
      <charset val="134"/>
    </font>
    <font>
      <sz val="9"/>
      <color indexed="14"/>
      <name val="SimHei"/>
      <family val="3"/>
      <charset val="134"/>
    </font>
    <font>
      <sz val="9"/>
      <color indexed="55"/>
      <name val="MS PGothic"/>
      <family val="2"/>
      <charset val="128"/>
    </font>
    <font>
      <b/>
      <i/>
      <sz val="9"/>
      <color indexed="9"/>
      <name val="SimHei"/>
      <family val="3"/>
      <charset val="134"/>
    </font>
    <font>
      <i/>
      <sz val="9"/>
      <color indexed="9"/>
      <name val="SimHei"/>
      <family val="3"/>
      <charset val="134"/>
    </font>
    <font>
      <i/>
      <sz val="9"/>
      <color indexed="55"/>
      <name val="MS PGothic"/>
      <family val="2"/>
    </font>
    <font>
      <b/>
      <i/>
      <sz val="9"/>
      <color indexed="55"/>
      <name val="MS PGothic"/>
      <family val="2"/>
    </font>
    <font>
      <sz val="9"/>
      <color indexed="10"/>
      <name val="SimHei"/>
      <family val="3"/>
      <charset val="134"/>
    </font>
    <font>
      <sz val="9"/>
      <name val="黑体"/>
      <family val="3"/>
      <charset val="134"/>
    </font>
    <font>
      <sz val="9"/>
      <color rgb="FFC00000"/>
      <name val="SimHei"/>
      <family val="3"/>
      <charset val="134"/>
    </font>
    <font>
      <sz val="9"/>
      <color theme="0" tint="-0.499984740745262"/>
      <name val="ＭＳ Ｐゴシック"/>
      <family val="2"/>
      <charset val="128"/>
    </font>
    <font>
      <sz val="9"/>
      <color rgb="FF00B050"/>
      <name val="SimHei"/>
      <family val="3"/>
      <charset val="134"/>
    </font>
    <font>
      <sz val="9"/>
      <color theme="0"/>
      <name val="MS PGothic"/>
      <family val="2"/>
    </font>
    <font>
      <sz val="9"/>
      <color rgb="FF0000FF"/>
      <name val="SimHei"/>
      <family val="3"/>
      <charset val="134"/>
    </font>
    <font>
      <sz val="9"/>
      <color indexed="17"/>
      <name val="SimHei"/>
      <family val="3"/>
      <charset val="134"/>
    </font>
    <font>
      <b/>
      <sz val="9"/>
      <color indexed="12"/>
      <name val="SimHei"/>
      <family val="3"/>
      <charset val="134"/>
    </font>
    <font>
      <b/>
      <i/>
      <sz val="9"/>
      <color indexed="10"/>
      <name val="MS PGothic"/>
      <family val="2"/>
    </font>
    <font>
      <sz val="9"/>
      <color rgb="FF0070C0"/>
      <name val="SimHei"/>
      <family val="3"/>
      <charset val="134"/>
    </font>
    <font>
      <sz val="9"/>
      <color rgb="FFC00000"/>
      <name val="MS PGothic"/>
      <family val="2"/>
    </font>
    <font>
      <sz val="9"/>
      <color rgb="FFC00000"/>
      <name val="MS PGothic"/>
      <family val="2"/>
      <charset val="128"/>
    </font>
    <font>
      <b/>
      <sz val="9"/>
      <color rgb="FFC00000"/>
      <name val="MS PGothic"/>
      <family val="2"/>
    </font>
    <font>
      <sz val="9"/>
      <name val="宋体"/>
      <family val="3"/>
      <charset val="134"/>
    </font>
    <font>
      <sz val="10"/>
      <name val="SimHei"/>
      <family val="3"/>
      <charset val="134"/>
    </font>
    <font>
      <sz val="14"/>
      <name val="SimHei"/>
      <family val="3"/>
      <charset val="134"/>
    </font>
    <font>
      <sz val="12"/>
      <name val="SimHei"/>
      <family val="3"/>
      <charset val="134"/>
    </font>
    <font>
      <sz val="11"/>
      <name val="SimHei"/>
      <family val="3"/>
      <charset val="134"/>
    </font>
  </fonts>
  <fills count="392">
    <fill>
      <patternFill patternType="none"/>
    </fill>
    <fill>
      <patternFill patternType="gray125"/>
    </fill>
    <fill>
      <patternFill patternType="solid">
        <fgColor theme="4" tint="0.39994506668294322"/>
        <bgColor indexed="64"/>
      </patternFill>
    </fill>
    <fill>
      <patternFill patternType="solid">
        <fgColor rgb="FFFFFFFF"/>
        <bgColor indexed="64"/>
      </patternFill>
    </fill>
    <fill>
      <patternFill patternType="solid">
        <fgColor rgb="FFFF0000"/>
        <bgColor indexed="64"/>
      </patternFill>
    </fill>
    <fill>
      <patternFill patternType="solid">
        <fgColor rgb="FF0000FF"/>
        <bgColor indexed="64"/>
      </patternFill>
    </fill>
    <fill>
      <patternFill patternType="solid">
        <fgColor rgb="FF228B22"/>
        <bgColor indexed="64"/>
      </patternFill>
    </fill>
    <fill>
      <patternFill patternType="solid">
        <fgColor rgb="FF000000"/>
        <bgColor indexed="64"/>
      </patternFill>
    </fill>
    <fill>
      <patternFill patternType="solid">
        <fgColor rgb="FF9400D3"/>
        <bgColor indexed="64"/>
      </patternFill>
    </fill>
    <fill>
      <patternFill patternType="solid">
        <fgColor rgb="FFFFFF00"/>
        <bgColor indexed="64"/>
      </patternFill>
    </fill>
    <fill>
      <patternFill patternType="solid">
        <fgColor rgb="FFFF8C00"/>
        <bgColor indexed="64"/>
      </patternFill>
    </fill>
    <fill>
      <patternFill patternType="solid">
        <fgColor rgb="FF00FFFF"/>
        <bgColor indexed="64"/>
      </patternFill>
    </fill>
    <fill>
      <patternFill patternType="solid">
        <fgColor rgb="FFFFA500"/>
        <bgColor indexed="64"/>
      </patternFill>
    </fill>
    <fill>
      <patternFill patternType="solid">
        <fgColor rgb="FF808000"/>
        <bgColor indexed="64"/>
      </patternFill>
    </fill>
    <fill>
      <patternFill patternType="solid">
        <fgColor rgb="FFD2B48C"/>
        <bgColor indexed="64"/>
      </patternFill>
    </fill>
    <fill>
      <patternFill patternType="solid">
        <fgColor rgb="FFFF00FF"/>
        <bgColor indexed="64"/>
      </patternFill>
    </fill>
    <fill>
      <patternFill patternType="solid">
        <fgColor rgb="FFD3D3D3"/>
        <bgColor indexed="64"/>
      </patternFill>
    </fill>
    <fill>
      <patternFill patternType="solid">
        <fgColor rgb="FFFFB6C1"/>
        <bgColor indexed="64"/>
      </patternFill>
    </fill>
    <fill>
      <patternFill patternType="solid">
        <fgColor rgb="FFFFC0CB"/>
        <bgColor indexed="64"/>
      </patternFill>
    </fill>
    <fill>
      <patternFill patternType="solid">
        <fgColor rgb="FFDC143C"/>
        <bgColor indexed="64"/>
      </patternFill>
    </fill>
    <fill>
      <patternFill patternType="solid">
        <fgColor rgb="FFFFF0F5"/>
        <bgColor indexed="64"/>
      </patternFill>
    </fill>
    <fill>
      <patternFill patternType="solid">
        <fgColor rgb="FFDB7093"/>
        <bgColor indexed="64"/>
      </patternFill>
    </fill>
    <fill>
      <patternFill patternType="solid">
        <fgColor rgb="FFFF69B4"/>
        <bgColor indexed="64"/>
      </patternFill>
    </fill>
    <fill>
      <patternFill patternType="solid">
        <fgColor rgb="FFFF1493"/>
        <bgColor indexed="64"/>
      </patternFill>
    </fill>
    <fill>
      <patternFill patternType="solid">
        <fgColor rgb="FFC71585"/>
        <bgColor indexed="64"/>
      </patternFill>
    </fill>
    <fill>
      <patternFill patternType="solid">
        <fgColor rgb="FFDA70D6"/>
        <bgColor indexed="64"/>
      </patternFill>
    </fill>
    <fill>
      <patternFill patternType="solid">
        <fgColor rgb="FFD8BFD8"/>
        <bgColor indexed="64"/>
      </patternFill>
    </fill>
    <fill>
      <patternFill patternType="solid">
        <fgColor rgb="FFDDA0DD"/>
        <bgColor indexed="64"/>
      </patternFill>
    </fill>
    <fill>
      <patternFill patternType="solid">
        <fgColor rgb="FFEE82EE"/>
        <bgColor indexed="64"/>
      </patternFill>
    </fill>
    <fill>
      <patternFill patternType="solid">
        <fgColor rgb="FF8B008B"/>
        <bgColor indexed="64"/>
      </patternFill>
    </fill>
    <fill>
      <patternFill patternType="solid">
        <fgColor rgb="FF800080"/>
        <bgColor indexed="64"/>
      </patternFill>
    </fill>
    <fill>
      <patternFill patternType="solid">
        <fgColor rgb="FFBA55D3"/>
        <bgColor indexed="64"/>
      </patternFill>
    </fill>
    <fill>
      <patternFill patternType="solid">
        <fgColor rgb="FF9932CC"/>
        <bgColor indexed="64"/>
      </patternFill>
    </fill>
    <fill>
      <patternFill patternType="solid">
        <fgColor rgb="FF4B0082"/>
        <bgColor indexed="64"/>
      </patternFill>
    </fill>
    <fill>
      <patternFill patternType="solid">
        <fgColor rgb="FF8A2BE2"/>
        <bgColor indexed="64"/>
      </patternFill>
    </fill>
    <fill>
      <patternFill patternType="solid">
        <fgColor rgb="FF9370DB"/>
        <bgColor indexed="64"/>
      </patternFill>
    </fill>
    <fill>
      <patternFill patternType="solid">
        <fgColor rgb="FF7B68EE"/>
        <bgColor indexed="64"/>
      </patternFill>
    </fill>
    <fill>
      <patternFill patternType="solid">
        <fgColor rgb="FF6A5ACD"/>
        <bgColor indexed="64"/>
      </patternFill>
    </fill>
    <fill>
      <patternFill patternType="solid">
        <fgColor rgb="FF483D8B"/>
        <bgColor indexed="64"/>
      </patternFill>
    </fill>
    <fill>
      <patternFill patternType="solid">
        <fgColor rgb="FFE6E6FA"/>
        <bgColor indexed="64"/>
      </patternFill>
    </fill>
    <fill>
      <patternFill patternType="solid">
        <fgColor rgb="FFF8F8FF"/>
        <bgColor indexed="64"/>
      </patternFill>
    </fill>
    <fill>
      <patternFill patternType="solid">
        <fgColor rgb="FF0000CD"/>
        <bgColor indexed="64"/>
      </patternFill>
    </fill>
    <fill>
      <patternFill patternType="solid">
        <fgColor rgb="FF191970"/>
        <bgColor indexed="64"/>
      </patternFill>
    </fill>
    <fill>
      <patternFill patternType="solid">
        <fgColor rgb="FF00008B"/>
        <bgColor indexed="64"/>
      </patternFill>
    </fill>
    <fill>
      <patternFill patternType="solid">
        <fgColor rgb="FF000080"/>
        <bgColor indexed="64"/>
      </patternFill>
    </fill>
    <fill>
      <patternFill patternType="solid">
        <fgColor rgb="FF4169E1"/>
        <bgColor indexed="64"/>
      </patternFill>
    </fill>
    <fill>
      <patternFill patternType="solid">
        <fgColor rgb="FF6495ED"/>
        <bgColor indexed="64"/>
      </patternFill>
    </fill>
    <fill>
      <patternFill patternType="solid">
        <fgColor rgb="FFB0C4DE"/>
        <bgColor indexed="64"/>
      </patternFill>
    </fill>
    <fill>
      <patternFill patternType="solid">
        <fgColor rgb="FF778899"/>
        <bgColor indexed="64"/>
      </patternFill>
    </fill>
    <fill>
      <patternFill patternType="solid">
        <fgColor rgb="FF708090"/>
        <bgColor indexed="64"/>
      </patternFill>
    </fill>
    <fill>
      <patternFill patternType="solid">
        <fgColor rgb="FF1E90FF"/>
        <bgColor indexed="64"/>
      </patternFill>
    </fill>
    <fill>
      <patternFill patternType="solid">
        <fgColor rgb="FFF0F8FF"/>
        <bgColor indexed="64"/>
      </patternFill>
    </fill>
    <fill>
      <patternFill patternType="solid">
        <fgColor rgb="FF4682B4"/>
        <bgColor indexed="64"/>
      </patternFill>
    </fill>
    <fill>
      <patternFill patternType="solid">
        <fgColor rgb="FF87CEFA"/>
        <bgColor indexed="64"/>
      </patternFill>
    </fill>
    <fill>
      <patternFill patternType="solid">
        <fgColor rgb="FF87CEEB"/>
        <bgColor indexed="64"/>
      </patternFill>
    </fill>
    <fill>
      <patternFill patternType="solid">
        <fgColor rgb="FF00BFFF"/>
        <bgColor indexed="64"/>
      </patternFill>
    </fill>
    <fill>
      <patternFill patternType="solid">
        <fgColor rgb="FFADD8E6"/>
        <bgColor indexed="64"/>
      </patternFill>
    </fill>
    <fill>
      <patternFill patternType="solid">
        <fgColor rgb="FFB0E0E6"/>
        <bgColor indexed="64"/>
      </patternFill>
    </fill>
    <fill>
      <patternFill patternType="solid">
        <fgColor rgb="FF5F9EA0"/>
        <bgColor indexed="64"/>
      </patternFill>
    </fill>
    <fill>
      <patternFill patternType="solid">
        <fgColor rgb="FFF0FFFF"/>
        <bgColor indexed="64"/>
      </patternFill>
    </fill>
    <fill>
      <patternFill patternType="solid">
        <fgColor rgb="FFE1FFFF"/>
        <bgColor indexed="64"/>
      </patternFill>
    </fill>
    <fill>
      <patternFill patternType="solid">
        <fgColor rgb="FFAFEEEE"/>
        <bgColor indexed="64"/>
      </patternFill>
    </fill>
    <fill>
      <patternFill patternType="solid">
        <fgColor rgb="FFD4F2E7"/>
        <bgColor indexed="64"/>
      </patternFill>
    </fill>
    <fill>
      <patternFill patternType="solid">
        <fgColor rgb="FF00CED1"/>
        <bgColor indexed="64"/>
      </patternFill>
    </fill>
    <fill>
      <patternFill patternType="solid">
        <fgColor rgb="FF2F4F4F"/>
        <bgColor indexed="64"/>
      </patternFill>
    </fill>
    <fill>
      <patternFill patternType="solid">
        <fgColor rgb="FF008B8B"/>
        <bgColor indexed="64"/>
      </patternFill>
    </fill>
    <fill>
      <patternFill patternType="solid">
        <fgColor rgb="FF008080"/>
        <bgColor indexed="64"/>
      </patternFill>
    </fill>
    <fill>
      <patternFill patternType="solid">
        <fgColor rgb="FF48D1CC"/>
        <bgColor indexed="64"/>
      </patternFill>
    </fill>
    <fill>
      <patternFill patternType="solid">
        <fgColor rgb="FF20B2AA"/>
        <bgColor indexed="64"/>
      </patternFill>
    </fill>
    <fill>
      <patternFill patternType="solid">
        <fgColor rgb="FF40E0D0"/>
        <bgColor indexed="64"/>
      </patternFill>
    </fill>
    <fill>
      <patternFill patternType="solid">
        <fgColor rgb="FF7FFFAA"/>
        <bgColor indexed="64"/>
      </patternFill>
    </fill>
    <fill>
      <patternFill patternType="solid">
        <fgColor rgb="FF00FA9A"/>
        <bgColor indexed="64"/>
      </patternFill>
    </fill>
    <fill>
      <patternFill patternType="solid">
        <fgColor rgb="FF00FF7F"/>
        <bgColor indexed="64"/>
      </patternFill>
    </fill>
    <fill>
      <patternFill patternType="solid">
        <fgColor rgb="FFF5FFFA"/>
        <bgColor indexed="64"/>
      </patternFill>
    </fill>
    <fill>
      <patternFill patternType="solid">
        <fgColor rgb="FF3CB371"/>
        <bgColor indexed="64"/>
      </patternFill>
    </fill>
    <fill>
      <patternFill patternType="solid">
        <fgColor rgb="FF2E8B57"/>
        <bgColor indexed="64"/>
      </patternFill>
    </fill>
    <fill>
      <patternFill patternType="solid">
        <fgColor rgb="FFF0FFF0"/>
        <bgColor indexed="64"/>
      </patternFill>
    </fill>
    <fill>
      <patternFill patternType="solid">
        <fgColor rgb="FF90EE90"/>
        <bgColor indexed="64"/>
      </patternFill>
    </fill>
    <fill>
      <patternFill patternType="solid">
        <fgColor rgb="FF98FB98"/>
        <bgColor indexed="64"/>
      </patternFill>
    </fill>
    <fill>
      <patternFill patternType="solid">
        <fgColor rgb="FF8FBC8F"/>
        <bgColor indexed="64"/>
      </patternFill>
    </fill>
    <fill>
      <patternFill patternType="solid">
        <fgColor rgb="FF32CD32"/>
        <bgColor indexed="64"/>
      </patternFill>
    </fill>
    <fill>
      <patternFill patternType="solid">
        <fgColor rgb="FF00FF00"/>
        <bgColor indexed="64"/>
      </patternFill>
    </fill>
    <fill>
      <patternFill patternType="solid">
        <fgColor rgb="FF008000"/>
        <bgColor indexed="64"/>
      </patternFill>
    </fill>
    <fill>
      <patternFill patternType="solid">
        <fgColor rgb="FF006400"/>
        <bgColor indexed="64"/>
      </patternFill>
    </fill>
    <fill>
      <patternFill patternType="solid">
        <fgColor rgb="FF7FFF00"/>
        <bgColor indexed="64"/>
      </patternFill>
    </fill>
    <fill>
      <patternFill patternType="solid">
        <fgColor rgb="FF7CFC00"/>
        <bgColor indexed="64"/>
      </patternFill>
    </fill>
    <fill>
      <patternFill patternType="solid">
        <fgColor rgb="FFADFF2F"/>
        <bgColor indexed="64"/>
      </patternFill>
    </fill>
    <fill>
      <patternFill patternType="solid">
        <fgColor rgb="FF556B2F"/>
        <bgColor indexed="64"/>
      </patternFill>
    </fill>
    <fill>
      <patternFill patternType="solid">
        <fgColor rgb="FFF5F5DC"/>
        <bgColor indexed="64"/>
      </patternFill>
    </fill>
    <fill>
      <patternFill patternType="solid">
        <fgColor rgb="FFFAFAD2"/>
        <bgColor indexed="64"/>
      </patternFill>
    </fill>
    <fill>
      <patternFill patternType="solid">
        <fgColor rgb="FFFFFFF0"/>
        <bgColor indexed="64"/>
      </patternFill>
    </fill>
    <fill>
      <patternFill patternType="solid">
        <fgColor rgb="FFFFFFE0"/>
        <bgColor indexed="64"/>
      </patternFill>
    </fill>
    <fill>
      <patternFill patternType="solid">
        <fgColor rgb="FFBDB76B"/>
        <bgColor indexed="64"/>
      </patternFill>
    </fill>
    <fill>
      <patternFill patternType="solid">
        <fgColor rgb="FFFFFACD"/>
        <bgColor indexed="64"/>
      </patternFill>
    </fill>
    <fill>
      <patternFill patternType="solid">
        <fgColor rgb="FFEEE8AA"/>
        <bgColor indexed="64"/>
      </patternFill>
    </fill>
    <fill>
      <patternFill patternType="solid">
        <fgColor rgb="FFF0E68C"/>
        <bgColor indexed="64"/>
      </patternFill>
    </fill>
    <fill>
      <patternFill patternType="solid">
        <fgColor rgb="FFFFD700"/>
        <bgColor indexed="64"/>
      </patternFill>
    </fill>
    <fill>
      <patternFill patternType="solid">
        <fgColor rgb="FFFFF8DC"/>
        <bgColor indexed="64"/>
      </patternFill>
    </fill>
    <fill>
      <patternFill patternType="solid">
        <fgColor rgb="FFDAA520"/>
        <bgColor indexed="64"/>
      </patternFill>
    </fill>
    <fill>
      <patternFill patternType="solid">
        <fgColor rgb="FFFFFAF0"/>
        <bgColor indexed="64"/>
      </patternFill>
    </fill>
    <fill>
      <patternFill patternType="solid">
        <fgColor rgb="FFFDF5E6"/>
        <bgColor indexed="64"/>
      </patternFill>
    </fill>
    <fill>
      <patternFill patternType="solid">
        <fgColor rgb="FFF5DEB3"/>
        <bgColor indexed="64"/>
      </patternFill>
    </fill>
    <fill>
      <patternFill patternType="solid">
        <fgColor rgb="FFFFE4B5"/>
        <bgColor indexed="64"/>
      </patternFill>
    </fill>
    <fill>
      <patternFill patternType="solid">
        <fgColor rgb="FFFFEFD5"/>
        <bgColor indexed="64"/>
      </patternFill>
    </fill>
    <fill>
      <patternFill patternType="solid">
        <fgColor rgb="FFFFEBCD"/>
        <bgColor indexed="64"/>
      </patternFill>
    </fill>
    <fill>
      <patternFill patternType="solid">
        <fgColor rgb="FFFFDEAD"/>
        <bgColor indexed="64"/>
      </patternFill>
    </fill>
    <fill>
      <patternFill patternType="solid">
        <fgColor rgb="FFFAEBD7"/>
        <bgColor indexed="64"/>
      </patternFill>
    </fill>
    <fill>
      <patternFill patternType="solid">
        <fgColor rgb="FFDEB887"/>
        <bgColor indexed="64"/>
      </patternFill>
    </fill>
    <fill>
      <patternFill patternType="solid">
        <fgColor rgb="FFFFE4C4"/>
        <bgColor indexed="64"/>
      </patternFill>
    </fill>
    <fill>
      <patternFill patternType="solid">
        <fgColor rgb="FFFAF0E6"/>
        <bgColor indexed="64"/>
      </patternFill>
    </fill>
    <fill>
      <patternFill patternType="solid">
        <fgColor rgb="FFCD853F"/>
        <bgColor indexed="64"/>
      </patternFill>
    </fill>
    <fill>
      <patternFill patternType="solid">
        <fgColor rgb="FFFFDAB9"/>
        <bgColor indexed="64"/>
      </patternFill>
    </fill>
    <fill>
      <patternFill patternType="solid">
        <fgColor rgb="FFF4A460"/>
        <bgColor indexed="64"/>
      </patternFill>
    </fill>
    <fill>
      <patternFill patternType="solid">
        <fgColor rgb="FFD2691E"/>
        <bgColor indexed="64"/>
      </patternFill>
    </fill>
    <fill>
      <patternFill patternType="solid">
        <fgColor rgb="FF8B4513"/>
        <bgColor indexed="64"/>
      </patternFill>
    </fill>
    <fill>
      <patternFill patternType="solid">
        <fgColor rgb="FFFFF5EE"/>
        <bgColor indexed="64"/>
      </patternFill>
    </fill>
    <fill>
      <patternFill patternType="solid">
        <fgColor rgb="FFA0522D"/>
        <bgColor indexed="64"/>
      </patternFill>
    </fill>
    <fill>
      <patternFill patternType="solid">
        <fgColor rgb="FFFFA07A"/>
        <bgColor indexed="64"/>
      </patternFill>
    </fill>
    <fill>
      <patternFill patternType="solid">
        <fgColor rgb="FFFF7F50"/>
        <bgColor indexed="64"/>
      </patternFill>
    </fill>
    <fill>
      <patternFill patternType="solid">
        <fgColor rgb="FFFF4500"/>
        <bgColor indexed="64"/>
      </patternFill>
    </fill>
    <fill>
      <patternFill patternType="solid">
        <fgColor rgb="FFE9967A"/>
        <bgColor indexed="64"/>
      </patternFill>
    </fill>
    <fill>
      <patternFill patternType="solid">
        <fgColor rgb="FFFF6347"/>
        <bgColor indexed="64"/>
      </patternFill>
    </fill>
    <fill>
      <patternFill patternType="solid">
        <fgColor rgb="FFFFE4E1"/>
        <bgColor indexed="64"/>
      </patternFill>
    </fill>
    <fill>
      <patternFill patternType="solid">
        <fgColor rgb="FFFA8072"/>
        <bgColor indexed="64"/>
      </patternFill>
    </fill>
    <fill>
      <patternFill patternType="solid">
        <fgColor rgb="FFFFFAFA"/>
        <bgColor indexed="64"/>
      </patternFill>
    </fill>
    <fill>
      <patternFill patternType="solid">
        <fgColor rgb="FFF08080"/>
        <bgColor indexed="64"/>
      </patternFill>
    </fill>
    <fill>
      <patternFill patternType="solid">
        <fgColor rgb="FFBC8F8F"/>
        <bgColor indexed="64"/>
      </patternFill>
    </fill>
    <fill>
      <patternFill patternType="solid">
        <fgColor rgb="FFCD5C5C"/>
        <bgColor indexed="64"/>
      </patternFill>
    </fill>
    <fill>
      <patternFill patternType="solid">
        <fgColor rgb="FFA52A2A"/>
        <bgColor indexed="64"/>
      </patternFill>
    </fill>
    <fill>
      <patternFill patternType="solid">
        <fgColor rgb="FFB22222"/>
        <bgColor indexed="64"/>
      </patternFill>
    </fill>
    <fill>
      <patternFill patternType="solid">
        <fgColor rgb="FF8B0000"/>
        <bgColor indexed="64"/>
      </patternFill>
    </fill>
    <fill>
      <patternFill patternType="solid">
        <fgColor rgb="FF800000"/>
        <bgColor indexed="64"/>
      </patternFill>
    </fill>
    <fill>
      <patternFill patternType="solid">
        <fgColor rgb="FFF5F5F5"/>
        <bgColor indexed="64"/>
      </patternFill>
    </fill>
    <fill>
      <patternFill patternType="solid">
        <fgColor rgb="FFDCDCDC"/>
        <bgColor indexed="64"/>
      </patternFill>
    </fill>
    <fill>
      <patternFill patternType="solid">
        <fgColor rgb="FFC0C0C0"/>
        <bgColor indexed="64"/>
      </patternFill>
    </fill>
    <fill>
      <patternFill patternType="solid">
        <fgColor rgb="FFA9A9A9"/>
        <bgColor indexed="64"/>
      </patternFill>
    </fill>
    <fill>
      <patternFill patternType="solid">
        <fgColor rgb="FF808080"/>
        <bgColor indexed="64"/>
      </patternFill>
    </fill>
    <fill>
      <patternFill patternType="solid">
        <fgColor rgb="FF696969"/>
        <bgColor indexed="64"/>
      </patternFill>
    </fill>
    <fill>
      <patternFill patternType="solid">
        <fgColor rgb="FFCCFFCC"/>
        <bgColor indexed="64"/>
      </patternFill>
    </fill>
    <fill>
      <patternFill patternType="solid">
        <fgColor rgb="FFFFFF99"/>
        <bgColor indexed="64"/>
      </patternFill>
    </fill>
    <fill>
      <patternFill patternType="solid">
        <fgColor rgb="FFF2DCDB"/>
        <bgColor indexed="64"/>
      </patternFill>
    </fill>
    <fill>
      <patternFill patternType="solid">
        <fgColor rgb="FFDCE6F1"/>
        <bgColor indexed="64"/>
      </patternFill>
    </fill>
    <fill>
      <patternFill patternType="solid">
        <fgColor rgb="FFDA9694"/>
        <bgColor indexed="64"/>
      </patternFill>
    </fill>
    <fill>
      <patternFill patternType="solid">
        <fgColor rgb="FF95B3D7"/>
        <bgColor indexed="64"/>
      </patternFill>
    </fill>
    <fill>
      <patternFill patternType="solid">
        <fgColor indexed="52"/>
        <bgColor indexed="64"/>
      </patternFill>
    </fill>
    <fill>
      <patternFill patternType="solid">
        <fgColor indexed="48"/>
        <bgColor indexed="64"/>
      </patternFill>
    </fill>
    <fill>
      <patternFill patternType="solid">
        <fgColor rgb="FFFFC000"/>
        <bgColor indexed="64"/>
      </patternFill>
    </fill>
    <fill>
      <patternFill patternType="solid">
        <fgColor rgb="FF92D050"/>
        <bgColor indexed="64"/>
      </patternFill>
    </fill>
    <fill>
      <patternFill patternType="solid">
        <fgColor indexed="9"/>
        <bgColor indexed="64"/>
      </patternFill>
    </fill>
    <fill>
      <patternFill patternType="solid">
        <fgColor rgb="FFDAEEF3"/>
        <bgColor indexed="64"/>
      </patternFill>
    </fill>
    <fill>
      <patternFill patternType="solid">
        <fgColor rgb="FFF2F2F2"/>
        <bgColor indexed="64"/>
      </patternFill>
    </fill>
    <fill>
      <patternFill patternType="solid">
        <fgColor theme="0" tint="-0.14999847407452621"/>
        <bgColor indexed="64"/>
      </patternFill>
    </fill>
    <fill>
      <patternFill patternType="solid">
        <fgColor indexed="42"/>
        <bgColor indexed="64"/>
      </patternFill>
    </fill>
    <fill>
      <patternFill patternType="solid">
        <fgColor theme="7" tint="1"/>
        <bgColor indexed="64"/>
      </patternFill>
    </fill>
    <fill>
      <patternFill patternType="solid">
        <fgColor theme="9" tint="-8.755760368663594E-2"/>
        <bgColor indexed="64"/>
      </patternFill>
    </fill>
    <fill>
      <patternFill patternType="solid">
        <fgColor theme="9" tint="0.24051637318033386"/>
        <bgColor indexed="64"/>
      </patternFill>
    </fill>
    <fill>
      <patternFill patternType="solid">
        <fgColor theme="9" tint="0.51631214331492048"/>
        <bgColor indexed="64"/>
      </patternFill>
    </fill>
    <fill>
      <patternFill patternType="solid">
        <fgColor theme="9" tint="0.49671926023133028"/>
        <bgColor indexed="64"/>
      </patternFill>
    </fill>
    <fill>
      <patternFill patternType="solid">
        <fgColor theme="9" tint="0.94378490554521322"/>
        <bgColor indexed="64"/>
      </patternFill>
    </fill>
    <fill>
      <patternFill patternType="solid">
        <fgColor theme="9" tint="2.2217474898525956E-2"/>
        <bgColor indexed="64"/>
      </patternFill>
    </fill>
    <fill>
      <patternFill patternType="solid">
        <fgColor theme="9" tint="0.29776909695730458"/>
        <bgColor indexed="64"/>
      </patternFill>
    </fill>
    <fill>
      <patternFill patternType="solid">
        <fgColor theme="9" tint="0.40650654622028259"/>
        <bgColor indexed="64"/>
      </patternFill>
    </fill>
    <fill>
      <patternFill patternType="solid">
        <fgColor theme="5" tint="1"/>
        <bgColor indexed="64"/>
      </patternFill>
    </fill>
    <fill>
      <patternFill patternType="solid">
        <fgColor theme="5" tint="-0.19998779259620961"/>
        <bgColor indexed="64"/>
      </patternFill>
    </fill>
    <fill>
      <patternFill patternType="solid">
        <fgColor theme="7" tint="-0.19998779259620961"/>
        <bgColor indexed="64"/>
      </patternFill>
    </fill>
    <fill>
      <patternFill patternType="solid">
        <fgColor theme="7" tint="0.39997558519241921"/>
        <bgColor indexed="64"/>
      </patternFill>
    </fill>
    <fill>
      <patternFill patternType="solid">
        <fgColor theme="7" tint="0.48570207831049533"/>
        <bgColor indexed="64"/>
      </patternFill>
    </fill>
    <fill>
      <patternFill patternType="solid">
        <fgColor theme="7" tint="0.44285409100619527"/>
        <bgColor indexed="64"/>
      </patternFill>
    </fill>
    <fill>
      <patternFill patternType="solid">
        <fgColor theme="5" tint="-8.4597308267464214E-2"/>
        <bgColor indexed="64"/>
      </patternFill>
    </fill>
    <fill>
      <patternFill patternType="solid">
        <fgColor theme="5" tint="0.56151005584887237"/>
        <bgColor indexed="64"/>
      </patternFill>
    </fill>
    <fill>
      <patternFill patternType="solid">
        <fgColor theme="5" tint="0.12305063020722068"/>
        <bgColor indexed="64"/>
      </patternFill>
    </fill>
    <fill>
      <patternFill patternType="solid">
        <fgColor theme="9" tint="-0.15997802667317729"/>
        <bgColor indexed="64"/>
      </patternFill>
    </fill>
    <fill>
      <patternFill patternType="solid">
        <fgColor theme="9" tint="-0.19998779259620961"/>
        <bgColor indexed="64"/>
      </patternFill>
    </fill>
    <fill>
      <patternFill patternType="solid">
        <fgColor theme="9" tint="1"/>
        <bgColor indexed="64"/>
      </patternFill>
    </fill>
    <fill>
      <patternFill patternType="solid">
        <fgColor theme="9" tint="0.59999389629810485"/>
        <bgColor indexed="64"/>
      </patternFill>
    </fill>
    <fill>
      <patternFill patternType="solid">
        <fgColor theme="3" tint="0.21924497207556384"/>
        <bgColor indexed="64"/>
      </patternFill>
    </fill>
    <fill>
      <patternFill patternType="solid">
        <fgColor theme="3" tint="0.19528794213690603"/>
        <bgColor indexed="64"/>
      </patternFill>
    </fill>
    <fill>
      <patternFill patternType="solid">
        <fgColor theme="3" tint="0.67445905941953799"/>
        <bgColor indexed="64"/>
      </patternFill>
    </fill>
    <fill>
      <patternFill patternType="solid">
        <fgColor theme="3" tint="0.61458174382763142"/>
        <bgColor indexed="64"/>
      </patternFill>
    </fill>
    <fill>
      <patternFill patternType="solid">
        <fgColor theme="3" tint="0.65050202948088021"/>
        <bgColor indexed="64"/>
      </patternFill>
    </fill>
    <fill>
      <patternFill patternType="solid">
        <fgColor theme="3" tint="0.25519577623828854"/>
        <bgColor indexed="64"/>
      </patternFill>
    </fill>
    <fill>
      <patternFill patternType="solid">
        <fgColor theme="3" tint="0.38697470015564439"/>
        <bgColor indexed="64"/>
      </patternFill>
    </fill>
    <fill>
      <patternFill patternType="solid">
        <fgColor theme="3" tint="-2.0294808801538132E-2"/>
        <bgColor indexed="64"/>
      </patternFill>
    </fill>
    <fill>
      <patternFill patternType="solid">
        <fgColor theme="3" tint="0.42289498580889312"/>
        <bgColor indexed="64"/>
      </patternFill>
    </fill>
    <fill>
      <patternFill patternType="solid">
        <fgColor theme="3" tint="0.35102389599291972"/>
        <bgColor indexed="64"/>
      </patternFill>
    </fill>
    <fill>
      <patternFill patternType="solid">
        <fgColor theme="5" tint="0.24320200201422162"/>
        <bgColor indexed="64"/>
      </patternFill>
    </fill>
    <fill>
      <patternFill patternType="solid">
        <fgColor theme="5" tint="0.6385387737662892"/>
        <bgColor indexed="64"/>
      </patternFill>
    </fill>
    <fill>
      <patternFill patternType="solid">
        <fgColor theme="5" tint="0.43488876003296001"/>
        <bgColor indexed="64"/>
      </patternFill>
    </fill>
    <fill>
      <patternFill patternType="solid">
        <fgColor theme="5" tint="0.21924497207556384"/>
        <bgColor indexed="64"/>
      </patternFill>
    </fill>
    <fill>
      <patternFill patternType="solid">
        <fgColor theme="5" tint="0.19528794213690603"/>
        <bgColor indexed="64"/>
      </patternFill>
    </fill>
    <fill>
      <patternFill patternType="solid">
        <fgColor theme="5" tint="-3.2288583025605028E-2"/>
        <bgColor indexed="64"/>
      </patternFill>
    </fill>
    <fill>
      <patternFill patternType="solid">
        <fgColor theme="5" tint="-8.3315530869472344E-3"/>
        <bgColor indexed="64"/>
      </patternFill>
    </fill>
    <fill>
      <patternFill patternType="solid">
        <fgColor theme="5" tint="0.96197393719290747"/>
        <bgColor indexed="64"/>
      </patternFill>
    </fill>
    <fill>
      <patternFill patternType="solid">
        <fgColor theme="5" tint="-0.11612292855616932"/>
        <bgColor indexed="64"/>
      </patternFill>
    </fill>
    <fill>
      <patternFill patternType="solid">
        <fgColor theme="5" tint="-4.4251838740195927E-2"/>
        <bgColor indexed="64"/>
      </patternFill>
    </fill>
    <fill>
      <patternFill patternType="solid">
        <fgColor theme="5" tint="0.29111606189153721"/>
        <bgColor indexed="64"/>
      </patternFill>
    </fill>
    <fill>
      <patternFill patternType="solid">
        <fgColor theme="5" tint="0.71040986358226266"/>
        <bgColor indexed="64"/>
      </patternFill>
    </fill>
    <fill>
      <patternFill patternType="solid">
        <fgColor theme="5" tint="9.9459822382274854E-2"/>
        <bgColor indexed="64"/>
      </patternFill>
    </fill>
    <fill>
      <patternFill patternType="solid">
        <fgColor theme="5" tint="0.87810907315286724"/>
        <bgColor indexed="64"/>
      </patternFill>
    </fill>
    <fill>
      <patternFill patternType="solid">
        <fgColor theme="5" tint="0.94998016296884058"/>
        <bgColor indexed="64"/>
      </patternFill>
    </fill>
    <fill>
      <patternFill patternType="solid">
        <fgColor theme="5" tint="0.3749809259315775"/>
        <bgColor indexed="64"/>
      </patternFill>
    </fill>
    <fill>
      <patternFill patternType="solid">
        <fgColor theme="5" tint="0.4468520157475509"/>
        <bgColor indexed="64"/>
      </patternFill>
    </fill>
    <fill>
      <patternFill patternType="solid">
        <fgColor theme="5" tint="0.62654499954222231"/>
        <bgColor indexed="64"/>
      </patternFill>
    </fill>
    <fill>
      <patternFill patternType="solid">
        <fgColor theme="5" tint="0.3031098361156041"/>
        <bgColor indexed="64"/>
      </patternFill>
    </fill>
    <fill>
      <patternFill patternType="solid">
        <fgColor theme="5" tint="3.9582506790368358E-2"/>
        <bgColor indexed="64"/>
      </patternFill>
    </fill>
    <fill>
      <patternFill patternType="solid">
        <fgColor theme="5" tint="0.91405987731559191"/>
        <bgColor indexed="64"/>
      </patternFill>
    </fill>
    <fill>
      <patternFill patternType="solid">
        <fgColor theme="5" tint="0.75832392345957822"/>
        <bgColor indexed="64"/>
      </patternFill>
    </fill>
    <fill>
      <patternFill patternType="solid">
        <fgColor theme="5" tint="0.77028717917416911"/>
        <bgColor indexed="64"/>
      </patternFill>
    </fill>
    <fill>
      <patternFill patternType="solid">
        <fgColor theme="5" tint="0.73436689352092044"/>
        <bgColor indexed="64"/>
      </patternFill>
    </fill>
    <fill>
      <patternFill patternType="solid">
        <fgColor theme="5" tint="0.9260231330301828"/>
        <bgColor indexed="64"/>
      </patternFill>
    </fill>
    <fill>
      <patternFill patternType="solid">
        <fgColor theme="5" tint="-0.1760307626575518"/>
        <bgColor indexed="64"/>
      </patternFill>
    </fill>
    <fill>
      <patternFill patternType="solid">
        <fgColor theme="5" tint="0.13541062654499955"/>
        <bgColor indexed="64"/>
      </patternFill>
    </fill>
    <fill>
      <patternFill patternType="solid">
        <fgColor theme="5" tint="0.67445905941953799"/>
        <bgColor indexed="64"/>
      </patternFill>
    </fill>
    <fill>
      <patternFill patternType="solid">
        <fgColor theme="5" tint="-0.15207373271889402"/>
        <bgColor indexed="64"/>
      </patternFill>
    </fill>
    <fill>
      <patternFill patternType="solid">
        <fgColor theme="5" tint="0.90206610309152502"/>
        <bgColor indexed="64"/>
      </patternFill>
    </fill>
    <fill>
      <patternFill patternType="solid">
        <fgColor theme="5" tint="0.14737388225959044"/>
        <bgColor indexed="64"/>
      </patternFill>
    </fill>
    <fill>
      <patternFill patternType="solid">
        <fgColor theme="5" tint="0.83019501327555167"/>
        <bgColor indexed="64"/>
      </patternFill>
    </fill>
    <fill>
      <patternFill patternType="solid">
        <fgColor theme="5" tint="0.61458174382763142"/>
        <bgColor indexed="64"/>
      </patternFill>
    </fill>
    <fill>
      <patternFill patternType="solid">
        <fgColor theme="5" tint="0.56663716544083986"/>
        <bgColor indexed="64"/>
      </patternFill>
    </fill>
    <fill>
      <patternFill patternType="solid">
        <fgColor theme="5" tint="0.41093173009430217"/>
        <bgColor indexed="64"/>
      </patternFill>
    </fill>
    <fill>
      <patternFill patternType="solid">
        <fgColor theme="5" tint="0.11145359660634174"/>
        <bgColor indexed="64"/>
      </patternFill>
    </fill>
    <fill>
      <patternFill patternType="solid">
        <fgColor theme="5" tint="0.18332468642231514"/>
        <bgColor indexed="64"/>
      </patternFill>
    </fill>
    <fill>
      <patternFill patternType="solid">
        <fgColor theme="5" tint="0.48280281991027557"/>
        <bgColor indexed="64"/>
      </patternFill>
    </fill>
    <fill>
      <patternFill patternType="solid">
        <fgColor theme="5" tint="0.65050202948088021"/>
        <bgColor indexed="64"/>
      </patternFill>
    </fill>
    <fill>
      <patternFill patternType="solid">
        <fgColor theme="5" tint="0.81820123905148467"/>
        <bgColor indexed="64"/>
      </patternFill>
    </fill>
    <fill>
      <patternFill patternType="solid">
        <fgColor theme="5" tint="-0.10415967284157841"/>
        <bgColor indexed="64"/>
      </patternFill>
    </fill>
    <fill>
      <patternFill patternType="solid">
        <fgColor theme="5" tint="0.45884578997161779"/>
        <bgColor indexed="64"/>
      </patternFill>
    </fill>
    <fill>
      <patternFill patternType="solid">
        <fgColor theme="5" tint="0.50675984984893341"/>
        <bgColor indexed="64"/>
      </patternFill>
    </fill>
    <fill>
      <patternFill patternType="solid">
        <fgColor theme="5" tint="0.93801690725424969"/>
        <bgColor indexed="64"/>
      </patternFill>
    </fill>
    <fill>
      <patternFill patternType="solid">
        <fgColor theme="5" tint="0.17133091219824823"/>
        <bgColor indexed="64"/>
      </patternFill>
    </fill>
    <fill>
      <patternFill patternType="solid">
        <fgColor theme="5" tint="0.12341685232093265"/>
        <bgColor indexed="64"/>
      </patternFill>
    </fill>
    <fill>
      <patternFill patternType="solid">
        <fgColor theme="5" tint="0.79424420911282689"/>
        <bgColor indexed="64"/>
      </patternFill>
    </fill>
    <fill>
      <patternFill patternType="solid">
        <fgColor theme="5" tint="-0.12811670278023621"/>
        <bgColor indexed="64"/>
      </patternFill>
    </fill>
    <fill>
      <patternFill patternType="solid">
        <fgColor theme="5" tint="3.6317026276436659E-3"/>
        <bgColor indexed="64"/>
      </patternFill>
    </fill>
    <fill>
      <patternFill patternType="solid">
        <fgColor theme="5" tint="-5.6245612964262823E-2"/>
        <bgColor indexed="64"/>
      </patternFill>
    </fill>
    <fill>
      <patternFill patternType="solid">
        <fgColor theme="5" tint="0.39893795587023528"/>
        <bgColor indexed="64"/>
      </patternFill>
    </fill>
    <fill>
      <patternFill patternType="solid">
        <fgColor theme="5" tint="0.20728171636097292"/>
        <bgColor indexed="64"/>
      </patternFill>
    </fill>
    <fill>
      <patternFill patternType="solid">
        <fgColor theme="5" tint="2.7588732566301462E-2"/>
        <bgColor indexed="64"/>
      </patternFill>
    </fill>
    <fill>
      <patternFill patternType="solid">
        <fgColor theme="5" tint="0.54268013550218208"/>
        <bgColor indexed="64"/>
      </patternFill>
    </fill>
    <fill>
      <patternFill patternType="solid">
        <fgColor theme="5" tint="0.25519577623828854"/>
        <bgColor indexed="64"/>
      </patternFill>
    </fill>
    <fill>
      <patternFill patternType="solid">
        <fgColor theme="5" tint="0.57863093966490675"/>
        <bgColor indexed="64"/>
      </patternFill>
    </fill>
    <fill>
      <patternFill patternType="solid">
        <fgColor theme="5" tint="0.47080904568620868"/>
        <bgColor indexed="64"/>
      </patternFill>
    </fill>
    <fill>
      <patternFill patternType="solid">
        <fgColor theme="5" tint="0.89010284737693413"/>
        <bgColor indexed="64"/>
      </patternFill>
    </fill>
    <fill>
      <patternFill patternType="solid">
        <fgColor theme="5" tint="0.60258796960356453"/>
        <bgColor indexed="64"/>
      </patternFill>
    </fill>
    <fill>
      <patternFill patternType="solid">
        <fgColor indexed="42"/>
      </patternFill>
    </fill>
    <fill>
      <patternFill patternType="solid">
        <fgColor indexed="45"/>
      </patternFill>
    </fill>
    <fill>
      <patternFill patternType="solid">
        <fgColor rgb="FFC00000"/>
        <bgColor indexed="64"/>
      </patternFill>
    </fill>
    <fill>
      <patternFill patternType="solid">
        <fgColor theme="10" tint="0.94998016296884058"/>
        <bgColor indexed="64"/>
      </patternFill>
    </fill>
    <fill>
      <patternFill patternType="solid">
        <fgColor theme="10" tint="0.93838312936796164"/>
        <bgColor indexed="64"/>
      </patternFill>
    </fill>
    <fill>
      <patternFill patternType="solid">
        <fgColor theme="10" tint="0.92675557725760671"/>
        <bgColor indexed="64"/>
      </patternFill>
    </fill>
    <fill>
      <patternFill patternType="solid">
        <fgColor theme="10" tint="0.91512802514725178"/>
        <bgColor indexed="64"/>
      </patternFill>
    </fill>
    <fill>
      <patternFill patternType="solid">
        <fgColor theme="10" tint="0.90353099154637284"/>
        <bgColor indexed="64"/>
      </patternFill>
    </fill>
    <fill>
      <patternFill patternType="solid">
        <fgColor theme="10" tint="0.89190343943601791"/>
        <bgColor indexed="64"/>
      </patternFill>
    </fill>
    <fill>
      <patternFill patternType="solid">
        <fgColor theme="10" tint="0.88027588732566298"/>
        <bgColor indexed="64"/>
      </patternFill>
    </fill>
    <fill>
      <patternFill patternType="solid">
        <fgColor theme="10" tint="0.86867885372478404"/>
        <bgColor indexed="64"/>
      </patternFill>
    </fill>
    <fill>
      <patternFill patternType="solid">
        <fgColor theme="10" tint="0.85705130161442911"/>
        <bgColor indexed="64"/>
      </patternFill>
    </fill>
    <fill>
      <patternFill patternType="solid">
        <fgColor theme="10" tint="0.84545426801355017"/>
        <bgColor indexed="64"/>
      </patternFill>
    </fill>
    <fill>
      <patternFill patternType="solid">
        <fgColor theme="10" tint="0.83382671590319524"/>
        <bgColor indexed="64"/>
      </patternFill>
    </fill>
    <fill>
      <patternFill patternType="solid">
        <fgColor theme="10" tint="0.8221991637928403"/>
        <bgColor indexed="64"/>
      </patternFill>
    </fill>
    <fill>
      <patternFill patternType="solid">
        <fgColor theme="10" tint="0.81060213019196148"/>
        <bgColor indexed="64"/>
      </patternFill>
    </fill>
    <fill>
      <patternFill patternType="solid">
        <fgColor theme="10" tint="0.79897457808160655"/>
        <bgColor indexed="64"/>
      </patternFill>
    </fill>
    <fill>
      <patternFill patternType="solid">
        <fgColor theme="10" tint="0.78734702597125161"/>
        <bgColor indexed="64"/>
      </patternFill>
    </fill>
    <fill>
      <patternFill patternType="solid">
        <fgColor theme="10" tint="0.77574999237037268"/>
        <bgColor indexed="64"/>
      </patternFill>
    </fill>
    <fill>
      <patternFill patternType="solid">
        <fgColor theme="10" tint="0.76412244026001774"/>
        <bgColor indexed="64"/>
      </patternFill>
    </fill>
    <fill>
      <patternFill patternType="solid">
        <fgColor theme="10" tint="0.75249488814966281"/>
        <bgColor indexed="64"/>
      </patternFill>
    </fill>
    <fill>
      <patternFill patternType="solid">
        <fgColor theme="10" tint="0.74089785454878387"/>
        <bgColor indexed="64"/>
      </patternFill>
    </fill>
    <fill>
      <patternFill patternType="solid">
        <fgColor theme="10" tint="0.72927030243842894"/>
        <bgColor indexed="64"/>
      </patternFill>
    </fill>
    <fill>
      <patternFill patternType="solid">
        <fgColor theme="10" tint="0.71767326883755"/>
        <bgColor indexed="64"/>
      </patternFill>
    </fill>
    <fill>
      <patternFill patternType="solid">
        <fgColor theme="10" tint="0.70604571672719507"/>
        <bgColor indexed="64"/>
      </patternFill>
    </fill>
    <fill>
      <patternFill patternType="solid">
        <fgColor theme="10" tint="0.69441816461684014"/>
        <bgColor indexed="64"/>
      </patternFill>
    </fill>
    <fill>
      <patternFill patternType="solid">
        <fgColor theme="10" tint="0.6828211310159612"/>
        <bgColor indexed="64"/>
      </patternFill>
    </fill>
    <fill>
      <patternFill patternType="solid">
        <fgColor theme="10" tint="0.67119357890560627"/>
        <bgColor indexed="64"/>
      </patternFill>
    </fill>
    <fill>
      <patternFill patternType="solid">
        <fgColor theme="10" tint="0.65956602679525134"/>
        <bgColor indexed="64"/>
      </patternFill>
    </fill>
    <fill>
      <patternFill patternType="solid">
        <fgColor theme="10" tint="0.6479689931943724"/>
        <bgColor indexed="64"/>
      </patternFill>
    </fill>
    <fill>
      <patternFill patternType="solid">
        <fgColor theme="10" tint="0.63634144108401747"/>
        <bgColor indexed="64"/>
      </patternFill>
    </fill>
    <fill>
      <patternFill patternType="solid">
        <fgColor theme="10" tint="0.62474440748313853"/>
        <bgColor indexed="64"/>
      </patternFill>
    </fill>
    <fill>
      <patternFill patternType="solid">
        <fgColor theme="10" tint="0.6131168553727836"/>
        <bgColor indexed="64"/>
      </patternFill>
    </fill>
    <fill>
      <patternFill patternType="solid">
        <fgColor theme="10" tint="0.60148930326242867"/>
        <bgColor indexed="64"/>
      </patternFill>
    </fill>
    <fill>
      <patternFill patternType="solid">
        <fgColor theme="10" tint="0.58989226966154973"/>
        <bgColor indexed="64"/>
      </patternFill>
    </fill>
    <fill>
      <patternFill patternType="solid">
        <fgColor theme="10" tint="0.5782647175511948"/>
        <bgColor indexed="64"/>
      </patternFill>
    </fill>
    <fill>
      <patternFill patternType="solid">
        <fgColor theme="10" tint="0.56663716544083986"/>
        <bgColor indexed="64"/>
      </patternFill>
    </fill>
    <fill>
      <patternFill patternType="solid">
        <fgColor theme="10" tint="0.55504013183996093"/>
        <bgColor indexed="64"/>
      </patternFill>
    </fill>
    <fill>
      <patternFill patternType="solid">
        <fgColor theme="10" tint="0.54341257972960599"/>
        <bgColor indexed="64"/>
      </patternFill>
    </fill>
    <fill>
      <patternFill patternType="solid">
        <fgColor theme="10" tint="0.53181554612872706"/>
        <bgColor indexed="64"/>
      </patternFill>
    </fill>
    <fill>
      <patternFill patternType="solid">
        <fgColor theme="10" tint="0.52018799401837212"/>
        <bgColor indexed="64"/>
      </patternFill>
    </fill>
    <fill>
      <patternFill patternType="solid">
        <fgColor theme="10" tint="0.50856044190801719"/>
        <bgColor indexed="64"/>
      </patternFill>
    </fill>
    <fill>
      <patternFill patternType="solid">
        <fgColor theme="10" tint="0.49696340830713825"/>
        <bgColor indexed="64"/>
      </patternFill>
    </fill>
    <fill>
      <patternFill patternType="solid">
        <fgColor theme="10" tint="0.48533585619678332"/>
        <bgColor indexed="64"/>
      </patternFill>
    </fill>
    <fill>
      <patternFill patternType="solid">
        <fgColor theme="10" tint="0.47370830408642844"/>
        <bgColor indexed="64"/>
      </patternFill>
    </fill>
    <fill>
      <patternFill patternType="solid">
        <fgColor theme="10" tint="0.46211127048554951"/>
        <bgColor indexed="64"/>
      </patternFill>
    </fill>
    <fill>
      <patternFill patternType="solid">
        <fgColor theme="10" tint="0.45048371837519458"/>
        <bgColor indexed="64"/>
      </patternFill>
    </fill>
    <fill>
      <patternFill patternType="solid">
        <fgColor theme="10" tint="0.43888668477431564"/>
        <bgColor indexed="64"/>
      </patternFill>
    </fill>
    <fill>
      <patternFill patternType="solid">
        <fgColor theme="10" tint="0.42725913266396071"/>
        <bgColor indexed="64"/>
      </patternFill>
    </fill>
    <fill>
      <patternFill patternType="solid">
        <fgColor theme="10" tint="0.41563158055360577"/>
        <bgColor indexed="64"/>
      </patternFill>
    </fill>
    <fill>
      <patternFill patternType="solid">
        <fgColor theme="10" tint="0.40403454695272684"/>
        <bgColor indexed="64"/>
      </patternFill>
    </fill>
    <fill>
      <patternFill patternType="solid">
        <fgColor theme="10" tint="0.3924069948423719"/>
        <bgColor indexed="64"/>
      </patternFill>
    </fill>
    <fill>
      <patternFill patternType="solid">
        <fgColor theme="10" tint="0.38077944273201697"/>
        <bgColor indexed="64"/>
      </patternFill>
    </fill>
    <fill>
      <patternFill patternType="solid">
        <fgColor theme="10" tint="0.36918240913113803"/>
        <bgColor indexed="64"/>
      </patternFill>
    </fill>
    <fill>
      <patternFill patternType="solid">
        <fgColor theme="10" tint="0.3575548570207831"/>
        <bgColor indexed="64"/>
      </patternFill>
    </fill>
    <fill>
      <patternFill patternType="solid">
        <fgColor theme="10" tint="0.34595782341990416"/>
        <bgColor indexed="64"/>
      </patternFill>
    </fill>
    <fill>
      <patternFill patternType="solid">
        <fgColor theme="10" tint="0.33433027130954923"/>
        <bgColor indexed="64"/>
      </patternFill>
    </fill>
    <fill>
      <patternFill patternType="solid">
        <fgColor theme="10" tint="0.3227027191991943"/>
        <bgColor indexed="64"/>
      </patternFill>
    </fill>
    <fill>
      <patternFill patternType="solid">
        <fgColor theme="10" tint="0.31110568559831536"/>
        <bgColor indexed="64"/>
      </patternFill>
    </fill>
    <fill>
      <patternFill patternType="solid">
        <fgColor theme="10" tint="0.29947813348796043"/>
        <bgColor indexed="64"/>
      </patternFill>
    </fill>
    <fill>
      <patternFill patternType="solid">
        <fgColor theme="10" tint="0.2878505813776055"/>
        <bgColor indexed="64"/>
      </patternFill>
    </fill>
    <fill>
      <patternFill patternType="solid">
        <fgColor theme="10" tint="0.27625354777672656"/>
        <bgColor indexed="64"/>
      </patternFill>
    </fill>
    <fill>
      <patternFill patternType="solid">
        <fgColor theme="10" tint="0.26462599566637163"/>
        <bgColor indexed="64"/>
      </patternFill>
    </fill>
    <fill>
      <patternFill patternType="solid">
        <fgColor theme="10" tint="0.25302896206549275"/>
        <bgColor indexed="64"/>
      </patternFill>
    </fill>
    <fill>
      <patternFill patternType="solid">
        <fgColor theme="10" tint="0.24140140995513779"/>
        <bgColor indexed="64"/>
      </patternFill>
    </fill>
    <fill>
      <patternFill patternType="solid">
        <fgColor theme="10" tint="0.22977385784478285"/>
        <bgColor indexed="64"/>
      </patternFill>
    </fill>
    <fill>
      <patternFill patternType="solid">
        <fgColor theme="10" tint="0.21817682424390392"/>
        <bgColor indexed="64"/>
      </patternFill>
    </fill>
    <fill>
      <patternFill patternType="solid">
        <fgColor theme="10" tint="0.20654927213354901"/>
        <bgColor indexed="64"/>
      </patternFill>
    </fill>
    <fill>
      <patternFill patternType="solid">
        <fgColor theme="10" tint="0.19492172002319408"/>
        <bgColor indexed="64"/>
      </patternFill>
    </fill>
    <fill>
      <patternFill patternType="solid">
        <fgColor theme="10" tint="0.18332468642231514"/>
        <bgColor indexed="64"/>
      </patternFill>
    </fill>
    <fill>
      <patternFill patternType="solid">
        <fgColor theme="10" tint="0.17169713431196021"/>
        <bgColor indexed="64"/>
      </patternFill>
    </fill>
    <fill>
      <patternFill patternType="solid">
        <fgColor theme="10" tint="0.16010010071108127"/>
        <bgColor indexed="64"/>
      </patternFill>
    </fill>
    <fill>
      <patternFill patternType="solid">
        <fgColor theme="10" tint="0.14847254860072634"/>
        <bgColor indexed="64"/>
      </patternFill>
    </fill>
    <fill>
      <patternFill patternType="solid">
        <fgColor theme="10" tint="0.13684499649037141"/>
        <bgColor indexed="64"/>
      </patternFill>
    </fill>
    <fill>
      <patternFill patternType="solid">
        <fgColor theme="10" tint="0.12524796288949247"/>
        <bgColor indexed="64"/>
      </patternFill>
    </fill>
    <fill>
      <patternFill patternType="solid">
        <fgColor theme="10" tint="0.11362041077913755"/>
        <bgColor indexed="64"/>
      </patternFill>
    </fill>
    <fill>
      <patternFill patternType="solid">
        <fgColor theme="10" tint="0.10199285866878262"/>
        <bgColor indexed="64"/>
      </patternFill>
    </fill>
    <fill>
      <patternFill patternType="solid">
        <fgColor theme="10" tint="9.0395825067903682E-2"/>
        <bgColor indexed="64"/>
      </patternFill>
    </fill>
    <fill>
      <patternFill patternType="solid">
        <fgColor theme="10" tint="7.8768272957548749E-2"/>
        <bgColor indexed="64"/>
      </patternFill>
    </fill>
    <fill>
      <patternFill patternType="solid">
        <fgColor theme="10" tint="6.7171239356669826E-2"/>
        <bgColor indexed="64"/>
      </patternFill>
    </fill>
    <fill>
      <patternFill patternType="solid">
        <fgColor theme="10" tint="5.5543687246314893E-2"/>
        <bgColor indexed="64"/>
      </patternFill>
    </fill>
    <fill>
      <patternFill patternType="solid">
        <fgColor theme="10" tint="4.3916135135959961E-2"/>
        <bgColor indexed="64"/>
      </patternFill>
    </fill>
    <fill>
      <patternFill patternType="solid">
        <fgColor theme="10" tint="3.2319101535081024E-2"/>
        <bgColor indexed="64"/>
      </patternFill>
    </fill>
    <fill>
      <patternFill patternType="solid">
        <fgColor theme="10" tint="2.0691549424726098E-2"/>
        <bgColor indexed="64"/>
      </patternFill>
    </fill>
    <fill>
      <patternFill patternType="solid">
        <fgColor theme="10" tint="9.063997314371167E-3"/>
        <bgColor indexed="64"/>
      </patternFill>
    </fill>
    <fill>
      <patternFill patternType="solid">
        <fgColor theme="10" tint="-2.5025177770317698E-3"/>
        <bgColor indexed="64"/>
      </patternFill>
    </fill>
    <fill>
      <patternFill patternType="solid">
        <fgColor theme="10" tint="-1.4130069887386701E-2"/>
        <bgColor indexed="64"/>
      </patternFill>
    </fill>
    <fill>
      <patternFill patternType="solid">
        <fgColor theme="10" tint="-2.5727103488265634E-2"/>
        <bgColor indexed="64"/>
      </patternFill>
    </fill>
    <fill>
      <patternFill patternType="solid">
        <fgColor theme="10" tint="-3.7354655598620563E-2"/>
        <bgColor indexed="64"/>
      </patternFill>
    </fill>
    <fill>
      <patternFill patternType="solid">
        <fgColor theme="10" tint="-4.8982207708975496E-2"/>
        <bgColor indexed="64"/>
      </patternFill>
    </fill>
    <fill>
      <patternFill patternType="solid">
        <fgColor theme="10" tint="-6.0579241309854426E-2"/>
        <bgColor indexed="64"/>
      </patternFill>
    </fill>
    <fill>
      <patternFill patternType="solid">
        <fgColor theme="10" tint="-7.2206793420209359E-2"/>
        <bgColor indexed="64"/>
      </patternFill>
    </fill>
    <fill>
      <patternFill patternType="solid">
        <fgColor theme="10" tint="-8.3834345530564292E-2"/>
        <bgColor indexed="64"/>
      </patternFill>
    </fill>
    <fill>
      <patternFill patternType="solid">
        <fgColor theme="10" tint="-9.5431379131443214E-2"/>
        <bgColor indexed="64"/>
      </patternFill>
    </fill>
    <fill>
      <patternFill patternType="solid">
        <fgColor theme="10" tint="-0.10705893124179815"/>
        <bgColor indexed="64"/>
      </patternFill>
    </fill>
    <fill>
      <patternFill patternType="solid">
        <fgColor theme="10" tint="-0.11868648335215308"/>
        <bgColor indexed="64"/>
      </patternFill>
    </fill>
    <fill>
      <patternFill patternType="solid">
        <fgColor theme="10" tint="-0.130283516953032"/>
        <bgColor indexed="64"/>
      </patternFill>
    </fill>
    <fill>
      <patternFill patternType="solid">
        <fgColor theme="10" tint="-0.14191106906338694"/>
        <bgColor indexed="64"/>
      </patternFill>
    </fill>
    <fill>
      <patternFill patternType="solid">
        <fgColor theme="10" tint="-0.15350810266426587"/>
        <bgColor indexed="64"/>
      </patternFill>
    </fill>
    <fill>
      <patternFill patternType="solid">
        <fgColor theme="10" tint="-0.1651356547746208"/>
        <bgColor indexed="64"/>
      </patternFill>
    </fill>
    <fill>
      <patternFill patternType="solid">
        <fgColor theme="10" tint="-0.17676320688497574"/>
        <bgColor indexed="64"/>
      </patternFill>
    </fill>
    <fill>
      <patternFill patternType="solid">
        <fgColor theme="10" tint="-0.18836024048585467"/>
        <bgColor indexed="64"/>
      </patternFill>
    </fill>
    <fill>
      <patternFill patternType="solid">
        <fgColor theme="10" tint="-0.19998779259620961"/>
        <bgColor indexed="64"/>
      </patternFill>
    </fill>
    <fill>
      <patternFill patternType="solid">
        <fgColor theme="9" tint="0.39994506668294322"/>
        <bgColor indexed="64"/>
      </patternFill>
    </fill>
    <fill>
      <patternFill patternType="solid">
        <fgColor theme="0" tint="-0.249977111117893"/>
        <bgColor indexed="64"/>
      </patternFill>
    </fill>
    <fill>
      <patternFill patternType="solid">
        <fgColor theme="7" tint="0.39994506668294322"/>
        <bgColor indexed="64"/>
      </patternFill>
    </fill>
    <fill>
      <patternFill patternType="solid">
        <fgColor indexed="22"/>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33"/>
      </patternFill>
    </fill>
    <fill>
      <patternFill patternType="solid">
        <fgColor indexed="35"/>
      </patternFill>
    </fill>
    <fill>
      <patternFill patternType="solid">
        <fgColor indexed="41"/>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4"/>
      </patternFill>
    </fill>
    <fill>
      <patternFill patternType="solid">
        <fgColor indexed="38"/>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55"/>
      </patternFill>
    </fill>
    <fill>
      <patternFill patternType="solid">
        <fgColor indexed="54"/>
      </patternFill>
    </fill>
    <fill>
      <patternFill patternType="solid">
        <fgColor indexed="25"/>
      </patternFill>
    </fill>
    <fill>
      <patternFill patternType="solid">
        <fgColor indexed="56"/>
      </patternFill>
    </fill>
    <fill>
      <patternFill patternType="solid">
        <fgColor rgb="FFFFF68F"/>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2"/>
        <bgColor indexed="64"/>
      </patternFill>
    </fill>
    <fill>
      <patternFill patternType="solid">
        <fgColor indexed="60"/>
        <bgColor indexed="64"/>
      </patternFill>
    </fill>
    <fill>
      <patternFill patternType="solid">
        <fgColor indexed="62"/>
        <bgColor indexed="64"/>
      </patternFill>
    </fill>
    <fill>
      <patternFill patternType="solid">
        <fgColor theme="4" tint="0.79998168889431442"/>
        <bgColor indexed="64"/>
      </patternFill>
    </fill>
    <fill>
      <patternFill patternType="solid">
        <fgColor indexed="43"/>
        <bgColor indexed="64"/>
      </patternFill>
    </fill>
    <fill>
      <patternFill patternType="solid">
        <fgColor indexed="1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6" tint="0.39997558519241921"/>
        <bgColor indexed="64"/>
      </patternFill>
    </fill>
  </fills>
  <borders count="13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CCCCCC"/>
      </left>
      <right style="thin">
        <color rgb="FFCCCCCC"/>
      </right>
      <top style="thin">
        <color rgb="FFCCCCCC"/>
      </top>
      <bottom style="thin">
        <color rgb="FFCCCCCC"/>
      </bottom>
      <diagonal/>
    </border>
    <border>
      <left style="thin">
        <color theme="0"/>
      </left>
      <right style="thin">
        <color theme="0"/>
      </right>
      <top style="thin">
        <color theme="0"/>
      </top>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diagonal/>
    </border>
    <border>
      <left/>
      <right/>
      <top style="thin">
        <color theme="0" tint="-0.499984740745262"/>
      </top>
      <bottom style="thin">
        <color theme="0"/>
      </bottom>
      <diagonal/>
    </border>
    <border>
      <left/>
      <right/>
      <top style="thin">
        <color theme="0"/>
      </top>
      <bottom style="thin">
        <color theme="0"/>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style="thin">
        <color theme="0"/>
      </top>
      <bottom/>
      <diagonal/>
    </border>
    <border>
      <left/>
      <right/>
      <top style="thin">
        <color theme="0"/>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thin">
        <color theme="0"/>
      </bottom>
      <diagonal/>
    </border>
    <border>
      <left style="hair">
        <color rgb="FFA6A6A6"/>
      </left>
      <right style="hair">
        <color rgb="FFA6A6A6"/>
      </right>
      <top/>
      <bottom style="hair">
        <color rgb="FFA6A6A6"/>
      </bottom>
      <diagonal/>
    </border>
    <border>
      <left style="hair">
        <color rgb="FFA6A6A6"/>
      </left>
      <right style="hair">
        <color rgb="FFA6A6A6"/>
      </right>
      <top style="hair">
        <color rgb="FFA6A6A6"/>
      </top>
      <bottom style="hair">
        <color rgb="FFA6A6A6"/>
      </bottom>
      <diagonal/>
    </border>
    <border>
      <left style="hair">
        <color rgb="FFA6A6A6"/>
      </left>
      <right style="hair">
        <color rgb="FFA6A6A6"/>
      </right>
      <top style="hair">
        <color rgb="FFA6A6A6"/>
      </top>
      <bottom/>
      <diagonal/>
    </border>
    <border>
      <left style="thin">
        <color indexed="9"/>
      </left>
      <right style="thin">
        <color indexed="9"/>
      </right>
      <top style="thin">
        <color indexed="64"/>
      </top>
      <bottom style="thin">
        <color indexed="64"/>
      </bottom>
      <diagonal/>
    </border>
    <border>
      <left style="hair">
        <color indexed="23"/>
      </left>
      <right style="hair">
        <color indexed="23"/>
      </right>
      <top/>
      <bottom style="hair">
        <color indexed="23"/>
      </bottom>
      <diagonal/>
    </border>
    <border>
      <left style="hair">
        <color indexed="23"/>
      </left>
      <right style="hair">
        <color indexed="23"/>
      </right>
      <top style="hair">
        <color indexed="23"/>
      </top>
      <bottom style="hair">
        <color indexed="23"/>
      </bottom>
      <diagonal/>
    </border>
    <border>
      <left/>
      <right style="thin">
        <color theme="0"/>
      </right>
      <top/>
      <bottom/>
      <diagonal/>
    </border>
    <border>
      <left style="thin">
        <color theme="0"/>
      </left>
      <right style="thin">
        <color theme="0"/>
      </right>
      <top/>
      <bottom style="thin">
        <color theme="0"/>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style="hair">
        <color rgb="FFA6A6A6"/>
      </right>
      <top style="thin">
        <color rgb="FFA6A6A6"/>
      </top>
      <bottom style="thin">
        <color rgb="FFA6A6A6"/>
      </bottom>
      <diagonal/>
    </border>
    <border>
      <left style="hair">
        <color rgb="FFA6A6A6"/>
      </left>
      <right style="hair">
        <color rgb="FFA6A6A6"/>
      </right>
      <top style="thin">
        <color rgb="FFA6A6A6"/>
      </top>
      <bottom style="thin">
        <color rgb="FFA6A6A6"/>
      </bottom>
      <diagonal/>
    </border>
    <border>
      <left style="hair">
        <color rgb="FFA6A6A6"/>
      </left>
      <right style="thin">
        <color rgb="FFA6A6A6"/>
      </right>
      <top style="thin">
        <color rgb="FFA6A6A6"/>
      </top>
      <bottom style="thin">
        <color rgb="FFA6A6A6"/>
      </bottom>
      <diagonal/>
    </border>
    <border>
      <left style="thin">
        <color rgb="FFA6A6A6"/>
      </left>
      <right/>
      <top/>
      <bottom/>
      <diagonal/>
    </border>
    <border>
      <left/>
      <right style="thin">
        <color rgb="FFA6A6A6"/>
      </right>
      <top/>
      <bottom/>
      <diagonal/>
    </border>
    <border>
      <left style="thin">
        <color rgb="FFA6A6A6"/>
      </left>
      <right style="thin">
        <color rgb="FFA6A6A6"/>
      </right>
      <top style="thin">
        <color rgb="FFA6A6A6"/>
      </top>
      <bottom/>
      <diagonal/>
    </border>
    <border>
      <left style="hair">
        <color rgb="FFA6A6A6"/>
      </left>
      <right style="hair">
        <color rgb="FFA6A6A6"/>
      </right>
      <top/>
      <bottom/>
      <diagonal/>
    </border>
    <border>
      <left style="hair">
        <color rgb="FFA6A6A6"/>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n">
        <color rgb="FFA6A6A6"/>
      </left>
      <right style="thin">
        <color rgb="FFA6A6A6"/>
      </right>
      <top/>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style="thin">
        <color rgb="FFA6A6A6"/>
      </bottom>
      <diagonal/>
    </border>
    <border>
      <left/>
      <right style="thin">
        <color rgb="FFA6A6A6"/>
      </right>
      <top style="thin">
        <color rgb="FFA6A6A6"/>
      </top>
      <bottom style="hair">
        <color rgb="FFA6A6A6"/>
      </bottom>
      <diagonal/>
    </border>
    <border>
      <left style="thin">
        <color rgb="FFA6A6A6"/>
      </left>
      <right style="thin">
        <color rgb="FFA6A6A6"/>
      </right>
      <top/>
      <bottom style="hair">
        <color rgb="FFA6A6A6"/>
      </bottom>
      <diagonal/>
    </border>
    <border>
      <left style="hair">
        <color rgb="FFA6A6A6"/>
      </left>
      <right style="thin">
        <color rgb="FFA6A6A6"/>
      </right>
      <top/>
      <bottom style="hair">
        <color rgb="FFA6A6A6"/>
      </bottom>
      <diagonal/>
    </border>
    <border>
      <left/>
      <right/>
      <top style="hair">
        <color rgb="FFA6A6A6"/>
      </top>
      <bottom style="hair">
        <color rgb="FFA6A6A6"/>
      </bottom>
      <diagonal/>
    </border>
    <border>
      <left style="thin">
        <color rgb="FFA6A6A6"/>
      </left>
      <right style="thin">
        <color rgb="FFA6A6A6"/>
      </right>
      <top style="hair">
        <color rgb="FFA6A6A6"/>
      </top>
      <bottom style="hair">
        <color rgb="FFA6A6A6"/>
      </bottom>
      <diagonal/>
    </border>
    <border>
      <left style="hair">
        <color rgb="FFA6A6A6"/>
      </left>
      <right style="thin">
        <color rgb="FFA6A6A6"/>
      </right>
      <top style="hair">
        <color rgb="FFA6A6A6"/>
      </top>
      <bottom style="hair">
        <color rgb="FFA6A6A6"/>
      </bottom>
      <diagonal/>
    </border>
    <border>
      <left/>
      <right style="thin">
        <color rgb="FFA6A6A6"/>
      </right>
      <top style="hair">
        <color rgb="FFA6A6A6"/>
      </top>
      <bottom style="hair">
        <color rgb="FFA6A6A6"/>
      </bottom>
      <diagonal/>
    </border>
    <border>
      <left style="thin">
        <color rgb="FFA6A6A6"/>
      </left>
      <right style="thin">
        <color rgb="FFA6A6A6"/>
      </right>
      <top/>
      <bottom style="thin">
        <color rgb="FFA6A6A6"/>
      </bottom>
      <diagonal/>
    </border>
    <border>
      <left/>
      <right style="thin">
        <color rgb="FFA6A6A6"/>
      </right>
      <top style="hair">
        <color rgb="FFA6A6A6"/>
      </top>
      <bottom style="thin">
        <color rgb="FFA6A6A6"/>
      </bottom>
      <diagonal/>
    </border>
    <border>
      <left style="thin">
        <color rgb="FFA6A6A6"/>
      </left>
      <right style="thin">
        <color rgb="FFA6A6A6"/>
      </right>
      <top style="hair">
        <color rgb="FFA6A6A6"/>
      </top>
      <bottom style="thin">
        <color rgb="FFA6A6A6"/>
      </bottom>
      <diagonal/>
    </border>
    <border>
      <left style="hair">
        <color rgb="FFA6A6A6"/>
      </left>
      <right style="hair">
        <color rgb="FFA6A6A6"/>
      </right>
      <top style="hair">
        <color rgb="FFA6A6A6"/>
      </top>
      <bottom style="thin">
        <color rgb="FFA6A6A6"/>
      </bottom>
      <diagonal/>
    </border>
    <border>
      <left style="hair">
        <color rgb="FFA6A6A6"/>
      </left>
      <right style="thin">
        <color rgb="FFA6A6A6"/>
      </right>
      <top style="hair">
        <color rgb="FFA6A6A6"/>
      </top>
      <bottom style="thin">
        <color rgb="FFA6A6A6"/>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theme="0"/>
      </right>
      <top style="medium">
        <color indexed="64"/>
      </top>
      <bottom style="thin">
        <color theme="0"/>
      </bottom>
      <diagonal/>
    </border>
    <border>
      <left/>
      <right/>
      <top style="medium">
        <color indexed="64"/>
      </top>
      <bottom/>
      <diagonal/>
    </border>
    <border>
      <left/>
      <right style="medium">
        <color indexed="64"/>
      </right>
      <top style="medium">
        <color indexed="64"/>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left>
      <right style="thin">
        <color theme="0"/>
      </right>
      <top style="thin">
        <color theme="0"/>
      </top>
      <bottom style="thin">
        <color theme="0"/>
      </bottom>
      <diagonal/>
    </border>
    <border>
      <left style="hair">
        <color indexed="23"/>
      </left>
      <right style="thin">
        <color rgb="FF808080"/>
      </right>
      <top style="hair">
        <color indexed="23"/>
      </top>
      <bottom style="hair">
        <color indexed="23"/>
      </bottom>
      <diagonal/>
    </border>
    <border>
      <left style="hair">
        <color rgb="FF808080"/>
      </left>
      <right style="hair">
        <color rgb="FF808080"/>
      </right>
      <top style="hair">
        <color rgb="FF808080"/>
      </top>
      <bottom style="hair">
        <color rgb="FF808080"/>
      </bottom>
      <diagonal/>
    </border>
    <border>
      <left style="hair">
        <color rgb="FF808080"/>
      </left>
      <right style="thin">
        <color auto="1"/>
      </right>
      <top style="hair">
        <color rgb="FF808080"/>
      </top>
      <bottom style="hair">
        <color rgb="FF808080"/>
      </bottom>
      <diagonal/>
    </border>
    <border>
      <left style="thin">
        <color rgb="FF808080"/>
      </left>
      <right style="hair">
        <color rgb="FF808080"/>
      </right>
      <top style="hair">
        <color rgb="FF808080"/>
      </top>
      <bottom style="hair">
        <color rgb="FF80808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thick">
        <color indexed="56"/>
      </bottom>
      <diagonal/>
    </border>
    <border>
      <left/>
      <right/>
      <top/>
      <bottom style="thick">
        <color indexed="27"/>
      </bottom>
      <diagonal/>
    </border>
    <border>
      <left/>
      <right/>
      <top/>
      <bottom style="medium">
        <color indexed="27"/>
      </bottom>
      <diagonal/>
    </border>
    <border>
      <left style="hair">
        <color indexed="64"/>
      </left>
      <right style="hair">
        <color indexed="64"/>
      </right>
      <top style="hair">
        <color indexed="64"/>
      </top>
      <bottom style="hair">
        <color indexed="6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ck">
        <color theme="0"/>
      </left>
      <right/>
      <top/>
      <bottom/>
      <diagonal/>
    </border>
    <border>
      <left style="medium">
        <color indexed="18"/>
      </left>
      <right/>
      <top style="medium">
        <color indexed="18"/>
      </top>
      <bottom/>
      <diagonal/>
    </border>
    <border>
      <left/>
      <right/>
      <top style="medium">
        <color indexed="18"/>
      </top>
      <bottom/>
      <diagonal/>
    </border>
    <border>
      <left/>
      <right style="medium">
        <color indexed="18"/>
      </right>
      <top style="medium">
        <color indexed="18"/>
      </top>
      <bottom/>
      <diagonal/>
    </border>
    <border>
      <left style="medium">
        <color indexed="18"/>
      </left>
      <right/>
      <top/>
      <bottom/>
      <diagonal/>
    </border>
    <border>
      <left/>
      <right style="medium">
        <color indexed="18"/>
      </right>
      <top/>
      <bottom/>
      <diagonal/>
    </border>
    <border>
      <left style="medium">
        <color indexed="18"/>
      </left>
      <right/>
      <top/>
      <bottom style="medium">
        <color indexed="18"/>
      </bottom>
      <diagonal/>
    </border>
    <border>
      <left/>
      <right/>
      <top/>
      <bottom style="medium">
        <color indexed="18"/>
      </bottom>
      <diagonal/>
    </border>
    <border>
      <left/>
      <right style="medium">
        <color indexed="18"/>
      </right>
      <top/>
      <bottom style="medium">
        <color indexed="18"/>
      </bottom>
      <diagonal/>
    </border>
    <border>
      <left/>
      <right style="thin">
        <color theme="0"/>
      </right>
      <top style="thin">
        <color theme="0"/>
      </top>
      <bottom style="thin">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thin">
        <color theme="0"/>
      </left>
      <right/>
      <top style="thin">
        <color theme="0"/>
      </top>
      <bottom style="thin">
        <color theme="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top/>
      <bottom style="thin">
        <color indexed="64"/>
      </bottom>
      <diagonal/>
    </border>
    <border>
      <left/>
      <right/>
      <top/>
      <bottom style="dashed">
        <color theme="0"/>
      </bottom>
      <diagonal/>
    </border>
    <border>
      <left/>
      <right style="thick">
        <color theme="0"/>
      </right>
      <top/>
      <bottom style="dashed">
        <color theme="0"/>
      </bottom>
      <diagonal/>
    </border>
    <border>
      <left/>
      <right style="thick">
        <color theme="0"/>
      </right>
      <top style="thin">
        <color theme="0" tint="-0.499984740745262"/>
      </top>
      <bottom/>
      <diagonal/>
    </border>
    <border>
      <left/>
      <right style="thick">
        <color theme="0"/>
      </right>
      <top/>
      <bottom/>
      <diagonal/>
    </border>
    <border>
      <left/>
      <right style="thick">
        <color theme="0"/>
      </right>
      <top/>
      <bottom style="thin">
        <color theme="0" tint="-0.499984740745262"/>
      </bottom>
      <diagonal/>
    </border>
    <border>
      <left/>
      <right/>
      <top style="thin">
        <color theme="0"/>
      </top>
      <bottom style="thin">
        <color indexed="64"/>
      </bottom>
      <diagonal/>
    </border>
    <border>
      <left/>
      <right/>
      <top/>
      <bottom style="thin">
        <color indexed="9"/>
      </bottom>
      <diagonal/>
    </border>
    <border>
      <left/>
      <right/>
      <top style="thin">
        <color indexed="9"/>
      </top>
      <bottom style="thin">
        <color indexed="9"/>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top/>
      <bottom style="thin">
        <color auto="1"/>
      </bottom>
      <diagonal/>
    </border>
    <border>
      <left/>
      <right style="thin">
        <color auto="1"/>
      </right>
      <top/>
      <bottom style="thin">
        <color auto="1"/>
      </bottom>
      <diagonal/>
    </border>
  </borders>
  <cellStyleXfs count="3170">
    <xf numFmtId="0" fontId="0" fillId="0" borderId="0"/>
    <xf numFmtId="0" fontId="5" fillId="0" borderId="0" applyNumberFormat="0" applyFill="0" applyBorder="0" applyAlignment="0" applyProtection="0"/>
    <xf numFmtId="0" fontId="6" fillId="0" borderId="0"/>
    <xf numFmtId="0" fontId="8" fillId="0" borderId="0">
      <alignment vertical="center"/>
    </xf>
    <xf numFmtId="0" fontId="8" fillId="0" borderId="0">
      <alignment vertical="center"/>
    </xf>
    <xf numFmtId="0" fontId="10" fillId="0" borderId="0">
      <alignment vertical="center"/>
    </xf>
    <xf numFmtId="0" fontId="11" fillId="0" borderId="0">
      <alignment vertical="center"/>
    </xf>
    <xf numFmtId="0" fontId="3" fillId="0" borderId="0">
      <alignment vertical="center"/>
    </xf>
    <xf numFmtId="0" fontId="3" fillId="0" borderId="0">
      <alignment vertical="center"/>
    </xf>
    <xf numFmtId="9" fontId="3" fillId="0" borderId="0" applyFont="0" applyFill="0" applyBorder="0" applyAlignment="0" applyProtection="0">
      <alignment vertical="center"/>
    </xf>
    <xf numFmtId="0" fontId="26" fillId="0" borderId="0">
      <alignment vertical="center"/>
    </xf>
    <xf numFmtId="0" fontId="27" fillId="0" borderId="0">
      <alignment vertical="center"/>
    </xf>
    <xf numFmtId="0" fontId="28" fillId="244" borderId="0" applyNumberFormat="0" applyBorder="0" applyAlignment="0" applyProtection="0">
      <alignment vertical="center"/>
    </xf>
    <xf numFmtId="0" fontId="29" fillId="245" borderId="0" applyNumberFormat="0" applyBorder="0" applyAlignment="0" applyProtection="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30" fillId="0" borderId="0">
      <alignment vertical="center"/>
    </xf>
    <xf numFmtId="0" fontId="33" fillId="0" borderId="21">
      <alignment vertical="center"/>
      <protection locked="0"/>
    </xf>
    <xf numFmtId="0" fontId="31" fillId="0" borderId="0">
      <alignment vertical="center"/>
    </xf>
    <xf numFmtId="0" fontId="37" fillId="0" borderId="0">
      <alignment vertical="center"/>
    </xf>
    <xf numFmtId="0" fontId="37" fillId="0" borderId="0">
      <alignment vertical="center"/>
    </xf>
    <xf numFmtId="0" fontId="2" fillId="0" borderId="0"/>
    <xf numFmtId="0" fontId="37" fillId="0" borderId="0">
      <alignment vertical="center"/>
    </xf>
    <xf numFmtId="0" fontId="1" fillId="0" borderId="0"/>
    <xf numFmtId="0" fontId="39" fillId="351" borderId="0" applyNumberFormat="0" applyBorder="0" applyAlignment="0" applyProtection="0"/>
    <xf numFmtId="0" fontId="39" fillId="245" borderId="0" applyNumberFormat="0" applyBorder="0" applyAlignment="0" applyProtection="0"/>
    <xf numFmtId="0" fontId="39" fillId="244" borderId="0" applyNumberFormat="0" applyBorder="0" applyAlignment="0" applyProtection="0"/>
    <xf numFmtId="0" fontId="39" fillId="352" borderId="0" applyNumberFormat="0" applyBorder="0" applyAlignment="0" applyProtection="0"/>
    <xf numFmtId="0" fontId="39" fillId="353" borderId="0" applyNumberFormat="0" applyBorder="0" applyAlignment="0" applyProtection="0"/>
    <xf numFmtId="0" fontId="39" fillId="354" borderId="0" applyNumberFormat="0" applyBorder="0" applyAlignment="0" applyProtection="0"/>
    <xf numFmtId="0" fontId="14" fillId="355" borderId="0" applyNumberFormat="0" applyBorder="0" applyAlignment="0" applyProtection="0">
      <alignment vertical="center"/>
    </xf>
    <xf numFmtId="0" fontId="33" fillId="355"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40" fillId="351" borderId="0" applyNumberFormat="0" applyBorder="0" applyAlignment="0" applyProtection="0">
      <alignment vertical="center"/>
    </xf>
    <xf numFmtId="0" fontId="14" fillId="356" borderId="0" applyNumberFormat="0" applyBorder="0" applyAlignment="0" applyProtection="0">
      <alignment vertical="center"/>
    </xf>
    <xf numFmtId="0" fontId="33" fillId="356"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40" fillId="245" borderId="0" applyNumberFormat="0" applyBorder="0" applyAlignment="0" applyProtection="0">
      <alignment vertical="center"/>
    </xf>
    <xf numFmtId="0" fontId="14" fillId="357" borderId="0" applyNumberFormat="0" applyBorder="0" applyAlignment="0" applyProtection="0">
      <alignment vertical="center"/>
    </xf>
    <xf numFmtId="0" fontId="33" fillId="357"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40" fillId="244" borderId="0" applyNumberFormat="0" applyBorder="0" applyAlignment="0" applyProtection="0">
      <alignment vertical="center"/>
    </xf>
    <xf numFmtId="0" fontId="14" fillId="355" borderId="0" applyNumberFormat="0" applyBorder="0" applyAlignment="0" applyProtection="0">
      <alignment vertical="center"/>
    </xf>
    <xf numFmtId="0" fontId="33" fillId="355"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40" fillId="352" borderId="0" applyNumberFormat="0" applyBorder="0" applyAlignment="0" applyProtection="0">
      <alignment vertical="center"/>
    </xf>
    <xf numFmtId="0" fontId="14" fillId="358" borderId="0" applyNumberFormat="0" applyBorder="0" applyAlignment="0" applyProtection="0">
      <alignment vertical="center"/>
    </xf>
    <xf numFmtId="0" fontId="33" fillId="358" borderId="0" applyNumberFormat="0" applyBorder="0" applyAlignment="0" applyProtection="0">
      <alignment vertical="center"/>
    </xf>
    <xf numFmtId="0" fontId="14" fillId="358" borderId="0" applyNumberFormat="0" applyBorder="0" applyAlignment="0" applyProtection="0">
      <alignment vertical="center"/>
    </xf>
    <xf numFmtId="0" fontId="14" fillId="358" borderId="0" applyNumberFormat="0" applyBorder="0" applyAlignment="0" applyProtection="0">
      <alignment vertical="center"/>
    </xf>
    <xf numFmtId="0" fontId="14" fillId="358" borderId="0" applyNumberFormat="0" applyBorder="0" applyAlignment="0" applyProtection="0">
      <alignment vertical="center"/>
    </xf>
    <xf numFmtId="0" fontId="40" fillId="353" borderId="0" applyNumberFormat="0" applyBorder="0" applyAlignment="0" applyProtection="0">
      <alignment vertical="center"/>
    </xf>
    <xf numFmtId="0" fontId="14" fillId="354" borderId="0" applyNumberFormat="0" applyBorder="0" applyAlignment="0" applyProtection="0">
      <alignment vertical="center"/>
    </xf>
    <xf numFmtId="0" fontId="33" fillId="354"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40" fillId="354" borderId="0" applyNumberFormat="0" applyBorder="0" applyAlignment="0" applyProtection="0">
      <alignment vertical="center"/>
    </xf>
    <xf numFmtId="0" fontId="41" fillId="359" borderId="0" applyNumberFormat="0" applyBorder="0" applyAlignment="0" applyProtection="0">
      <alignment vertical="center"/>
    </xf>
    <xf numFmtId="0" fontId="41" fillId="360" borderId="0" applyNumberFormat="0" applyBorder="0" applyAlignment="0" applyProtection="0">
      <alignment vertical="center"/>
    </xf>
    <xf numFmtId="0" fontId="41" fillId="361" borderId="0" applyNumberFormat="0" applyBorder="0" applyAlignment="0" applyProtection="0">
      <alignment vertical="center"/>
    </xf>
    <xf numFmtId="0" fontId="41" fillId="354" borderId="0" applyNumberFormat="0" applyBorder="0" applyAlignment="0" applyProtection="0">
      <alignment vertical="center"/>
    </xf>
    <xf numFmtId="0" fontId="41" fillId="353" borderId="0" applyNumberFormat="0" applyBorder="0" applyAlignment="0" applyProtection="0">
      <alignment vertical="center"/>
    </xf>
    <xf numFmtId="0" fontId="41" fillId="361" borderId="0" applyNumberFormat="0" applyBorder="0" applyAlignment="0" applyProtection="0">
      <alignment vertical="center"/>
    </xf>
    <xf numFmtId="0" fontId="42" fillId="351" borderId="0" applyNumberFormat="0" applyBorder="0" applyAlignment="0" applyProtection="0">
      <alignment vertical="center"/>
    </xf>
    <xf numFmtId="0" fontId="43" fillId="351" borderId="0" applyNumberFormat="0" applyBorder="0" applyAlignment="0" applyProtection="0">
      <alignment vertical="center"/>
    </xf>
    <xf numFmtId="0" fontId="43" fillId="351"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43" fillId="351" borderId="0" applyNumberFormat="0" applyBorder="0" applyAlignment="0" applyProtection="0">
      <alignment vertical="center"/>
    </xf>
    <xf numFmtId="0" fontId="43" fillId="351" borderId="0" applyNumberFormat="0" applyBorder="0" applyAlignment="0" applyProtection="0">
      <alignment vertical="center"/>
    </xf>
    <xf numFmtId="0" fontId="42" fillId="245" borderId="0" applyNumberFormat="0" applyBorder="0" applyAlignment="0" applyProtection="0">
      <alignment vertical="center"/>
    </xf>
    <xf numFmtId="0" fontId="43" fillId="245" borderId="0" applyNumberFormat="0" applyBorder="0" applyAlignment="0" applyProtection="0">
      <alignment vertical="center"/>
    </xf>
    <xf numFmtId="0" fontId="43" fillId="245"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43" fillId="245" borderId="0" applyNumberFormat="0" applyBorder="0" applyAlignment="0" applyProtection="0">
      <alignment vertical="center"/>
    </xf>
    <xf numFmtId="0" fontId="43" fillId="245" borderId="0" applyNumberFormat="0" applyBorder="0" applyAlignment="0" applyProtection="0">
      <alignment vertical="center"/>
    </xf>
    <xf numFmtId="0" fontId="42" fillId="244" borderId="0" applyNumberFormat="0" applyBorder="0" applyAlignment="0" applyProtection="0">
      <alignment vertical="center"/>
    </xf>
    <xf numFmtId="0" fontId="43" fillId="244" borderId="0" applyNumberFormat="0" applyBorder="0" applyAlignment="0" applyProtection="0">
      <alignment vertical="center"/>
    </xf>
    <xf numFmtId="0" fontId="43" fillId="244"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43" fillId="244" borderId="0" applyNumberFormat="0" applyBorder="0" applyAlignment="0" applyProtection="0">
      <alignment vertical="center"/>
    </xf>
    <xf numFmtId="0" fontId="43" fillId="244" borderId="0" applyNumberFormat="0" applyBorder="0" applyAlignment="0" applyProtection="0">
      <alignment vertical="center"/>
    </xf>
    <xf numFmtId="0" fontId="42" fillId="352" borderId="0" applyNumberFormat="0" applyBorder="0" applyAlignment="0" applyProtection="0">
      <alignment vertical="center"/>
    </xf>
    <xf numFmtId="0" fontId="43" fillId="352" borderId="0" applyNumberFormat="0" applyBorder="0" applyAlignment="0" applyProtection="0">
      <alignment vertical="center"/>
    </xf>
    <xf numFmtId="0" fontId="43" fillId="352" borderId="0" applyNumberFormat="0" applyBorder="0" applyAlignment="0" applyProtection="0">
      <alignment vertical="center"/>
    </xf>
    <xf numFmtId="0" fontId="14" fillId="355" borderId="0" applyNumberFormat="0" applyBorder="0" applyAlignment="0" applyProtection="0">
      <alignment vertical="center"/>
    </xf>
    <xf numFmtId="0" fontId="14" fillId="355" borderId="0" applyNumberFormat="0" applyBorder="0" applyAlignment="0" applyProtection="0">
      <alignment vertical="center"/>
    </xf>
    <xf numFmtId="0" fontId="43" fillId="352" borderId="0" applyNumberFormat="0" applyBorder="0" applyAlignment="0" applyProtection="0">
      <alignment vertical="center"/>
    </xf>
    <xf numFmtId="0" fontId="43" fillId="352" borderId="0" applyNumberFormat="0" applyBorder="0" applyAlignment="0" applyProtection="0">
      <alignment vertical="center"/>
    </xf>
    <xf numFmtId="0" fontId="42" fillId="353" borderId="0" applyNumberFormat="0" applyBorder="0" applyAlignment="0" applyProtection="0">
      <alignment vertical="center"/>
    </xf>
    <xf numFmtId="0" fontId="43" fillId="353" borderId="0" applyNumberFormat="0" applyBorder="0" applyAlignment="0" applyProtection="0">
      <alignment vertical="center"/>
    </xf>
    <xf numFmtId="0" fontId="43" fillId="353" borderId="0" applyNumberFormat="0" applyBorder="0" applyAlignment="0" applyProtection="0">
      <alignment vertical="center"/>
    </xf>
    <xf numFmtId="0" fontId="14" fillId="358" borderId="0" applyNumberFormat="0" applyBorder="0" applyAlignment="0" applyProtection="0">
      <alignment vertical="center"/>
    </xf>
    <xf numFmtId="0" fontId="14" fillId="358" borderId="0" applyNumberFormat="0" applyBorder="0" applyAlignment="0" applyProtection="0">
      <alignment vertical="center"/>
    </xf>
    <xf numFmtId="0" fontId="43" fillId="353" borderId="0" applyNumberFormat="0" applyBorder="0" applyAlignment="0" applyProtection="0">
      <alignment vertical="center"/>
    </xf>
    <xf numFmtId="0" fontId="43" fillId="353" borderId="0" applyNumberFormat="0" applyBorder="0" applyAlignment="0" applyProtection="0">
      <alignment vertical="center"/>
    </xf>
    <xf numFmtId="0" fontId="42" fillId="354" borderId="0" applyNumberFormat="0" applyBorder="0" applyAlignment="0" applyProtection="0">
      <alignment vertical="center"/>
    </xf>
    <xf numFmtId="0" fontId="43" fillId="354" borderId="0" applyNumberFormat="0" applyBorder="0" applyAlignment="0" applyProtection="0">
      <alignment vertical="center"/>
    </xf>
    <xf numFmtId="0" fontId="43" fillId="354"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43" fillId="354" borderId="0" applyNumberFormat="0" applyBorder="0" applyAlignment="0" applyProtection="0">
      <alignment vertical="center"/>
    </xf>
    <xf numFmtId="0" fontId="43" fillId="354" borderId="0" applyNumberFormat="0" applyBorder="0" applyAlignment="0" applyProtection="0">
      <alignment vertical="center"/>
    </xf>
    <xf numFmtId="0" fontId="44" fillId="351" borderId="0" applyNumberFormat="0" applyBorder="0" applyAlignment="0" applyProtection="0">
      <alignment vertical="center"/>
    </xf>
    <xf numFmtId="0" fontId="44" fillId="351" borderId="0" applyNumberFormat="0" applyBorder="0" applyAlignment="0" applyProtection="0">
      <alignment vertical="center"/>
    </xf>
    <xf numFmtId="0" fontId="44" fillId="245" borderId="0" applyNumberFormat="0" applyBorder="0" applyAlignment="0" applyProtection="0">
      <alignment vertical="center"/>
    </xf>
    <xf numFmtId="0" fontId="44" fillId="245" borderId="0" applyNumberFormat="0" applyBorder="0" applyAlignment="0" applyProtection="0">
      <alignment vertical="center"/>
    </xf>
    <xf numFmtId="0" fontId="44" fillId="244" borderId="0" applyNumberFormat="0" applyBorder="0" applyAlignment="0" applyProtection="0">
      <alignment vertical="center"/>
    </xf>
    <xf numFmtId="0" fontId="44" fillId="244" borderId="0" applyNumberFormat="0" applyBorder="0" applyAlignment="0" applyProtection="0">
      <alignment vertical="center"/>
    </xf>
    <xf numFmtId="0" fontId="44" fillId="352" borderId="0" applyNumberFormat="0" applyBorder="0" applyAlignment="0" applyProtection="0">
      <alignment vertical="center"/>
    </xf>
    <xf numFmtId="0" fontId="44" fillId="352" borderId="0" applyNumberFormat="0" applyBorder="0" applyAlignment="0" applyProtection="0">
      <alignment vertical="center"/>
    </xf>
    <xf numFmtId="0" fontId="44" fillId="353" borderId="0" applyNumberFormat="0" applyBorder="0" applyAlignment="0" applyProtection="0">
      <alignment vertical="center"/>
    </xf>
    <xf numFmtId="0" fontId="44" fillId="353" borderId="0" applyNumberFormat="0" applyBorder="0" applyAlignment="0" applyProtection="0">
      <alignment vertical="center"/>
    </xf>
    <xf numFmtId="0" fontId="44" fillId="354" borderId="0" applyNumberFormat="0" applyBorder="0" applyAlignment="0" applyProtection="0">
      <alignment vertical="center"/>
    </xf>
    <xf numFmtId="0" fontId="44" fillId="354" borderId="0" applyNumberFormat="0" applyBorder="0" applyAlignment="0" applyProtection="0">
      <alignment vertical="center"/>
    </xf>
    <xf numFmtId="0" fontId="39" fillId="359" borderId="0" applyNumberFormat="0" applyBorder="0" applyAlignment="0" applyProtection="0"/>
    <xf numFmtId="0" fontId="39" fillId="360" borderId="0" applyNumberFormat="0" applyBorder="0" applyAlignment="0" applyProtection="0"/>
    <xf numFmtId="0" fontId="39" fillId="362" borderId="0" applyNumberFormat="0" applyBorder="0" applyAlignment="0" applyProtection="0"/>
    <xf numFmtId="0" fontId="39" fillId="352" borderId="0" applyNumberFormat="0" applyBorder="0" applyAlignment="0" applyProtection="0"/>
    <xf numFmtId="0" fontId="39" fillId="359" borderId="0" applyNumberFormat="0" applyBorder="0" applyAlignment="0" applyProtection="0"/>
    <xf numFmtId="0" fontId="39" fillId="363" borderId="0" applyNumberFormat="0" applyBorder="0" applyAlignment="0" applyProtection="0"/>
    <xf numFmtId="0" fontId="14" fillId="364" borderId="0" applyNumberFormat="0" applyBorder="0" applyAlignment="0" applyProtection="0">
      <alignment vertical="center"/>
    </xf>
    <xf numFmtId="0" fontId="33" fillId="364"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40" fillId="359" borderId="0" applyNumberFormat="0" applyBorder="0" applyAlignment="0" applyProtection="0">
      <alignment vertical="center"/>
    </xf>
    <xf numFmtId="0" fontId="14" fillId="356" borderId="0" applyNumberFormat="0" applyBorder="0" applyAlignment="0" applyProtection="0">
      <alignment vertical="center"/>
    </xf>
    <xf numFmtId="0" fontId="33" fillId="356"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40" fillId="360" borderId="0" applyNumberFormat="0" applyBorder="0" applyAlignment="0" applyProtection="0">
      <alignment vertical="center"/>
    </xf>
    <xf numFmtId="0" fontId="14" fillId="357" borderId="0" applyNumberFormat="0" applyBorder="0" applyAlignment="0" applyProtection="0">
      <alignment vertical="center"/>
    </xf>
    <xf numFmtId="0" fontId="33" fillId="357"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40" fillId="362" borderId="0" applyNumberFormat="0" applyBorder="0" applyAlignment="0" applyProtection="0">
      <alignment vertical="center"/>
    </xf>
    <xf numFmtId="0" fontId="14" fillId="364" borderId="0" applyNumberFormat="0" applyBorder="0" applyAlignment="0" applyProtection="0">
      <alignment vertical="center"/>
    </xf>
    <xf numFmtId="0" fontId="33" fillId="364"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40" fillId="352" borderId="0" applyNumberFormat="0" applyBorder="0" applyAlignment="0" applyProtection="0">
      <alignment vertical="center"/>
    </xf>
    <xf numFmtId="0" fontId="14" fillId="359" borderId="0" applyNumberFormat="0" applyBorder="0" applyAlignment="0" applyProtection="0">
      <alignment vertical="center"/>
    </xf>
    <xf numFmtId="0" fontId="33" fillId="359" borderId="0" applyNumberFormat="0" applyBorder="0" applyAlignment="0" applyProtection="0">
      <alignment vertical="center"/>
    </xf>
    <xf numFmtId="0" fontId="14" fillId="359" borderId="0" applyNumberFormat="0" applyBorder="0" applyAlignment="0" applyProtection="0">
      <alignment vertical="center"/>
    </xf>
    <xf numFmtId="0" fontId="14" fillId="359" borderId="0" applyNumberFormat="0" applyBorder="0" applyAlignment="0" applyProtection="0">
      <alignment vertical="center"/>
    </xf>
    <xf numFmtId="0" fontId="14" fillId="359" borderId="0" applyNumberFormat="0" applyBorder="0" applyAlignment="0" applyProtection="0">
      <alignment vertical="center"/>
    </xf>
    <xf numFmtId="0" fontId="40" fillId="359" borderId="0" applyNumberFormat="0" applyBorder="0" applyAlignment="0" applyProtection="0">
      <alignment vertical="center"/>
    </xf>
    <xf numFmtId="0" fontId="14" fillId="354" borderId="0" applyNumberFormat="0" applyBorder="0" applyAlignment="0" applyProtection="0">
      <alignment vertical="center"/>
    </xf>
    <xf numFmtId="0" fontId="33" fillId="354"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40" fillId="363" borderId="0" applyNumberFormat="0" applyBorder="0" applyAlignment="0" applyProtection="0">
      <alignment vertical="center"/>
    </xf>
    <xf numFmtId="0" fontId="41" fillId="353" borderId="0" applyNumberFormat="0" applyBorder="0" applyAlignment="0" applyProtection="0">
      <alignment vertical="center"/>
    </xf>
    <xf numFmtId="0" fontId="41" fillId="360" borderId="0" applyNumberFormat="0" applyBorder="0" applyAlignment="0" applyProtection="0">
      <alignment vertical="center"/>
    </xf>
    <xf numFmtId="0" fontId="41" fillId="365" borderId="0" applyNumberFormat="0" applyBorder="0" applyAlignment="0" applyProtection="0">
      <alignment vertical="center"/>
    </xf>
    <xf numFmtId="0" fontId="41" fillId="245" borderId="0" applyNumberFormat="0" applyBorder="0" applyAlignment="0" applyProtection="0">
      <alignment vertical="center"/>
    </xf>
    <xf numFmtId="0" fontId="41" fillId="353" borderId="0" applyNumberFormat="0" applyBorder="0" applyAlignment="0" applyProtection="0">
      <alignment vertical="center"/>
    </xf>
    <xf numFmtId="0" fontId="41" fillId="361" borderId="0" applyNumberFormat="0" applyBorder="0" applyAlignment="0" applyProtection="0">
      <alignment vertical="center"/>
    </xf>
    <xf numFmtId="0" fontId="42" fillId="359" borderId="0" applyNumberFormat="0" applyBorder="0" applyAlignment="0" applyProtection="0">
      <alignment vertical="center"/>
    </xf>
    <xf numFmtId="0" fontId="43" fillId="359" borderId="0" applyNumberFormat="0" applyBorder="0" applyAlignment="0" applyProtection="0">
      <alignment vertical="center"/>
    </xf>
    <xf numFmtId="0" fontId="43" fillId="359"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43" fillId="359" borderId="0" applyNumberFormat="0" applyBorder="0" applyAlignment="0" applyProtection="0">
      <alignment vertical="center"/>
    </xf>
    <xf numFmtId="0" fontId="43" fillId="359" borderId="0" applyNumberFormat="0" applyBorder="0" applyAlignment="0" applyProtection="0">
      <alignment vertical="center"/>
    </xf>
    <xf numFmtId="0" fontId="42" fillId="360" borderId="0" applyNumberFormat="0" applyBorder="0" applyAlignment="0" applyProtection="0">
      <alignment vertical="center"/>
    </xf>
    <xf numFmtId="0" fontId="43" fillId="360" borderId="0" applyNumberFormat="0" applyBorder="0" applyAlignment="0" applyProtection="0">
      <alignment vertical="center"/>
    </xf>
    <xf numFmtId="0" fontId="43" fillId="360" borderId="0" applyNumberFormat="0" applyBorder="0" applyAlignment="0" applyProtection="0">
      <alignment vertical="center"/>
    </xf>
    <xf numFmtId="0" fontId="14" fillId="356" borderId="0" applyNumberFormat="0" applyBorder="0" applyAlignment="0" applyProtection="0">
      <alignment vertical="center"/>
    </xf>
    <xf numFmtId="0" fontId="14" fillId="356" borderId="0" applyNumberFormat="0" applyBorder="0" applyAlignment="0" applyProtection="0">
      <alignment vertical="center"/>
    </xf>
    <xf numFmtId="0" fontId="43" fillId="360" borderId="0" applyNumberFormat="0" applyBorder="0" applyAlignment="0" applyProtection="0">
      <alignment vertical="center"/>
    </xf>
    <xf numFmtId="0" fontId="43" fillId="360" borderId="0" applyNumberFormat="0" applyBorder="0" applyAlignment="0" applyProtection="0">
      <alignment vertical="center"/>
    </xf>
    <xf numFmtId="0" fontId="42" fillId="362" borderId="0" applyNumberFormat="0" applyBorder="0" applyAlignment="0" applyProtection="0">
      <alignment vertical="center"/>
    </xf>
    <xf numFmtId="0" fontId="43" fillId="362" borderId="0" applyNumberFormat="0" applyBorder="0" applyAlignment="0" applyProtection="0">
      <alignment vertical="center"/>
    </xf>
    <xf numFmtId="0" fontId="43" fillId="362" borderId="0" applyNumberFormat="0" applyBorder="0" applyAlignment="0" applyProtection="0">
      <alignment vertical="center"/>
    </xf>
    <xf numFmtId="0" fontId="14" fillId="357" borderId="0" applyNumberFormat="0" applyBorder="0" applyAlignment="0" applyProtection="0">
      <alignment vertical="center"/>
    </xf>
    <xf numFmtId="0" fontId="14" fillId="357" borderId="0" applyNumberFormat="0" applyBorder="0" applyAlignment="0" applyProtection="0">
      <alignment vertical="center"/>
    </xf>
    <xf numFmtId="0" fontId="43" fillId="362" borderId="0" applyNumberFormat="0" applyBorder="0" applyAlignment="0" applyProtection="0">
      <alignment vertical="center"/>
    </xf>
    <xf numFmtId="0" fontId="43" fillId="362" borderId="0" applyNumberFormat="0" applyBorder="0" applyAlignment="0" applyProtection="0">
      <alignment vertical="center"/>
    </xf>
    <xf numFmtId="0" fontId="42" fillId="352" borderId="0" applyNumberFormat="0" applyBorder="0" applyAlignment="0" applyProtection="0">
      <alignment vertical="center"/>
    </xf>
    <xf numFmtId="0" fontId="43" fillId="352" borderId="0" applyNumberFormat="0" applyBorder="0" applyAlignment="0" applyProtection="0">
      <alignment vertical="center"/>
    </xf>
    <xf numFmtId="0" fontId="43" fillId="352" borderId="0" applyNumberFormat="0" applyBorder="0" applyAlignment="0" applyProtection="0">
      <alignment vertical="center"/>
    </xf>
    <xf numFmtId="0" fontId="14" fillId="364" borderId="0" applyNumberFormat="0" applyBorder="0" applyAlignment="0" applyProtection="0">
      <alignment vertical="center"/>
    </xf>
    <xf numFmtId="0" fontId="14" fillId="364" borderId="0" applyNumberFormat="0" applyBorder="0" applyAlignment="0" applyProtection="0">
      <alignment vertical="center"/>
    </xf>
    <xf numFmtId="0" fontId="43" fillId="352" borderId="0" applyNumberFormat="0" applyBorder="0" applyAlignment="0" applyProtection="0">
      <alignment vertical="center"/>
    </xf>
    <xf numFmtId="0" fontId="43" fillId="352" borderId="0" applyNumberFormat="0" applyBorder="0" applyAlignment="0" applyProtection="0">
      <alignment vertical="center"/>
    </xf>
    <xf numFmtId="0" fontId="42" fillId="359" borderId="0" applyNumberFormat="0" applyBorder="0" applyAlignment="0" applyProtection="0">
      <alignment vertical="center"/>
    </xf>
    <xf numFmtId="0" fontId="43" fillId="359" borderId="0" applyNumberFormat="0" applyBorder="0" applyAlignment="0" applyProtection="0">
      <alignment vertical="center"/>
    </xf>
    <xf numFmtId="0" fontId="43" fillId="359" borderId="0" applyNumberFormat="0" applyBorder="0" applyAlignment="0" applyProtection="0">
      <alignment vertical="center"/>
    </xf>
    <xf numFmtId="0" fontId="14" fillId="359" borderId="0" applyNumberFormat="0" applyBorder="0" applyAlignment="0" applyProtection="0">
      <alignment vertical="center"/>
    </xf>
    <xf numFmtId="0" fontId="14" fillId="359" borderId="0" applyNumberFormat="0" applyBorder="0" applyAlignment="0" applyProtection="0">
      <alignment vertical="center"/>
    </xf>
    <xf numFmtId="0" fontId="43" fillId="359" borderId="0" applyNumberFormat="0" applyBorder="0" applyAlignment="0" applyProtection="0">
      <alignment vertical="center"/>
    </xf>
    <xf numFmtId="0" fontId="43" fillId="359" borderId="0" applyNumberFormat="0" applyBorder="0" applyAlignment="0" applyProtection="0">
      <alignment vertical="center"/>
    </xf>
    <xf numFmtId="0" fontId="42" fillId="363" borderId="0" applyNumberFormat="0" applyBorder="0" applyAlignment="0" applyProtection="0">
      <alignment vertical="center"/>
    </xf>
    <xf numFmtId="0" fontId="43" fillId="363" borderId="0" applyNumberFormat="0" applyBorder="0" applyAlignment="0" applyProtection="0">
      <alignment vertical="center"/>
    </xf>
    <xf numFmtId="0" fontId="43" fillId="363" borderId="0" applyNumberFormat="0" applyBorder="0" applyAlignment="0" applyProtection="0">
      <alignment vertical="center"/>
    </xf>
    <xf numFmtId="0" fontId="14" fillId="354" borderId="0" applyNumberFormat="0" applyBorder="0" applyAlignment="0" applyProtection="0">
      <alignment vertical="center"/>
    </xf>
    <xf numFmtId="0" fontId="14" fillId="354" borderId="0" applyNumberFormat="0" applyBorder="0" applyAlignment="0" applyProtection="0">
      <alignment vertical="center"/>
    </xf>
    <xf numFmtId="0" fontId="43" fillId="363" borderId="0" applyNumberFormat="0" applyBorder="0" applyAlignment="0" applyProtection="0">
      <alignment vertical="center"/>
    </xf>
    <xf numFmtId="0" fontId="43" fillId="363" borderId="0" applyNumberFormat="0" applyBorder="0" applyAlignment="0" applyProtection="0">
      <alignment vertical="center"/>
    </xf>
    <xf numFmtId="0" fontId="44" fillId="359" borderId="0" applyNumberFormat="0" applyBorder="0" applyAlignment="0" applyProtection="0">
      <alignment vertical="center"/>
    </xf>
    <xf numFmtId="0" fontId="44" fillId="359" borderId="0" applyNumberFormat="0" applyBorder="0" applyAlignment="0" applyProtection="0">
      <alignment vertical="center"/>
    </xf>
    <xf numFmtId="0" fontId="44" fillId="360" borderId="0" applyNumberFormat="0" applyBorder="0" applyAlignment="0" applyProtection="0">
      <alignment vertical="center"/>
    </xf>
    <xf numFmtId="0" fontId="44" fillId="360" borderId="0" applyNumberFormat="0" applyBorder="0" applyAlignment="0" applyProtection="0">
      <alignment vertical="center"/>
    </xf>
    <xf numFmtId="0" fontId="44" fillId="362" borderId="0" applyNumberFormat="0" applyBorder="0" applyAlignment="0" applyProtection="0">
      <alignment vertical="center"/>
    </xf>
    <xf numFmtId="0" fontId="44" fillId="362" borderId="0" applyNumberFormat="0" applyBorder="0" applyAlignment="0" applyProtection="0">
      <alignment vertical="center"/>
    </xf>
    <xf numFmtId="0" fontId="44" fillId="352" borderId="0" applyNumberFormat="0" applyBorder="0" applyAlignment="0" applyProtection="0">
      <alignment vertical="center"/>
    </xf>
    <xf numFmtId="0" fontId="44" fillId="352" borderId="0" applyNumberFormat="0" applyBorder="0" applyAlignment="0" applyProtection="0">
      <alignment vertical="center"/>
    </xf>
    <xf numFmtId="0" fontId="44" fillId="359" borderId="0" applyNumberFormat="0" applyBorder="0" applyAlignment="0" applyProtection="0">
      <alignment vertical="center"/>
    </xf>
    <xf numFmtId="0" fontId="44" fillId="359" borderId="0" applyNumberFormat="0" applyBorder="0" applyAlignment="0" applyProtection="0">
      <alignment vertical="center"/>
    </xf>
    <xf numFmtId="0" fontId="44" fillId="363" borderId="0" applyNumberFormat="0" applyBorder="0" applyAlignment="0" applyProtection="0">
      <alignment vertical="center"/>
    </xf>
    <xf numFmtId="0" fontId="44" fillId="363" borderId="0" applyNumberFormat="0" applyBorder="0" applyAlignment="0" applyProtection="0">
      <alignment vertical="center"/>
    </xf>
    <xf numFmtId="0" fontId="45" fillId="366" borderId="0" applyNumberFormat="0" applyBorder="0" applyAlignment="0" applyProtection="0"/>
    <xf numFmtId="0" fontId="45" fillId="360" borderId="0" applyNumberFormat="0" applyBorder="0" applyAlignment="0" applyProtection="0"/>
    <xf numFmtId="0" fontId="45" fillId="362" borderId="0" applyNumberFormat="0" applyBorder="0" applyAlignment="0" applyProtection="0"/>
    <xf numFmtId="0" fontId="45" fillId="367" borderId="0" applyNumberFormat="0" applyBorder="0" applyAlignment="0" applyProtection="0"/>
    <xf numFmtId="0" fontId="45" fillId="368" borderId="0" applyNumberFormat="0" applyBorder="0" applyAlignment="0" applyProtection="0"/>
    <xf numFmtId="0" fontId="45" fillId="369" borderId="0" applyNumberFormat="0" applyBorder="0" applyAlignment="0" applyProtection="0"/>
    <xf numFmtId="0" fontId="46" fillId="368" borderId="0" applyNumberFormat="0" applyBorder="0" applyAlignment="0" applyProtection="0">
      <alignment vertical="center"/>
    </xf>
    <xf numFmtId="0" fontId="47"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8" fillId="366" borderId="0" applyNumberFormat="0" applyBorder="0" applyAlignment="0" applyProtection="0">
      <alignment vertical="center"/>
    </xf>
    <xf numFmtId="0" fontId="46" fillId="370" borderId="0" applyNumberFormat="0" applyBorder="0" applyAlignment="0" applyProtection="0">
      <alignment vertical="center"/>
    </xf>
    <xf numFmtId="0" fontId="47" fillId="370" borderId="0" applyNumberFormat="0" applyBorder="0" applyAlignment="0" applyProtection="0">
      <alignment vertical="center"/>
    </xf>
    <xf numFmtId="0" fontId="46" fillId="370" borderId="0" applyNumberFormat="0" applyBorder="0" applyAlignment="0" applyProtection="0">
      <alignment vertical="center"/>
    </xf>
    <xf numFmtId="0" fontId="46" fillId="370" borderId="0" applyNumberFormat="0" applyBorder="0" applyAlignment="0" applyProtection="0">
      <alignment vertical="center"/>
    </xf>
    <xf numFmtId="0" fontId="46" fillId="370" borderId="0" applyNumberFormat="0" applyBorder="0" applyAlignment="0" applyProtection="0">
      <alignment vertical="center"/>
    </xf>
    <xf numFmtId="0" fontId="48" fillId="360" borderId="0" applyNumberFormat="0" applyBorder="0" applyAlignment="0" applyProtection="0">
      <alignment vertical="center"/>
    </xf>
    <xf numFmtId="0" fontId="46" fillId="371" borderId="0" applyNumberFormat="0" applyBorder="0" applyAlignment="0" applyProtection="0">
      <alignment vertical="center"/>
    </xf>
    <xf numFmtId="0" fontId="47" fillId="371"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48" fillId="362" borderId="0" applyNumberFormat="0" applyBorder="0" applyAlignment="0" applyProtection="0">
      <alignment vertical="center"/>
    </xf>
    <xf numFmtId="0" fontId="46" fillId="364" borderId="0" applyNumberFormat="0" applyBorder="0" applyAlignment="0" applyProtection="0">
      <alignment vertical="center"/>
    </xf>
    <xf numFmtId="0" fontId="47" fillId="364" borderId="0" applyNumberFormat="0" applyBorder="0" applyAlignment="0" applyProtection="0">
      <alignment vertical="center"/>
    </xf>
    <xf numFmtId="0" fontId="46" fillId="364" borderId="0" applyNumberFormat="0" applyBorder="0" applyAlignment="0" applyProtection="0">
      <alignment vertical="center"/>
    </xf>
    <xf numFmtId="0" fontId="46" fillId="364" borderId="0" applyNumberFormat="0" applyBorder="0" applyAlignment="0" applyProtection="0">
      <alignment vertical="center"/>
    </xf>
    <xf numFmtId="0" fontId="46" fillId="364" borderId="0" applyNumberFormat="0" applyBorder="0" applyAlignment="0" applyProtection="0">
      <alignment vertical="center"/>
    </xf>
    <xf numFmtId="0" fontId="48" fillId="367" borderId="0" applyNumberFormat="0" applyBorder="0" applyAlignment="0" applyProtection="0">
      <alignment vertical="center"/>
    </xf>
    <xf numFmtId="0" fontId="46" fillId="368" borderId="0" applyNumberFormat="0" applyBorder="0" applyAlignment="0" applyProtection="0">
      <alignment vertical="center"/>
    </xf>
    <xf numFmtId="0" fontId="47"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8" fillId="368" borderId="0" applyNumberFormat="0" applyBorder="0" applyAlignment="0" applyProtection="0">
      <alignment vertical="center"/>
    </xf>
    <xf numFmtId="0" fontId="46" fillId="354" borderId="0" applyNumberFormat="0" applyBorder="0" applyAlignment="0" applyProtection="0">
      <alignment vertical="center"/>
    </xf>
    <xf numFmtId="0" fontId="47" fillId="354" borderId="0" applyNumberFormat="0" applyBorder="0" applyAlignment="0" applyProtection="0">
      <alignment vertical="center"/>
    </xf>
    <xf numFmtId="0" fontId="46" fillId="354" borderId="0" applyNumberFormat="0" applyBorder="0" applyAlignment="0" applyProtection="0">
      <alignment vertical="center"/>
    </xf>
    <xf numFmtId="0" fontId="46" fillId="354" borderId="0" applyNumberFormat="0" applyBorder="0" applyAlignment="0" applyProtection="0">
      <alignment vertical="center"/>
    </xf>
    <xf numFmtId="0" fontId="46" fillId="354" borderId="0" applyNumberFormat="0" applyBorder="0" applyAlignment="0" applyProtection="0">
      <alignment vertical="center"/>
    </xf>
    <xf numFmtId="0" fontId="48" fillId="369" borderId="0" applyNumberFormat="0" applyBorder="0" applyAlignment="0" applyProtection="0">
      <alignment vertical="center"/>
    </xf>
    <xf numFmtId="0" fontId="49" fillId="353" borderId="0" applyNumberFormat="0" applyBorder="0" applyAlignment="0" applyProtection="0">
      <alignment vertical="center"/>
    </xf>
    <xf numFmtId="0" fontId="49" fillId="372" borderId="0" applyNumberFormat="0" applyBorder="0" applyAlignment="0" applyProtection="0">
      <alignment vertical="center"/>
    </xf>
    <xf numFmtId="0" fontId="49" fillId="363" borderId="0" applyNumberFormat="0" applyBorder="0" applyAlignment="0" applyProtection="0">
      <alignment vertical="center"/>
    </xf>
    <xf numFmtId="0" fontId="49" fillId="245" borderId="0" applyNumberFormat="0" applyBorder="0" applyAlignment="0" applyProtection="0">
      <alignment vertical="center"/>
    </xf>
    <xf numFmtId="0" fontId="49" fillId="353" borderId="0" applyNumberFormat="0" applyBorder="0" applyAlignment="0" applyProtection="0">
      <alignment vertical="center"/>
    </xf>
    <xf numFmtId="0" fontId="49" fillId="360" borderId="0" applyNumberFormat="0" applyBorder="0" applyAlignment="0" applyProtection="0">
      <alignment vertical="center"/>
    </xf>
    <xf numFmtId="0" fontId="50" fillId="366" borderId="0" applyNumberFormat="0" applyBorder="0" applyAlignment="0" applyProtection="0">
      <alignment vertical="center"/>
    </xf>
    <xf numFmtId="0" fontId="51" fillId="366" borderId="0" applyNumberFormat="0" applyBorder="0" applyAlignment="0" applyProtection="0">
      <alignment vertical="center"/>
    </xf>
    <xf numFmtId="0" fontId="51" fillId="366"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51" fillId="366" borderId="0" applyNumberFormat="0" applyBorder="0" applyAlignment="0" applyProtection="0">
      <alignment vertical="center"/>
    </xf>
    <xf numFmtId="0" fontId="51" fillId="366" borderId="0" applyNumberFormat="0" applyBorder="0" applyAlignment="0" applyProtection="0">
      <alignment vertical="center"/>
    </xf>
    <xf numFmtId="0" fontId="50" fillId="360" borderId="0" applyNumberFormat="0" applyBorder="0" applyAlignment="0" applyProtection="0">
      <alignment vertical="center"/>
    </xf>
    <xf numFmtId="0" fontId="51" fillId="360" borderId="0" applyNumberFormat="0" applyBorder="0" applyAlignment="0" applyProtection="0">
      <alignment vertical="center"/>
    </xf>
    <xf numFmtId="0" fontId="51" fillId="360" borderId="0" applyNumberFormat="0" applyBorder="0" applyAlignment="0" applyProtection="0">
      <alignment vertical="center"/>
    </xf>
    <xf numFmtId="0" fontId="46" fillId="370" borderId="0" applyNumberFormat="0" applyBorder="0" applyAlignment="0" applyProtection="0">
      <alignment vertical="center"/>
    </xf>
    <xf numFmtId="0" fontId="46" fillId="370" borderId="0" applyNumberFormat="0" applyBorder="0" applyAlignment="0" applyProtection="0">
      <alignment vertical="center"/>
    </xf>
    <xf numFmtId="0" fontId="51" fillId="360" borderId="0" applyNumberFormat="0" applyBorder="0" applyAlignment="0" applyProtection="0">
      <alignment vertical="center"/>
    </xf>
    <xf numFmtId="0" fontId="51" fillId="360" borderId="0" applyNumberFormat="0" applyBorder="0" applyAlignment="0" applyProtection="0">
      <alignment vertical="center"/>
    </xf>
    <xf numFmtId="0" fontId="50" fillId="362" borderId="0" applyNumberFormat="0" applyBorder="0" applyAlignment="0" applyProtection="0">
      <alignment vertical="center"/>
    </xf>
    <xf numFmtId="0" fontId="51" fillId="362" borderId="0" applyNumberFormat="0" applyBorder="0" applyAlignment="0" applyProtection="0">
      <alignment vertical="center"/>
    </xf>
    <xf numFmtId="0" fontId="51" fillId="362"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51" fillId="362" borderId="0" applyNumberFormat="0" applyBorder="0" applyAlignment="0" applyProtection="0">
      <alignment vertical="center"/>
    </xf>
    <xf numFmtId="0" fontId="51" fillId="362" borderId="0" applyNumberFormat="0" applyBorder="0" applyAlignment="0" applyProtection="0">
      <alignment vertical="center"/>
    </xf>
    <xf numFmtId="0" fontId="50" fillId="367" borderId="0" applyNumberFormat="0" applyBorder="0" applyAlignment="0" applyProtection="0">
      <alignment vertical="center"/>
    </xf>
    <xf numFmtId="0" fontId="51" fillId="367" borderId="0" applyNumberFormat="0" applyBorder="0" applyAlignment="0" applyProtection="0">
      <alignment vertical="center"/>
    </xf>
    <xf numFmtId="0" fontId="51" fillId="367" borderId="0" applyNumberFormat="0" applyBorder="0" applyAlignment="0" applyProtection="0">
      <alignment vertical="center"/>
    </xf>
    <xf numFmtId="0" fontId="46" fillId="364" borderId="0" applyNumberFormat="0" applyBorder="0" applyAlignment="0" applyProtection="0">
      <alignment vertical="center"/>
    </xf>
    <xf numFmtId="0" fontId="46" fillId="364" borderId="0" applyNumberFormat="0" applyBorder="0" applyAlignment="0" applyProtection="0">
      <alignment vertical="center"/>
    </xf>
    <xf numFmtId="0" fontId="51" fillId="367" borderId="0" applyNumberFormat="0" applyBorder="0" applyAlignment="0" applyProtection="0">
      <alignment vertical="center"/>
    </xf>
    <xf numFmtId="0" fontId="51" fillId="367" borderId="0" applyNumberFormat="0" applyBorder="0" applyAlignment="0" applyProtection="0">
      <alignment vertical="center"/>
    </xf>
    <xf numFmtId="0" fontId="50" fillId="368" borderId="0" applyNumberFormat="0" applyBorder="0" applyAlignment="0" applyProtection="0">
      <alignment vertical="center"/>
    </xf>
    <xf numFmtId="0" fontId="51" fillId="368" borderId="0" applyNumberFormat="0" applyBorder="0" applyAlignment="0" applyProtection="0">
      <alignment vertical="center"/>
    </xf>
    <xf numFmtId="0" fontId="51"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51" fillId="368" borderId="0" applyNumberFormat="0" applyBorder="0" applyAlignment="0" applyProtection="0">
      <alignment vertical="center"/>
    </xf>
    <xf numFmtId="0" fontId="51" fillId="368" borderId="0" applyNumberFormat="0" applyBorder="0" applyAlignment="0" applyProtection="0">
      <alignment vertical="center"/>
    </xf>
    <xf numFmtId="0" fontId="50" fillId="369" borderId="0" applyNumberFormat="0" applyBorder="0" applyAlignment="0" applyProtection="0">
      <alignment vertical="center"/>
    </xf>
    <xf numFmtId="0" fontId="51" fillId="369" borderId="0" applyNumberFormat="0" applyBorder="0" applyAlignment="0" applyProtection="0">
      <alignment vertical="center"/>
    </xf>
    <xf numFmtId="0" fontId="51" fillId="369" borderId="0" applyNumberFormat="0" applyBorder="0" applyAlignment="0" applyProtection="0">
      <alignment vertical="center"/>
    </xf>
    <xf numFmtId="0" fontId="46" fillId="354" borderId="0" applyNumberFormat="0" applyBorder="0" applyAlignment="0" applyProtection="0">
      <alignment vertical="center"/>
    </xf>
    <xf numFmtId="0" fontId="46" fillId="354" borderId="0" applyNumberFormat="0" applyBorder="0" applyAlignment="0" applyProtection="0">
      <alignment vertical="center"/>
    </xf>
    <xf numFmtId="0" fontId="51" fillId="369" borderId="0" applyNumberFormat="0" applyBorder="0" applyAlignment="0" applyProtection="0">
      <alignment vertical="center"/>
    </xf>
    <xf numFmtId="0" fontId="51" fillId="369" borderId="0" applyNumberFormat="0" applyBorder="0" applyAlignment="0" applyProtection="0">
      <alignment vertical="center"/>
    </xf>
    <xf numFmtId="0" fontId="52" fillId="366" borderId="0" applyNumberFormat="0" applyBorder="0" applyAlignment="0" applyProtection="0">
      <alignment vertical="center"/>
    </xf>
    <xf numFmtId="0" fontId="52" fillId="366" borderId="0" applyNumberFormat="0" applyBorder="0" applyAlignment="0" applyProtection="0">
      <alignment vertical="center"/>
    </xf>
    <xf numFmtId="0" fontId="52" fillId="360" borderId="0" applyNumberFormat="0" applyBorder="0" applyAlignment="0" applyProtection="0">
      <alignment vertical="center"/>
    </xf>
    <xf numFmtId="0" fontId="52" fillId="360" borderId="0" applyNumberFormat="0" applyBorder="0" applyAlignment="0" applyProtection="0">
      <alignment vertical="center"/>
    </xf>
    <xf numFmtId="0" fontId="52" fillId="362" borderId="0" applyNumberFormat="0" applyBorder="0" applyAlignment="0" applyProtection="0">
      <alignment vertical="center"/>
    </xf>
    <xf numFmtId="0" fontId="52" fillId="362" borderId="0" applyNumberFormat="0" applyBorder="0" applyAlignment="0" applyProtection="0">
      <alignment vertical="center"/>
    </xf>
    <xf numFmtId="0" fontId="52" fillId="367" borderId="0" applyNumberFormat="0" applyBorder="0" applyAlignment="0" applyProtection="0">
      <alignment vertical="center"/>
    </xf>
    <xf numFmtId="0" fontId="52" fillId="367" borderId="0" applyNumberFormat="0" applyBorder="0" applyAlignment="0" applyProtection="0">
      <alignment vertical="center"/>
    </xf>
    <xf numFmtId="0" fontId="52" fillId="368" borderId="0" applyNumberFormat="0" applyBorder="0" applyAlignment="0" applyProtection="0">
      <alignment vertical="center"/>
    </xf>
    <xf numFmtId="0" fontId="52" fillId="368" borderId="0" applyNumberFormat="0" applyBorder="0" applyAlignment="0" applyProtection="0">
      <alignment vertical="center"/>
    </xf>
    <xf numFmtId="0" fontId="52" fillId="369" borderId="0" applyNumberFormat="0" applyBorder="0" applyAlignment="0" applyProtection="0">
      <alignment vertical="center"/>
    </xf>
    <xf numFmtId="0" fontId="52" fillId="369" borderId="0" applyNumberFormat="0" applyBorder="0" applyAlignment="0" applyProtection="0">
      <alignment vertical="center"/>
    </xf>
    <xf numFmtId="0" fontId="45" fillId="373" borderId="0" applyNumberFormat="0" applyBorder="0" applyAlignment="0" applyProtection="0"/>
    <xf numFmtId="0" fontId="45" fillId="374" borderId="0" applyNumberFormat="0" applyBorder="0" applyAlignment="0" applyProtection="0"/>
    <xf numFmtId="0" fontId="45" fillId="375" borderId="0" applyNumberFormat="0" applyBorder="0" applyAlignment="0" applyProtection="0"/>
    <xf numFmtId="0" fontId="45" fillId="367" borderId="0" applyNumberFormat="0" applyBorder="0" applyAlignment="0" applyProtection="0"/>
    <xf numFmtId="0" fontId="45" fillId="368" borderId="0" applyNumberFormat="0" applyBorder="0" applyAlignment="0" applyProtection="0"/>
    <xf numFmtId="0" fontId="45" fillId="372" borderId="0" applyNumberFormat="0" applyBorder="0" applyAlignment="0" applyProtection="0"/>
    <xf numFmtId="0" fontId="53" fillId="245" borderId="0" applyNumberFormat="0" applyBorder="0" applyAlignment="0" applyProtection="0"/>
    <xf numFmtId="0" fontId="54" fillId="364" borderId="84" applyNumberFormat="0" applyAlignment="0" applyProtection="0"/>
    <xf numFmtId="0" fontId="55" fillId="376" borderId="85" applyNumberFormat="0" applyAlignment="0" applyProtection="0"/>
    <xf numFmtId="41" fontId="56" fillId="0" borderId="0" applyFont="0" applyFill="0" applyBorder="0" applyAlignment="0" applyProtection="0"/>
    <xf numFmtId="43" fontId="56" fillId="0" borderId="0" applyFont="0" applyFill="0" applyBorder="0" applyAlignment="0" applyProtection="0"/>
    <xf numFmtId="176" fontId="56" fillId="0" borderId="0" applyFont="0" applyFill="0" applyBorder="0" applyAlignment="0" applyProtection="0"/>
    <xf numFmtId="177" fontId="56" fillId="0" borderId="0" applyFont="0" applyFill="0" applyBorder="0" applyAlignment="0" applyProtection="0"/>
    <xf numFmtId="0" fontId="57" fillId="0" borderId="0" applyNumberFormat="0" applyFill="0" applyBorder="0" applyAlignment="0" applyProtection="0"/>
    <xf numFmtId="0" fontId="58" fillId="244" borderId="0" applyNumberFormat="0" applyBorder="0" applyAlignment="0" applyProtection="0"/>
    <xf numFmtId="0" fontId="59" fillId="0" borderId="86" applyNumberFormat="0" applyFill="0" applyAlignment="0" applyProtection="0"/>
    <xf numFmtId="0" fontId="60" fillId="0" borderId="87" applyNumberFormat="0" applyFill="0" applyAlignment="0" applyProtection="0"/>
    <xf numFmtId="0" fontId="61" fillId="0" borderId="88" applyNumberFormat="0" applyFill="0" applyAlignment="0" applyProtection="0"/>
    <xf numFmtId="0" fontId="61" fillId="0" borderId="0" applyNumberFormat="0" applyFill="0" applyBorder="0" applyAlignment="0" applyProtection="0"/>
    <xf numFmtId="0" fontId="62" fillId="354" borderId="84" applyNumberFormat="0" applyAlignment="0" applyProtection="0"/>
    <xf numFmtId="0" fontId="63" fillId="0" borderId="89" applyNumberFormat="0" applyFill="0" applyAlignment="0" applyProtection="0"/>
    <xf numFmtId="0" fontId="64" fillId="365" borderId="0" applyNumberFormat="0" applyBorder="0" applyAlignment="0" applyProtection="0"/>
    <xf numFmtId="0" fontId="65" fillId="0" borderId="0"/>
    <xf numFmtId="0" fontId="66" fillId="0" borderId="0">
      <alignment vertical="center"/>
    </xf>
    <xf numFmtId="0" fontId="31" fillId="0" borderId="0">
      <alignment vertical="center"/>
    </xf>
    <xf numFmtId="0" fontId="31" fillId="0" borderId="0">
      <alignment vertical="center"/>
    </xf>
    <xf numFmtId="0" fontId="67" fillId="0" borderId="0"/>
    <xf numFmtId="0" fontId="68" fillId="364" borderId="90" applyNumberFormat="0" applyAlignment="0" applyProtection="0"/>
    <xf numFmtId="0" fontId="69" fillId="0" borderId="0" applyNumberFormat="0" applyFill="0" applyBorder="0" applyAlignment="0" applyProtection="0"/>
    <xf numFmtId="0" fontId="70" fillId="0" borderId="91" applyNumberFormat="0" applyFill="0" applyAlignment="0" applyProtection="0"/>
    <xf numFmtId="0" fontId="71" fillId="0" borderId="0" applyNumberFormat="0" applyFill="0" applyBorder="0" applyAlignment="0" applyProtection="0"/>
    <xf numFmtId="0" fontId="46" fillId="368" borderId="0" applyNumberFormat="0" applyBorder="0" applyAlignment="0" applyProtection="0">
      <alignment vertical="center"/>
    </xf>
    <xf numFmtId="0" fontId="47"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8" fillId="373" borderId="0" applyNumberFormat="0" applyBorder="0" applyAlignment="0" applyProtection="0">
      <alignment vertical="center"/>
    </xf>
    <xf numFmtId="0" fontId="46" fillId="374" borderId="0" applyNumberFormat="0" applyBorder="0" applyAlignment="0" applyProtection="0">
      <alignment vertical="center"/>
    </xf>
    <xf numFmtId="0" fontId="47" fillId="374" borderId="0" applyNumberFormat="0" applyBorder="0" applyAlignment="0" applyProtection="0">
      <alignment vertical="center"/>
    </xf>
    <xf numFmtId="0" fontId="46" fillId="374" borderId="0" applyNumberFormat="0" applyBorder="0" applyAlignment="0" applyProtection="0">
      <alignment vertical="center"/>
    </xf>
    <xf numFmtId="0" fontId="46" fillId="374" borderId="0" applyNumberFormat="0" applyBorder="0" applyAlignment="0" applyProtection="0">
      <alignment vertical="center"/>
    </xf>
    <xf numFmtId="0" fontId="46" fillId="374" borderId="0" applyNumberFormat="0" applyBorder="0" applyAlignment="0" applyProtection="0">
      <alignment vertical="center"/>
    </xf>
    <xf numFmtId="0" fontId="48" fillId="374" borderId="0" applyNumberFormat="0" applyBorder="0" applyAlignment="0" applyProtection="0">
      <alignment vertical="center"/>
    </xf>
    <xf numFmtId="0" fontId="46" fillId="371" borderId="0" applyNumberFormat="0" applyBorder="0" applyAlignment="0" applyProtection="0">
      <alignment vertical="center"/>
    </xf>
    <xf numFmtId="0" fontId="47" fillId="371"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48" fillId="375" borderId="0" applyNumberFormat="0" applyBorder="0" applyAlignment="0" applyProtection="0">
      <alignment vertical="center"/>
    </xf>
    <xf numFmtId="0" fontId="46" fillId="377" borderId="0" applyNumberFormat="0" applyBorder="0" applyAlignment="0" applyProtection="0">
      <alignment vertical="center"/>
    </xf>
    <xf numFmtId="0" fontId="47" fillId="377" borderId="0" applyNumberFormat="0" applyBorder="0" applyAlignment="0" applyProtection="0">
      <alignment vertical="center"/>
    </xf>
    <xf numFmtId="0" fontId="46" fillId="377" borderId="0" applyNumberFormat="0" applyBorder="0" applyAlignment="0" applyProtection="0">
      <alignment vertical="center"/>
    </xf>
    <xf numFmtId="0" fontId="46" fillId="377" borderId="0" applyNumberFormat="0" applyBorder="0" applyAlignment="0" applyProtection="0">
      <alignment vertical="center"/>
    </xf>
    <xf numFmtId="0" fontId="46" fillId="377" borderId="0" applyNumberFormat="0" applyBorder="0" applyAlignment="0" applyProtection="0">
      <alignment vertical="center"/>
    </xf>
    <xf numFmtId="0" fontId="48" fillId="367" borderId="0" applyNumberFormat="0" applyBorder="0" applyAlignment="0" applyProtection="0">
      <alignment vertical="center"/>
    </xf>
    <xf numFmtId="0" fontId="46" fillId="368" borderId="0" applyNumberFormat="0" applyBorder="0" applyAlignment="0" applyProtection="0">
      <alignment vertical="center"/>
    </xf>
    <xf numFmtId="0" fontId="47"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48" fillId="368" borderId="0" applyNumberFormat="0" applyBorder="0" applyAlignment="0" applyProtection="0">
      <alignment vertical="center"/>
    </xf>
    <xf numFmtId="0" fontId="46" fillId="378" borderId="0" applyNumberFormat="0" applyBorder="0" applyAlignment="0" applyProtection="0">
      <alignment vertical="center"/>
    </xf>
    <xf numFmtId="0" fontId="47" fillId="378" borderId="0" applyNumberFormat="0" applyBorder="0" applyAlignment="0" applyProtection="0">
      <alignment vertical="center"/>
    </xf>
    <xf numFmtId="0" fontId="46" fillId="378" borderId="0" applyNumberFormat="0" applyBorder="0" applyAlignment="0" applyProtection="0">
      <alignment vertical="center"/>
    </xf>
    <xf numFmtId="0" fontId="46" fillId="378" borderId="0" applyNumberFormat="0" applyBorder="0" applyAlignment="0" applyProtection="0">
      <alignment vertical="center"/>
    </xf>
    <xf numFmtId="0" fontId="46" fillId="378" borderId="0" applyNumberFormat="0" applyBorder="0" applyAlignment="0" applyProtection="0">
      <alignment vertical="center"/>
    </xf>
    <xf numFmtId="0" fontId="48" fillId="372" borderId="0" applyNumberFormat="0" applyBorder="0" applyAlignment="0" applyProtection="0">
      <alignment vertical="center"/>
    </xf>
    <xf numFmtId="0" fontId="72"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3" fillId="376" borderId="85" applyNumberFormat="0" applyAlignment="0" applyProtection="0">
      <alignment vertical="center"/>
    </xf>
    <xf numFmtId="0" fontId="12" fillId="376" borderId="85" applyNumberFormat="0" applyAlignment="0" applyProtection="0">
      <alignment vertical="center"/>
    </xf>
    <xf numFmtId="0" fontId="13" fillId="376" borderId="85" applyNumberFormat="0" applyAlignment="0" applyProtection="0">
      <alignment vertical="center"/>
    </xf>
    <xf numFmtId="0" fontId="13" fillId="376" borderId="85" applyNumberFormat="0" applyAlignment="0" applyProtection="0">
      <alignment vertical="center"/>
    </xf>
    <xf numFmtId="0" fontId="13" fillId="376" borderId="85" applyNumberFormat="0" applyAlignment="0" applyProtection="0">
      <alignment vertical="center"/>
    </xf>
    <xf numFmtId="0" fontId="75" fillId="376" borderId="85" applyNumberFormat="0" applyAlignment="0" applyProtection="0">
      <alignment vertical="center"/>
    </xf>
    <xf numFmtId="0" fontId="76" fillId="365" borderId="0" applyNumberFormat="0" applyBorder="0" applyAlignment="0" applyProtection="0">
      <alignment vertical="center"/>
    </xf>
    <xf numFmtId="0" fontId="77" fillId="365" borderId="0" applyNumberFormat="0" applyBorder="0" applyAlignment="0" applyProtection="0">
      <alignment vertical="center"/>
    </xf>
    <xf numFmtId="0" fontId="76" fillId="365" borderId="0" applyNumberFormat="0" applyBorder="0" applyAlignment="0" applyProtection="0">
      <alignment vertical="center"/>
    </xf>
    <xf numFmtId="0" fontId="76" fillId="365" borderId="0" applyNumberFormat="0" applyBorder="0" applyAlignment="0" applyProtection="0">
      <alignment vertical="center"/>
    </xf>
    <xf numFmtId="0" fontId="76" fillId="365" borderId="0" applyNumberFormat="0" applyBorder="0" applyAlignment="0" applyProtection="0">
      <alignment vertical="center"/>
    </xf>
    <xf numFmtId="0" fontId="78" fillId="365" borderId="0" applyNumberFormat="0" applyBorder="0" applyAlignment="0" applyProtection="0">
      <alignment vertical="center"/>
    </xf>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27" fillId="0" borderId="0" applyFont="0" applyFill="0" applyBorder="0" applyAlignment="0" applyProtection="0"/>
    <xf numFmtId="9" fontId="30" fillId="0" borderId="0" applyFont="0" applyFill="0" applyBorder="0" applyAlignment="0" applyProtection="0"/>
    <xf numFmtId="0" fontId="79"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1"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3" fillId="0" borderId="0" applyNumberFormat="0" applyFill="0" applyBorder="0" applyAlignment="0" applyProtection="0">
      <alignment vertical="top"/>
      <protection locked="0"/>
    </xf>
    <xf numFmtId="0" fontId="84" fillId="0" borderId="0" applyNumberFormat="0" applyFill="0" applyBorder="0" applyAlignment="0" applyProtection="0">
      <alignment vertical="top"/>
      <protection locked="0"/>
    </xf>
    <xf numFmtId="0" fontId="84" fillId="0" borderId="0" applyNumberFormat="0" applyFill="0" applyBorder="0" applyAlignment="0" applyProtection="0">
      <alignment vertical="top"/>
      <protection locked="0"/>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5" fillId="365" borderId="92" applyNumberFormat="0" applyFont="0" applyAlignment="0" applyProtection="0">
      <alignment vertical="center"/>
    </xf>
    <xf numFmtId="0" fontId="86" fillId="0" borderId="89" applyNumberFormat="0" applyFill="0" applyAlignment="0" applyProtection="0">
      <alignment vertical="center"/>
    </xf>
    <xf numFmtId="0" fontId="87"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8"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49" fillId="379" borderId="0" applyNumberFormat="0" applyBorder="0" applyAlignment="0" applyProtection="0">
      <alignment vertical="center"/>
    </xf>
    <xf numFmtId="0" fontId="49" fillId="372" borderId="0" applyNumberFormat="0" applyBorder="0" applyAlignment="0" applyProtection="0">
      <alignment vertical="center"/>
    </xf>
    <xf numFmtId="0" fontId="49" fillId="363" borderId="0" applyNumberFormat="0" applyBorder="0" applyAlignment="0" applyProtection="0">
      <alignment vertical="center"/>
    </xf>
    <xf numFmtId="0" fontId="49" fillId="377" borderId="0" applyNumberFormat="0" applyBorder="0" applyAlignment="0" applyProtection="0">
      <alignment vertical="center"/>
    </xf>
    <xf numFmtId="0" fontId="49" fillId="368" borderId="0" applyNumberFormat="0" applyBorder="0" applyAlignment="0" applyProtection="0">
      <alignment vertical="center"/>
    </xf>
    <xf numFmtId="0" fontId="49" fillId="374" borderId="0" applyNumberFormat="0" applyBorder="0" applyAlignment="0" applyProtection="0">
      <alignment vertical="center"/>
    </xf>
    <xf numFmtId="0" fontId="89" fillId="0" borderId="0" applyNumberFormat="0" applyFill="0" applyBorder="0" applyAlignment="0" applyProtection="0">
      <alignment vertical="center"/>
    </xf>
    <xf numFmtId="0" fontId="90" fillId="355" borderId="84" applyNumberFormat="0" applyAlignment="0" applyProtection="0">
      <alignment vertical="center"/>
    </xf>
    <xf numFmtId="0" fontId="91" fillId="352" borderId="0" applyNumberFormat="0" applyBorder="0" applyAlignment="0" applyProtection="0">
      <alignment vertical="center"/>
    </xf>
    <xf numFmtId="0" fontId="92" fillId="361" borderId="92" applyNumberFormat="0" applyFont="0" applyAlignment="0" applyProtection="0">
      <alignment vertical="center"/>
    </xf>
    <xf numFmtId="0" fontId="92" fillId="361" borderId="92" applyNumberFormat="0" applyFont="0" applyAlignment="0" applyProtection="0">
      <alignment vertical="center"/>
    </xf>
    <xf numFmtId="9" fontId="93" fillId="0" borderId="0" applyFont="0" applyFill="0" applyBorder="0" applyAlignment="0" applyProtection="0"/>
    <xf numFmtId="0" fontId="94" fillId="365" borderId="0" applyNumberFormat="0" applyBorder="0" applyAlignment="0" applyProtection="0">
      <alignment vertical="center"/>
    </xf>
    <xf numFmtId="0" fontId="95" fillId="0" borderId="0" applyNumberFormat="0" applyFill="0" applyBorder="0" applyAlignment="0" applyProtection="0">
      <alignment vertical="center"/>
    </xf>
    <xf numFmtId="0" fontId="96" fillId="376" borderId="85" applyNumberFormat="0" applyAlignment="0" applyProtection="0">
      <alignment vertical="center"/>
    </xf>
    <xf numFmtId="216" fontId="97" fillId="0" borderId="0" applyFont="0" applyFill="0" applyBorder="0" applyAlignment="0" applyProtection="0"/>
    <xf numFmtId="216" fontId="97" fillId="0" borderId="0" applyFont="0" applyFill="0" applyBorder="0" applyAlignment="0" applyProtection="0"/>
    <xf numFmtId="0" fontId="89" fillId="0" borderId="93" applyNumberFormat="0" applyFill="0" applyAlignment="0" applyProtection="0">
      <alignment vertical="center"/>
    </xf>
    <xf numFmtId="0" fontId="98" fillId="0" borderId="94" applyNumberFormat="0" applyFill="0" applyAlignment="0" applyProtection="0">
      <alignment vertical="center"/>
    </xf>
    <xf numFmtId="0" fontId="99" fillId="365" borderId="84" applyNumberFormat="0" applyAlignment="0" applyProtection="0">
      <alignment vertical="center"/>
    </xf>
    <xf numFmtId="0" fontId="100" fillId="0" borderId="0" applyNumberFormat="0" applyFill="0" applyBorder="0" applyAlignment="0" applyProtection="0">
      <alignment vertical="center"/>
    </xf>
    <xf numFmtId="0" fontId="101" fillId="0" borderId="95" applyNumberFormat="0" applyFill="0" applyAlignment="0" applyProtection="0">
      <alignment vertical="center"/>
    </xf>
    <xf numFmtId="0" fontId="102" fillId="0" borderId="96" applyNumberFormat="0" applyFill="0" applyAlignment="0" applyProtection="0">
      <alignment vertical="center"/>
    </xf>
    <xf numFmtId="0" fontId="103" fillId="0" borderId="97" applyNumberFormat="0" applyFill="0" applyAlignment="0" applyProtection="0">
      <alignment vertical="center"/>
    </xf>
    <xf numFmtId="0" fontId="103" fillId="0" borderId="0" applyNumberFormat="0" applyFill="0" applyBorder="0" applyAlignment="0" applyProtection="0">
      <alignment vertical="center"/>
    </xf>
    <xf numFmtId="0" fontId="104" fillId="353" borderId="0" applyNumberFormat="0" applyBorder="0" applyAlignment="0" applyProtection="0">
      <alignment vertical="center"/>
    </xf>
    <xf numFmtId="0" fontId="105" fillId="355" borderId="90" applyNumberFormat="0" applyAlignment="0" applyProtection="0">
      <alignment vertical="center"/>
    </xf>
    <xf numFmtId="41" fontId="106" fillId="0" borderId="0" applyFont="0" applyFill="0" applyBorder="0" applyAlignment="0" applyProtection="0"/>
    <xf numFmtId="43" fontId="107" fillId="0" borderId="0" applyFont="0" applyFill="0" applyBorder="0" applyAlignment="0" applyProtection="0"/>
    <xf numFmtId="0" fontId="97" fillId="0" borderId="0"/>
    <xf numFmtId="0" fontId="97" fillId="0" borderId="0"/>
    <xf numFmtId="0" fontId="97" fillId="0" borderId="0"/>
    <xf numFmtId="0" fontId="97" fillId="0" borderId="0"/>
    <xf numFmtId="0" fontId="93" fillId="0" borderId="0"/>
    <xf numFmtId="0" fontId="93" fillId="0" borderId="0"/>
    <xf numFmtId="0" fontId="93" fillId="0" borderId="0">
      <alignment vertical="center"/>
    </xf>
    <xf numFmtId="0" fontId="106" fillId="0" borderId="0"/>
    <xf numFmtId="0" fontId="92" fillId="0" borderId="0">
      <alignment vertical="center"/>
    </xf>
    <xf numFmtId="0" fontId="97" fillId="0" borderId="0"/>
    <xf numFmtId="0" fontId="108" fillId="365" borderId="0" applyNumberFormat="0" applyBorder="0" applyAlignment="0" applyProtection="0">
      <alignment vertical="center"/>
    </xf>
    <xf numFmtId="0" fontId="108" fillId="365" borderId="0" applyNumberFormat="0" applyBorder="0" applyAlignment="0" applyProtection="0">
      <alignment vertical="center"/>
    </xf>
    <xf numFmtId="0" fontId="44" fillId="361" borderId="92" applyNumberFormat="0" applyFont="0" applyAlignment="0" applyProtection="0">
      <alignment vertical="center"/>
    </xf>
    <xf numFmtId="0" fontId="44" fillId="361" borderId="92" applyNumberFormat="0" applyFont="0" applyAlignment="0" applyProtection="0">
      <alignment vertical="center"/>
    </xf>
    <xf numFmtId="0" fontId="44" fillId="361" borderId="92" applyNumberFormat="0" applyFont="0" applyAlignment="0" applyProtection="0">
      <alignment vertical="center"/>
    </xf>
    <xf numFmtId="0" fontId="44" fillId="361" borderId="92" applyNumberFormat="0" applyFon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1" fillId="355" borderId="90" applyNumberFormat="0" applyAlignment="0" applyProtection="0">
      <alignment vertical="center"/>
    </xf>
    <xf numFmtId="0" fontId="112" fillId="355" borderId="90" applyNumberFormat="0" applyAlignment="0" applyProtection="0">
      <alignment vertical="center"/>
    </xf>
    <xf numFmtId="0" fontId="111" fillId="355" borderId="90" applyNumberFormat="0" applyAlignment="0" applyProtection="0">
      <alignment vertical="center"/>
    </xf>
    <xf numFmtId="0" fontId="111" fillId="355" borderId="90" applyNumberFormat="0" applyAlignment="0" applyProtection="0">
      <alignment vertical="center"/>
    </xf>
    <xf numFmtId="0" fontId="112" fillId="355" borderId="90" applyNumberFormat="0" applyAlignment="0" applyProtection="0">
      <alignment vertical="center"/>
    </xf>
    <xf numFmtId="0" fontId="112" fillId="355" borderId="90" applyNumberFormat="0" applyAlignment="0" applyProtection="0">
      <alignment vertical="center"/>
    </xf>
    <xf numFmtId="0" fontId="112" fillId="355" borderId="90" applyNumberFormat="0" applyAlignment="0" applyProtection="0">
      <alignment vertical="center"/>
    </xf>
    <xf numFmtId="0" fontId="111" fillId="355" borderId="90" applyNumberFormat="0" applyAlignment="0" applyProtection="0">
      <alignment vertical="center"/>
    </xf>
    <xf numFmtId="0" fontId="111" fillId="355" borderId="90" applyNumberFormat="0" applyAlignment="0" applyProtection="0">
      <alignment vertical="center"/>
    </xf>
    <xf numFmtId="0" fontId="112" fillId="355" borderId="90" applyNumberFormat="0" applyAlignment="0" applyProtection="0">
      <alignment vertical="center"/>
    </xf>
    <xf numFmtId="0" fontId="112" fillId="355" borderId="90" applyNumberFormat="0" applyAlignment="0" applyProtection="0">
      <alignment vertical="center"/>
    </xf>
    <xf numFmtId="0" fontId="111" fillId="355" borderId="90" applyNumberFormat="0" applyAlignment="0" applyProtection="0">
      <alignment vertical="center"/>
    </xf>
    <xf numFmtId="0" fontId="111" fillId="355" borderId="90" applyNumberFormat="0" applyAlignment="0" applyProtection="0">
      <alignment vertical="center"/>
    </xf>
    <xf numFmtId="0" fontId="111" fillId="355" borderId="90" applyNumberFormat="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8" fillId="0" borderId="0" applyFont="0" applyFill="0" applyBorder="0" applyAlignment="0" applyProtection="0">
      <alignment vertical="center"/>
    </xf>
    <xf numFmtId="43" fontId="8" fillId="0" borderId="0" applyFont="0" applyFill="0" applyBorder="0" applyAlignment="0" applyProtection="0">
      <alignment vertical="center"/>
    </xf>
    <xf numFmtId="43" fontId="8" fillId="0" borderId="0" applyFont="0" applyFill="0" applyBorder="0" applyAlignment="0" applyProtection="0">
      <alignment vertical="center"/>
    </xf>
    <xf numFmtId="43" fontId="8"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27"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27"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3" fontId="30" fillId="0" borderId="0" applyFont="0" applyFill="0" applyBorder="0" applyAlignment="0" applyProtection="0">
      <alignment vertical="center"/>
    </xf>
    <xf numFmtId="40" fontId="10" fillId="0" borderId="0" applyFont="0" applyFill="0" applyBorder="0" applyAlignment="0" applyProtection="0">
      <alignment vertical="center"/>
    </xf>
    <xf numFmtId="43"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30" fillId="0" borderId="0" applyFont="0" applyFill="0" applyBorder="0" applyAlignment="0" applyProtection="0">
      <alignment vertical="center"/>
    </xf>
    <xf numFmtId="38" fontId="113"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27"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27"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27" fillId="0" borderId="0" applyFont="0" applyFill="0" applyBorder="0" applyAlignment="0" applyProtection="0">
      <alignment vertical="center"/>
    </xf>
    <xf numFmtId="41" fontId="30"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113" fillId="0" borderId="0" applyFont="0" applyFill="0" applyBorder="0" applyAlignment="0" applyProtection="0">
      <alignment vertical="center"/>
    </xf>
    <xf numFmtId="0" fontId="114" fillId="0" borderId="91" applyNumberFormat="0" applyFill="0" applyAlignment="0" applyProtection="0">
      <alignment vertical="center"/>
    </xf>
    <xf numFmtId="0" fontId="114" fillId="0" borderId="91" applyNumberFormat="0" applyFill="0" applyAlignment="0" applyProtection="0">
      <alignment vertical="center"/>
    </xf>
    <xf numFmtId="0" fontId="114" fillId="0" borderId="91" applyNumberFormat="0" applyFill="0" applyAlignment="0" applyProtection="0">
      <alignment vertical="center"/>
    </xf>
    <xf numFmtId="0" fontId="114" fillId="0" borderId="91" applyNumberFormat="0" applyFill="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5" fillId="245"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7" fillId="244" borderId="0" applyNumberFormat="0" applyBorder="0" applyAlignment="0" applyProtection="0">
      <alignment vertical="center"/>
    </xf>
    <xf numFmtId="0" fontId="117"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9" fillId="244" borderId="0" applyNumberFormat="0" applyBorder="0" applyAlignment="0" applyProtection="0">
      <alignment vertical="center"/>
    </xf>
    <xf numFmtId="0" fontId="119"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8" fillId="244" borderId="0" applyNumberFormat="0" applyBorder="0" applyAlignment="0" applyProtection="0">
      <alignment vertical="center"/>
    </xf>
    <xf numFmtId="0" fontId="120"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118" fillId="244" borderId="0" applyNumberFormat="0" applyBorder="0" applyAlignment="0" applyProtection="0">
      <alignment vertical="center"/>
    </xf>
    <xf numFmtId="0" fontId="120"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20"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20" fillId="244" borderId="0" applyNumberFormat="0" applyBorder="0" applyAlignment="0" applyProtection="0">
      <alignment vertical="center"/>
    </xf>
    <xf numFmtId="0" fontId="120"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11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116"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0" fontId="28" fillId="244" borderId="0" applyNumberFormat="0" applyBorder="0" applyAlignment="0" applyProtection="0">
      <alignment vertical="center"/>
    </xf>
    <xf numFmtId="178" fontId="113" fillId="0" borderId="98">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2" fillId="245" borderId="0" applyNumberFormat="0" applyBorder="0" applyAlignment="0" applyProtection="0">
      <alignment vertical="center"/>
    </xf>
    <xf numFmtId="0" fontId="122"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3"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4" fillId="245" borderId="0" applyNumberFormat="0" applyBorder="0" applyAlignment="0" applyProtection="0">
      <alignment vertical="center"/>
    </xf>
    <xf numFmtId="0" fontId="124"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3" fillId="245" borderId="0" applyNumberFormat="0" applyBorder="0" applyAlignment="0" applyProtection="0">
      <alignment vertical="center"/>
    </xf>
    <xf numFmtId="0" fontId="125"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123" fillId="245" borderId="0" applyNumberFormat="0" applyBorder="0" applyAlignment="0" applyProtection="0">
      <alignment vertical="center"/>
    </xf>
    <xf numFmtId="0" fontId="125"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5"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5" fillId="245" borderId="0" applyNumberFormat="0" applyBorder="0" applyAlignment="0" applyProtection="0">
      <alignment vertical="center"/>
    </xf>
    <xf numFmtId="0" fontId="125"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123"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121"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29" fillId="245" borderId="0" applyNumberFormat="0" applyBorder="0" applyAlignment="0" applyProtection="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xf numFmtId="0" fontId="8" fillId="0" borderId="0">
      <alignment vertical="center"/>
    </xf>
    <xf numFmtId="0" fontId="1" fillId="0" borderId="0"/>
    <xf numFmtId="0" fontId="1" fillId="0" borderId="0"/>
    <xf numFmtId="0" fontId="1" fillId="0" borderId="0"/>
    <xf numFmtId="0" fontId="1" fillId="0" borderId="0"/>
    <xf numFmtId="0" fontId="85" fillId="0" borderId="0"/>
    <xf numFmtId="0" fontId="10" fillId="0" borderId="0">
      <alignment vertical="center"/>
    </xf>
    <xf numFmtId="0" fontId="1" fillId="0" borderId="0"/>
    <xf numFmtId="0" fontId="37" fillId="0" borderId="0">
      <alignment vertical="center"/>
    </xf>
    <xf numFmtId="0" fontId="37" fillId="0" borderId="0">
      <alignment vertical="center"/>
    </xf>
    <xf numFmtId="0" fontId="37" fillId="0" borderId="0">
      <alignment vertical="center"/>
    </xf>
    <xf numFmtId="0" fontId="3" fillId="0" borderId="0">
      <alignment vertical="center"/>
    </xf>
    <xf numFmtId="0" fontId="8" fillId="0" borderId="0">
      <alignment vertical="center"/>
    </xf>
    <xf numFmtId="0" fontId="8" fillId="0" borderId="0">
      <alignment vertical="center"/>
    </xf>
    <xf numFmtId="0" fontId="10" fillId="0" borderId="0">
      <alignment vertical="center"/>
    </xf>
    <xf numFmtId="0" fontId="93" fillId="0" borderId="0">
      <alignment vertical="center"/>
    </xf>
    <xf numFmtId="0" fontId="1" fillId="0" borderId="0"/>
    <xf numFmtId="0" fontId="1" fillId="0" borderId="0"/>
    <xf numFmtId="0" fontId="1" fillId="0" borderId="0"/>
    <xf numFmtId="0" fontId="3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7" fillId="0" borderId="0">
      <alignment vertical="center"/>
    </xf>
    <xf numFmtId="0" fontId="3"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 fillId="0" borderId="0">
      <alignment vertical="center"/>
    </xf>
    <xf numFmtId="0" fontId="30" fillId="0" borderId="0">
      <alignment vertical="center"/>
    </xf>
    <xf numFmtId="0" fontId="37" fillId="0" borderId="0">
      <alignment vertical="center"/>
    </xf>
    <xf numFmtId="0" fontId="126"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10" fillId="0" borderId="0">
      <alignment vertical="center"/>
    </xf>
    <xf numFmtId="0" fontId="1" fillId="0" borderId="0"/>
    <xf numFmtId="0" fontId="30" fillId="0" borderId="0">
      <alignment vertical="center"/>
    </xf>
    <xf numFmtId="0" fontId="3" fillId="0" borderId="0">
      <alignment vertical="center"/>
    </xf>
    <xf numFmtId="0" fontId="8" fillId="0" borderId="0">
      <alignment vertical="center"/>
    </xf>
    <xf numFmtId="0" fontId="11" fillId="0" borderId="0">
      <alignment vertical="center"/>
    </xf>
    <xf numFmtId="0" fontId="8" fillId="0" borderId="0">
      <alignment vertical="center"/>
    </xf>
    <xf numFmtId="0" fontId="11" fillId="0" borderId="0">
      <alignment vertical="center"/>
    </xf>
    <xf numFmtId="0" fontId="31" fillId="0" borderId="0"/>
    <xf numFmtId="0" fontId="31" fillId="0" borderId="0"/>
    <xf numFmtId="0" fontId="31" fillId="0" borderId="0"/>
    <xf numFmtId="0" fontId="31" fillId="0" borderId="0"/>
    <xf numFmtId="0" fontId="27" fillId="0" borderId="0">
      <alignment vertical="center"/>
    </xf>
    <xf numFmtId="0" fontId="27" fillId="0" borderId="0">
      <alignment vertical="center"/>
    </xf>
    <xf numFmtId="0" fontId="11" fillId="0" borderId="0">
      <alignment vertical="center"/>
    </xf>
    <xf numFmtId="0" fontId="127" fillId="0" borderId="0"/>
    <xf numFmtId="0" fontId="128" fillId="0" borderId="0"/>
    <xf numFmtId="0" fontId="37" fillId="0" borderId="0">
      <alignment vertical="center"/>
    </xf>
    <xf numFmtId="0" fontId="8" fillId="0" borderId="0">
      <alignment vertical="center"/>
    </xf>
    <xf numFmtId="0" fontId="1" fillId="0" borderId="0"/>
    <xf numFmtId="0" fontId="31" fillId="0" borderId="0">
      <alignment vertical="center"/>
    </xf>
    <xf numFmtId="0" fontId="31" fillId="0" borderId="0">
      <alignment vertical="center"/>
    </xf>
    <xf numFmtId="0" fontId="1" fillId="0" borderId="0"/>
    <xf numFmtId="0" fontId="93"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30" fillId="0" borderId="0">
      <alignment vertical="center"/>
    </xf>
    <xf numFmtId="0" fontId="31" fillId="0" borderId="0">
      <alignment vertical="center"/>
    </xf>
    <xf numFmtId="0" fontId="31" fillId="0" borderId="0">
      <alignment vertical="center"/>
    </xf>
    <xf numFmtId="0" fontId="27" fillId="0" borderId="0">
      <alignment vertical="center"/>
    </xf>
    <xf numFmtId="0" fontId="27" fillId="0" borderId="0">
      <alignment vertical="center"/>
    </xf>
    <xf numFmtId="0" fontId="11" fillId="0" borderId="0">
      <alignment vertical="center"/>
    </xf>
    <xf numFmtId="0" fontId="85" fillId="0" borderId="0"/>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85" fillId="0" borderId="0"/>
    <xf numFmtId="0" fontId="27" fillId="0" borderId="0">
      <alignment vertical="center"/>
    </xf>
    <xf numFmtId="0" fontId="27" fillId="0" borderId="0">
      <alignment vertical="center"/>
    </xf>
    <xf numFmtId="0" fontId="85" fillId="0" borderId="0"/>
    <xf numFmtId="0" fontId="27" fillId="0" borderId="0">
      <alignment vertical="center"/>
    </xf>
    <xf numFmtId="0" fontId="27" fillId="0" borderId="0">
      <alignment vertical="center"/>
    </xf>
    <xf numFmtId="0" fontId="30" fillId="0" borderId="0">
      <alignment vertical="center"/>
    </xf>
    <xf numFmtId="0" fontId="85" fillId="0" borderId="0"/>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127" fillId="0" borderId="0"/>
    <xf numFmtId="0" fontId="127" fillId="0" borderId="0"/>
    <xf numFmtId="0" fontId="10" fillId="0" borderId="0">
      <alignment vertical="center"/>
    </xf>
    <xf numFmtId="0" fontId="10" fillId="0" borderId="0">
      <alignment vertical="center"/>
    </xf>
    <xf numFmtId="0" fontId="127" fillId="0" borderId="0">
      <alignment vertical="center"/>
    </xf>
    <xf numFmtId="0" fontId="127" fillId="0" borderId="0">
      <alignment vertical="center"/>
    </xf>
    <xf numFmtId="0" fontId="85"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127" fillId="0" borderId="0">
      <alignment vertical="center"/>
    </xf>
    <xf numFmtId="0" fontId="27" fillId="0" borderId="0">
      <alignment vertical="center"/>
    </xf>
    <xf numFmtId="0" fontId="27" fillId="0" borderId="0">
      <alignment vertical="center"/>
    </xf>
    <xf numFmtId="0" fontId="1" fillId="0" borderId="0"/>
    <xf numFmtId="0" fontId="1" fillId="0" borderId="0"/>
    <xf numFmtId="0" fontId="10" fillId="0" borderId="0">
      <alignment vertical="center"/>
    </xf>
    <xf numFmtId="0" fontId="127" fillId="0" borderId="0">
      <alignment vertical="center"/>
    </xf>
    <xf numFmtId="0" fontId="127" fillId="0" borderId="0">
      <alignment vertical="center"/>
    </xf>
    <xf numFmtId="0" fontId="127" fillId="0" borderId="0">
      <alignment vertical="center"/>
    </xf>
    <xf numFmtId="0" fontId="27" fillId="0" borderId="0">
      <alignment vertical="center"/>
    </xf>
    <xf numFmtId="0" fontId="27" fillId="0" borderId="0">
      <alignment vertical="center"/>
    </xf>
    <xf numFmtId="0" fontId="56" fillId="0" borderId="0" applyNumberFormat="0" applyFont="0" applyFill="0" applyBorder="0" applyAlignment="0" applyProtection="0"/>
    <xf numFmtId="0" fontId="8" fillId="0" borderId="0">
      <alignment vertical="center"/>
    </xf>
    <xf numFmtId="0" fontId="11" fillId="0" borderId="0">
      <alignment vertical="center"/>
    </xf>
    <xf numFmtId="0" fontId="11" fillId="0" borderId="0">
      <alignment vertical="center"/>
    </xf>
    <xf numFmtId="0" fontId="27" fillId="0" borderId="0">
      <alignment vertical="center"/>
    </xf>
    <xf numFmtId="0" fontId="27" fillId="0" borderId="0">
      <alignment vertical="center"/>
    </xf>
    <xf numFmtId="0" fontId="3" fillId="0" borderId="0">
      <alignment vertical="center"/>
    </xf>
    <xf numFmtId="0" fontId="27" fillId="0" borderId="0">
      <alignment vertical="center"/>
    </xf>
    <xf numFmtId="0" fontId="3" fillId="0" borderId="0">
      <alignment vertical="center"/>
    </xf>
    <xf numFmtId="0" fontId="3" fillId="0" borderId="0">
      <alignment vertical="center"/>
    </xf>
    <xf numFmtId="0" fontId="127" fillId="0" borderId="0"/>
    <xf numFmtId="0" fontId="27" fillId="0" borderId="0">
      <alignment vertical="center"/>
    </xf>
    <xf numFmtId="0" fontId="27" fillId="0" borderId="0">
      <alignment vertical="center"/>
    </xf>
    <xf numFmtId="0" fontId="27" fillId="0" borderId="0">
      <alignment vertical="center"/>
    </xf>
    <xf numFmtId="0" fontId="43"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10" fillId="0" borderId="0">
      <alignment vertical="center"/>
    </xf>
    <xf numFmtId="0" fontId="37" fillId="0" borderId="0">
      <alignment vertical="center"/>
    </xf>
    <xf numFmtId="0" fontId="11"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8" fillId="0" borderId="0"/>
    <xf numFmtId="0" fontId="27" fillId="0" borderId="0">
      <alignment vertical="center"/>
    </xf>
    <xf numFmtId="0" fontId="8"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85" fillId="0" borderId="0"/>
    <xf numFmtId="0" fontId="127" fillId="0" borderId="0">
      <alignment vertical="center"/>
    </xf>
    <xf numFmtId="0" fontId="113" fillId="0" borderId="0">
      <alignment vertical="center"/>
    </xf>
    <xf numFmtId="0" fontId="127" fillId="0" borderId="0">
      <alignment vertical="center"/>
    </xf>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8"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8" fillId="0" borderId="0">
      <alignment vertical="center"/>
    </xf>
    <xf numFmtId="0" fontId="30" fillId="0" borderId="0">
      <alignment vertical="center"/>
    </xf>
    <xf numFmtId="0" fontId="93" fillId="0" borderId="0"/>
    <xf numFmtId="0" fontId="27" fillId="0" borderId="0">
      <alignment vertical="center"/>
    </xf>
    <xf numFmtId="0" fontId="85" fillId="0" borderId="0"/>
    <xf numFmtId="0" fontId="85" fillId="0" borderId="0"/>
    <xf numFmtId="0" fontId="27" fillId="0" borderId="0">
      <alignment vertical="center"/>
    </xf>
    <xf numFmtId="0" fontId="27" fillId="0" borderId="0">
      <alignment vertical="center"/>
    </xf>
    <xf numFmtId="0" fontId="27" fillId="0" borderId="0">
      <alignment vertical="center"/>
    </xf>
    <xf numFmtId="0" fontId="3" fillId="0" borderId="0">
      <alignment vertical="center"/>
    </xf>
    <xf numFmtId="0" fontId="1" fillId="0" borderId="0"/>
    <xf numFmtId="0" fontId="1" fillId="0" borderId="0"/>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10" fillId="0" borderId="0">
      <alignment vertical="center"/>
    </xf>
    <xf numFmtId="0" fontId="127" fillId="0" borderId="0">
      <alignment vertical="center"/>
    </xf>
    <xf numFmtId="0" fontId="10" fillId="0" borderId="0">
      <alignment vertical="center"/>
    </xf>
    <xf numFmtId="0" fontId="127" fillId="0" borderId="0">
      <alignment vertical="center"/>
    </xf>
    <xf numFmtId="0" fontId="10" fillId="0" borderId="0">
      <alignment vertical="center"/>
    </xf>
    <xf numFmtId="0" fontId="27" fillId="0" borderId="0">
      <alignment vertical="center"/>
    </xf>
    <xf numFmtId="0" fontId="27" fillId="0" borderId="0">
      <alignment vertical="center"/>
    </xf>
    <xf numFmtId="0" fontId="10" fillId="0" borderId="0">
      <alignment vertical="center"/>
    </xf>
    <xf numFmtId="0" fontId="27" fillId="0" borderId="0">
      <alignment vertical="center"/>
    </xf>
    <xf numFmtId="0" fontId="27" fillId="0" borderId="0">
      <alignment vertical="center"/>
    </xf>
    <xf numFmtId="0" fontId="1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31" fillId="0" borderId="0">
      <alignment vertical="center"/>
    </xf>
    <xf numFmtId="0" fontId="27" fillId="0" borderId="0">
      <alignment vertical="center"/>
    </xf>
    <xf numFmtId="0" fontId="3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11" fillId="0" borderId="0">
      <alignment vertical="center"/>
    </xf>
    <xf numFmtId="0" fontId="10" fillId="0" borderId="0">
      <alignment vertical="center"/>
    </xf>
    <xf numFmtId="0" fontId="27" fillId="0" borderId="0">
      <alignment vertical="center"/>
    </xf>
    <xf numFmtId="0" fontId="10" fillId="0" borderId="0">
      <alignment vertical="center"/>
    </xf>
    <xf numFmtId="0" fontId="27"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93" fillId="0" borderId="0"/>
    <xf numFmtId="0" fontId="8" fillId="0" borderId="0">
      <alignment vertical="center"/>
    </xf>
    <xf numFmtId="0" fontId="129" fillId="0" borderId="0">
      <alignment vertical="center"/>
    </xf>
    <xf numFmtId="0" fontId="93" fillId="0" borderId="0"/>
    <xf numFmtId="0" fontId="10" fillId="0" borderId="0">
      <alignment vertical="center"/>
    </xf>
    <xf numFmtId="0" fontId="126" fillId="0" borderId="0">
      <alignment vertical="center"/>
    </xf>
    <xf numFmtId="0" fontId="126" fillId="0" borderId="0">
      <alignment vertical="center"/>
    </xf>
    <xf numFmtId="0" fontId="126" fillId="0" borderId="0">
      <alignment vertical="center"/>
    </xf>
    <xf numFmtId="0" fontId="30" fillId="0" borderId="0">
      <alignment vertical="center"/>
    </xf>
    <xf numFmtId="0" fontId="126" fillId="0" borderId="0">
      <alignment vertical="center"/>
    </xf>
    <xf numFmtId="0" fontId="30" fillId="0" borderId="0">
      <alignment vertical="center"/>
    </xf>
    <xf numFmtId="0" fontId="126" fillId="0" borderId="0">
      <alignment vertical="center"/>
    </xf>
    <xf numFmtId="0" fontId="30" fillId="0" borderId="0">
      <alignment vertical="center"/>
    </xf>
    <xf numFmtId="0" fontId="30" fillId="0" borderId="0">
      <alignment vertical="center"/>
    </xf>
    <xf numFmtId="0" fontId="126" fillId="0" borderId="0">
      <alignment vertical="center"/>
    </xf>
    <xf numFmtId="0" fontId="126" fillId="0" borderId="0">
      <alignment vertical="center"/>
    </xf>
    <xf numFmtId="0" fontId="126" fillId="0" borderId="0">
      <alignment vertical="center"/>
    </xf>
    <xf numFmtId="0" fontId="126" fillId="0" borderId="0">
      <alignment vertical="center"/>
    </xf>
    <xf numFmtId="0" fontId="126" fillId="0" borderId="0">
      <alignment vertical="center"/>
    </xf>
    <xf numFmtId="0" fontId="126"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0" fillId="0" borderId="0">
      <alignment vertical="center"/>
    </xf>
    <xf numFmtId="0" fontId="31" fillId="0" borderId="0">
      <alignment vertical="center"/>
    </xf>
    <xf numFmtId="0" fontId="56" fillId="0" borderId="0"/>
    <xf numFmtId="0" fontId="126" fillId="0" borderId="0">
      <alignment vertical="center"/>
    </xf>
    <xf numFmtId="0" fontId="1" fillId="0" borderId="0"/>
    <xf numFmtId="0" fontId="1" fillId="0" borderId="0"/>
    <xf numFmtId="0" fontId="126" fillId="0" borderId="0">
      <alignment vertical="center"/>
    </xf>
    <xf numFmtId="0" fontId="93" fillId="0" borderId="0">
      <alignment vertical="center"/>
    </xf>
    <xf numFmtId="0" fontId="93" fillId="0" borderId="0">
      <alignment vertical="center"/>
    </xf>
    <xf numFmtId="0" fontId="30" fillId="0" borderId="0">
      <alignment vertical="center"/>
    </xf>
    <xf numFmtId="0" fontId="30" fillId="0" borderId="0">
      <alignment vertical="center"/>
    </xf>
    <xf numFmtId="0" fontId="93" fillId="0" borderId="0">
      <alignment vertical="center"/>
    </xf>
    <xf numFmtId="0" fontId="93" fillId="0" borderId="0">
      <alignment vertical="center"/>
    </xf>
    <xf numFmtId="0" fontId="1" fillId="0" borderId="0"/>
    <xf numFmtId="0" fontId="1" fillId="0" borderId="0"/>
    <xf numFmtId="0" fontId="10" fillId="0" borderId="0">
      <alignment vertical="center"/>
    </xf>
    <xf numFmtId="0" fontId="10" fillId="0" borderId="0">
      <alignment vertical="center"/>
    </xf>
    <xf numFmtId="0" fontId="3" fillId="0" borderId="0"/>
    <xf numFmtId="0" fontId="3" fillId="0" borderId="0"/>
    <xf numFmtId="0" fontId="1" fillId="0" borderId="0"/>
    <xf numFmtId="0" fontId="1" fillId="0" borderId="0"/>
    <xf numFmtId="0" fontId="3" fillId="0" borderId="0"/>
    <xf numFmtId="0" fontId="3" fillId="0" borderId="0"/>
    <xf numFmtId="0" fontId="37" fillId="0" borderId="0">
      <alignment vertical="center"/>
    </xf>
    <xf numFmtId="0" fontId="37"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 fillId="0" borderId="0"/>
    <xf numFmtId="0" fontId="3" fillId="0" borderId="0"/>
    <xf numFmtId="0" fontId="3" fillId="0" borderId="0"/>
    <xf numFmtId="0" fontId="3" fillId="0" borderId="0"/>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27"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0" fillId="0" borderId="0">
      <alignment vertical="center"/>
    </xf>
    <xf numFmtId="0" fontId="93" fillId="0" borderId="0"/>
    <xf numFmtId="0" fontId="1" fillId="0" borderId="0"/>
    <xf numFmtId="0" fontId="1" fillId="0" borderId="0"/>
    <xf numFmtId="0" fontId="50" fillId="373" borderId="0" applyNumberFormat="0" applyBorder="0" applyAlignment="0" applyProtection="0">
      <alignment vertical="center"/>
    </xf>
    <xf numFmtId="0" fontId="51" fillId="373" borderId="0" applyNumberFormat="0" applyBorder="0" applyAlignment="0" applyProtection="0">
      <alignment vertical="center"/>
    </xf>
    <xf numFmtId="0" fontId="51" fillId="373"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51" fillId="373" borderId="0" applyNumberFormat="0" applyBorder="0" applyAlignment="0" applyProtection="0">
      <alignment vertical="center"/>
    </xf>
    <xf numFmtId="0" fontId="51" fillId="373" borderId="0" applyNumberFormat="0" applyBorder="0" applyAlignment="0" applyProtection="0">
      <alignment vertical="center"/>
    </xf>
    <xf numFmtId="0" fontId="50" fillId="374" borderId="0" applyNumberFormat="0" applyBorder="0" applyAlignment="0" applyProtection="0">
      <alignment vertical="center"/>
    </xf>
    <xf numFmtId="0" fontId="51" fillId="374" borderId="0" applyNumberFormat="0" applyBorder="0" applyAlignment="0" applyProtection="0">
      <alignment vertical="center"/>
    </xf>
    <xf numFmtId="0" fontId="51" fillId="374" borderId="0" applyNumberFormat="0" applyBorder="0" applyAlignment="0" applyProtection="0">
      <alignment vertical="center"/>
    </xf>
    <xf numFmtId="0" fontId="46" fillId="374" borderId="0" applyNumberFormat="0" applyBorder="0" applyAlignment="0" applyProtection="0">
      <alignment vertical="center"/>
    </xf>
    <xf numFmtId="0" fontId="46" fillId="374" borderId="0" applyNumberFormat="0" applyBorder="0" applyAlignment="0" applyProtection="0">
      <alignment vertical="center"/>
    </xf>
    <xf numFmtId="0" fontId="51" fillId="374" borderId="0" applyNumberFormat="0" applyBorder="0" applyAlignment="0" applyProtection="0">
      <alignment vertical="center"/>
    </xf>
    <xf numFmtId="0" fontId="51" fillId="374" borderId="0" applyNumberFormat="0" applyBorder="0" applyAlignment="0" applyProtection="0">
      <alignment vertical="center"/>
    </xf>
    <xf numFmtId="0" fontId="50" fillId="375" borderId="0" applyNumberFormat="0" applyBorder="0" applyAlignment="0" applyProtection="0">
      <alignment vertical="center"/>
    </xf>
    <xf numFmtId="0" fontId="51" fillId="375" borderId="0" applyNumberFormat="0" applyBorder="0" applyAlignment="0" applyProtection="0">
      <alignment vertical="center"/>
    </xf>
    <xf numFmtId="0" fontId="51" fillId="375" borderId="0" applyNumberFormat="0" applyBorder="0" applyAlignment="0" applyProtection="0">
      <alignment vertical="center"/>
    </xf>
    <xf numFmtId="0" fontId="46" fillId="371" borderId="0" applyNumberFormat="0" applyBorder="0" applyAlignment="0" applyProtection="0">
      <alignment vertical="center"/>
    </xf>
    <xf numFmtId="0" fontId="46" fillId="371" borderId="0" applyNumberFormat="0" applyBorder="0" applyAlignment="0" applyProtection="0">
      <alignment vertical="center"/>
    </xf>
    <xf numFmtId="0" fontId="51" fillId="375" borderId="0" applyNumberFormat="0" applyBorder="0" applyAlignment="0" applyProtection="0">
      <alignment vertical="center"/>
    </xf>
    <xf numFmtId="0" fontId="51" fillId="375" borderId="0" applyNumberFormat="0" applyBorder="0" applyAlignment="0" applyProtection="0">
      <alignment vertical="center"/>
    </xf>
    <xf numFmtId="0" fontId="50" fillId="367" borderId="0" applyNumberFormat="0" applyBorder="0" applyAlignment="0" applyProtection="0">
      <alignment vertical="center"/>
    </xf>
    <xf numFmtId="0" fontId="51" fillId="367" borderId="0" applyNumberFormat="0" applyBorder="0" applyAlignment="0" applyProtection="0">
      <alignment vertical="center"/>
    </xf>
    <xf numFmtId="0" fontId="51" fillId="367" borderId="0" applyNumberFormat="0" applyBorder="0" applyAlignment="0" applyProtection="0">
      <alignment vertical="center"/>
    </xf>
    <xf numFmtId="0" fontId="46" fillId="377" borderId="0" applyNumberFormat="0" applyBorder="0" applyAlignment="0" applyProtection="0">
      <alignment vertical="center"/>
    </xf>
    <xf numFmtId="0" fontId="46" fillId="377" borderId="0" applyNumberFormat="0" applyBorder="0" applyAlignment="0" applyProtection="0">
      <alignment vertical="center"/>
    </xf>
    <xf numFmtId="0" fontId="51" fillId="367" borderId="0" applyNumberFormat="0" applyBorder="0" applyAlignment="0" applyProtection="0">
      <alignment vertical="center"/>
    </xf>
    <xf numFmtId="0" fontId="51" fillId="367" borderId="0" applyNumberFormat="0" applyBorder="0" applyAlignment="0" applyProtection="0">
      <alignment vertical="center"/>
    </xf>
    <xf numFmtId="0" fontId="50" fillId="368" borderId="0" applyNumberFormat="0" applyBorder="0" applyAlignment="0" applyProtection="0">
      <alignment vertical="center"/>
    </xf>
    <xf numFmtId="0" fontId="51" fillId="368" borderId="0" applyNumberFormat="0" applyBorder="0" applyAlignment="0" applyProtection="0">
      <alignment vertical="center"/>
    </xf>
    <xf numFmtId="0" fontId="51" fillId="368" borderId="0" applyNumberFormat="0" applyBorder="0" applyAlignment="0" applyProtection="0">
      <alignment vertical="center"/>
    </xf>
    <xf numFmtId="0" fontId="46" fillId="368" borderId="0" applyNumberFormat="0" applyBorder="0" applyAlignment="0" applyProtection="0">
      <alignment vertical="center"/>
    </xf>
    <xf numFmtId="0" fontId="46" fillId="368" borderId="0" applyNumberFormat="0" applyBorder="0" applyAlignment="0" applyProtection="0">
      <alignment vertical="center"/>
    </xf>
    <xf numFmtId="0" fontId="51" fillId="368" borderId="0" applyNumberFormat="0" applyBorder="0" applyAlignment="0" applyProtection="0">
      <alignment vertical="center"/>
    </xf>
    <xf numFmtId="0" fontId="51" fillId="368" borderId="0" applyNumberFormat="0" applyBorder="0" applyAlignment="0" applyProtection="0">
      <alignment vertical="center"/>
    </xf>
    <xf numFmtId="0" fontId="50" fillId="372" borderId="0" applyNumberFormat="0" applyBorder="0" applyAlignment="0" applyProtection="0">
      <alignment vertical="center"/>
    </xf>
    <xf numFmtId="0" fontId="51" fillId="372" borderId="0" applyNumberFormat="0" applyBorder="0" applyAlignment="0" applyProtection="0">
      <alignment vertical="center"/>
    </xf>
    <xf numFmtId="0" fontId="51" fillId="372" borderId="0" applyNumberFormat="0" applyBorder="0" applyAlignment="0" applyProtection="0">
      <alignment vertical="center"/>
    </xf>
    <xf numFmtId="0" fontId="46" fillId="378" borderId="0" applyNumberFormat="0" applyBorder="0" applyAlignment="0" applyProtection="0">
      <alignment vertical="center"/>
    </xf>
    <xf numFmtId="0" fontId="46" fillId="378" borderId="0" applyNumberFormat="0" applyBorder="0" applyAlignment="0" applyProtection="0">
      <alignment vertical="center"/>
    </xf>
    <xf numFmtId="0" fontId="51" fillId="372" borderId="0" applyNumberFormat="0" applyBorder="0" applyAlignment="0" applyProtection="0">
      <alignment vertical="center"/>
    </xf>
    <xf numFmtId="0" fontId="51" fillId="372" borderId="0" applyNumberFormat="0" applyBorder="0" applyAlignment="0" applyProtection="0">
      <alignment vertical="center"/>
    </xf>
    <xf numFmtId="0" fontId="122" fillId="245" borderId="0" applyNumberFormat="0" applyBorder="0" applyAlignment="0" applyProtection="0">
      <alignment vertical="center"/>
    </xf>
    <xf numFmtId="0" fontId="130" fillId="245" borderId="0" applyNumberFormat="0" applyBorder="0" applyAlignment="0" applyProtection="0">
      <alignment vertical="center"/>
    </xf>
    <xf numFmtId="0" fontId="122" fillId="245" borderId="0" applyNumberFormat="0" applyBorder="0" applyAlignment="0" applyProtection="0">
      <alignment vertical="center"/>
    </xf>
    <xf numFmtId="0" fontId="122" fillId="245" borderId="0" applyNumberFormat="0" applyBorder="0" applyAlignment="0" applyProtection="0">
      <alignment vertical="center"/>
    </xf>
    <xf numFmtId="0" fontId="122" fillId="245" borderId="0" applyNumberFormat="0" applyBorder="0" applyAlignment="0" applyProtection="0">
      <alignment vertical="center"/>
    </xf>
    <xf numFmtId="0" fontId="122" fillId="245" borderId="0" applyNumberFormat="0" applyBorder="0" applyAlignment="0" applyProtection="0">
      <alignment vertical="center"/>
    </xf>
    <xf numFmtId="0" fontId="131" fillId="245" borderId="0" applyNumberFormat="0" applyBorder="0" applyAlignment="0" applyProtection="0">
      <alignment vertical="center"/>
    </xf>
    <xf numFmtId="0" fontId="132" fillId="0" borderId="86" applyNumberFormat="0" applyFill="0" applyAlignment="0" applyProtection="0">
      <alignment vertical="center"/>
    </xf>
    <xf numFmtId="0" fontId="133" fillId="0" borderId="86" applyNumberFormat="0" applyFill="0" applyAlignment="0" applyProtection="0">
      <alignment vertical="center"/>
    </xf>
    <xf numFmtId="0" fontId="133" fillId="0" borderId="86" applyNumberFormat="0" applyFill="0" applyAlignment="0" applyProtection="0">
      <alignment vertical="center"/>
    </xf>
    <xf numFmtId="0" fontId="134" fillId="0" borderId="99" applyNumberFormat="0" applyFill="0" applyAlignment="0" applyProtection="0">
      <alignment vertical="center"/>
    </xf>
    <xf numFmtId="0" fontId="134" fillId="0" borderId="99" applyNumberFormat="0" applyFill="0" applyAlignment="0" applyProtection="0">
      <alignment vertical="center"/>
    </xf>
    <xf numFmtId="0" fontId="133" fillId="0" borderId="86" applyNumberFormat="0" applyFill="0" applyAlignment="0" applyProtection="0">
      <alignment vertical="center"/>
    </xf>
    <xf numFmtId="0" fontId="133" fillId="0" borderId="86" applyNumberFormat="0" applyFill="0" applyAlignment="0" applyProtection="0">
      <alignment vertical="center"/>
    </xf>
    <xf numFmtId="0" fontId="135" fillId="0" borderId="87" applyNumberFormat="0" applyFill="0" applyAlignment="0" applyProtection="0">
      <alignment vertical="center"/>
    </xf>
    <xf numFmtId="0" fontId="136" fillId="0" borderId="87" applyNumberFormat="0" applyFill="0" applyAlignment="0" applyProtection="0">
      <alignment vertical="center"/>
    </xf>
    <xf numFmtId="0" fontId="136" fillId="0" borderId="87" applyNumberFormat="0" applyFill="0" applyAlignment="0" applyProtection="0">
      <alignment vertical="center"/>
    </xf>
    <xf numFmtId="0" fontId="137" fillId="0" borderId="87" applyNumberFormat="0" applyFill="0" applyAlignment="0" applyProtection="0">
      <alignment vertical="center"/>
    </xf>
    <xf numFmtId="0" fontId="137" fillId="0" borderId="87" applyNumberFormat="0" applyFill="0" applyAlignment="0" applyProtection="0">
      <alignment vertical="center"/>
    </xf>
    <xf numFmtId="0" fontId="136" fillId="0" borderId="87" applyNumberFormat="0" applyFill="0" applyAlignment="0" applyProtection="0">
      <alignment vertical="center"/>
    </xf>
    <xf numFmtId="0" fontId="136" fillId="0" borderId="87" applyNumberFormat="0" applyFill="0" applyAlignment="0" applyProtection="0">
      <alignment vertical="center"/>
    </xf>
    <xf numFmtId="0" fontId="138" fillId="0" borderId="88" applyNumberFormat="0" applyFill="0" applyAlignment="0" applyProtection="0">
      <alignment vertical="center"/>
    </xf>
    <xf numFmtId="0" fontId="139" fillId="0" borderId="88" applyNumberFormat="0" applyFill="0" applyAlignment="0" applyProtection="0">
      <alignment vertical="center"/>
    </xf>
    <xf numFmtId="0" fontId="139" fillId="0" borderId="88" applyNumberFormat="0" applyFill="0" applyAlignment="0" applyProtection="0">
      <alignment vertical="center"/>
    </xf>
    <xf numFmtId="0" fontId="140" fillId="0" borderId="100" applyNumberFormat="0" applyFill="0" applyAlignment="0" applyProtection="0">
      <alignment vertical="center"/>
    </xf>
    <xf numFmtId="0" fontId="140" fillId="0" borderId="100" applyNumberFormat="0" applyFill="0" applyAlignment="0" applyProtection="0">
      <alignment vertical="center"/>
    </xf>
    <xf numFmtId="0" fontId="139" fillId="0" borderId="88" applyNumberFormat="0" applyFill="0" applyAlignment="0" applyProtection="0">
      <alignment vertical="center"/>
    </xf>
    <xf numFmtId="0" fontId="139" fillId="0" borderId="88" applyNumberFormat="0" applyFill="0" applyAlignment="0" applyProtection="0">
      <alignment vertical="center"/>
    </xf>
    <xf numFmtId="0" fontId="138"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2" fillId="376" borderId="85" applyNumberFormat="0" applyAlignment="0" applyProtection="0">
      <alignment vertical="center"/>
    </xf>
    <xf numFmtId="0" fontId="143" fillId="376" borderId="85" applyNumberFormat="0" applyAlignment="0" applyProtection="0">
      <alignment vertical="center"/>
    </xf>
    <xf numFmtId="0" fontId="143" fillId="376" borderId="85" applyNumberFormat="0" applyAlignment="0" applyProtection="0">
      <alignment vertical="center"/>
    </xf>
    <xf numFmtId="0" fontId="13" fillId="376" borderId="85" applyNumberFormat="0" applyAlignment="0" applyProtection="0">
      <alignment vertical="center"/>
    </xf>
    <xf numFmtId="0" fontId="13" fillId="376" borderId="85" applyNumberFormat="0" applyAlignment="0" applyProtection="0">
      <alignment vertical="center"/>
    </xf>
    <xf numFmtId="0" fontId="143" fillId="376" borderId="85" applyNumberFormat="0" applyAlignment="0" applyProtection="0">
      <alignment vertical="center"/>
    </xf>
    <xf numFmtId="0" fontId="143" fillId="376" borderId="85" applyNumberFormat="0" applyAlignment="0" applyProtection="0">
      <alignment vertical="center"/>
    </xf>
    <xf numFmtId="0" fontId="10" fillId="0" borderId="0"/>
    <xf numFmtId="0" fontId="93" fillId="0" borderId="0"/>
    <xf numFmtId="0" fontId="31" fillId="0" borderId="0"/>
    <xf numFmtId="0" fontId="31" fillId="0" borderId="0"/>
    <xf numFmtId="0" fontId="31" fillId="0" borderId="0"/>
    <xf numFmtId="0" fontId="31" fillId="0" borderId="0"/>
    <xf numFmtId="0" fontId="93" fillId="0" borderId="0">
      <alignment vertical="center"/>
    </xf>
    <xf numFmtId="0" fontId="31" fillId="0" borderId="0">
      <alignment vertical="center"/>
    </xf>
    <xf numFmtId="0" fontId="31" fillId="0" borderId="0">
      <alignment vertical="center"/>
    </xf>
    <xf numFmtId="0" fontId="113" fillId="0" borderId="0">
      <alignment vertical="center"/>
    </xf>
    <xf numFmtId="0" fontId="37" fillId="0" borderId="0">
      <alignment vertical="center"/>
    </xf>
    <xf numFmtId="0" fontId="127" fillId="0" borderId="0"/>
    <xf numFmtId="0" fontId="127" fillId="0" borderId="0"/>
    <xf numFmtId="0" fontId="40" fillId="0" borderId="0">
      <alignment vertical="center"/>
    </xf>
    <xf numFmtId="0" fontId="3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3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10" fillId="0" borderId="0">
      <alignment vertical="center"/>
    </xf>
    <xf numFmtId="0" fontId="127" fillId="0" borderId="0">
      <alignment vertical="center"/>
    </xf>
    <xf numFmtId="0" fontId="127"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56" fillId="0" borderId="0"/>
    <xf numFmtId="0" fontId="141" fillId="0" borderId="0" applyNumberFormat="0" applyFill="0" applyBorder="0" applyAlignment="0" applyProtection="0">
      <alignment vertical="center"/>
    </xf>
    <xf numFmtId="0" fontId="133" fillId="0" borderId="86" applyNumberFormat="0" applyFill="0" applyAlignment="0" applyProtection="0">
      <alignment vertical="center"/>
    </xf>
    <xf numFmtId="0" fontId="133" fillId="0" borderId="86" applyNumberFormat="0" applyFill="0" applyAlignment="0" applyProtection="0">
      <alignment vertical="center"/>
    </xf>
    <xf numFmtId="0" fontId="136" fillId="0" borderId="87" applyNumberFormat="0" applyFill="0" applyAlignment="0" applyProtection="0">
      <alignment vertical="center"/>
    </xf>
    <xf numFmtId="0" fontId="136" fillId="0" borderId="87" applyNumberFormat="0" applyFill="0" applyAlignment="0" applyProtection="0">
      <alignment vertical="center"/>
    </xf>
    <xf numFmtId="0" fontId="139" fillId="0" borderId="88" applyNumberFormat="0" applyFill="0" applyAlignment="0" applyProtection="0">
      <alignment vertical="center"/>
    </xf>
    <xf numFmtId="0" fontId="139" fillId="0" borderId="88" applyNumberFormat="0" applyFill="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4" fillId="376" borderId="85" applyNumberFormat="0" applyAlignment="0" applyProtection="0">
      <alignment vertical="center"/>
    </xf>
    <xf numFmtId="0" fontId="144" fillId="376" borderId="85" applyNumberFormat="0" applyAlignment="0" applyProtection="0">
      <alignment vertical="center"/>
    </xf>
    <xf numFmtId="0" fontId="145"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148" fillId="0" borderId="101" applyNumberFormat="0" applyFill="0" applyAlignment="0" applyProtection="0">
      <alignment vertical="center"/>
    </xf>
    <xf numFmtId="0" fontId="145" fillId="0" borderId="91" applyNumberFormat="0" applyFill="0" applyAlignment="0" applyProtection="0">
      <alignment vertical="center"/>
    </xf>
    <xf numFmtId="0" fontId="148" fillId="0" borderId="10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6" fillId="0" borderId="9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148" fillId="0" borderId="101" applyNumberFormat="0" applyFill="0" applyAlignment="0" applyProtection="0">
      <alignment vertical="center"/>
    </xf>
    <xf numFmtId="0" fontId="148" fillId="0" borderId="101" applyNumberFormat="0" applyFill="0" applyAlignment="0" applyProtection="0">
      <alignment vertical="center"/>
    </xf>
    <xf numFmtId="0" fontId="42"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85" fillId="365" borderId="92" applyNumberFormat="0" applyFont="0" applyAlignment="0" applyProtection="0">
      <alignment vertical="center"/>
    </xf>
    <xf numFmtId="0" fontId="42"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0" fontId="43" fillId="361" borderId="92" applyNumberFormat="0" applyFont="0" applyAlignment="0" applyProtection="0">
      <alignment vertical="center"/>
    </xf>
    <xf numFmtId="9" fontId="8" fillId="0" borderId="0" applyFont="0" applyFill="0" applyBorder="0" applyAlignment="0" applyProtection="0">
      <alignment vertical="center"/>
    </xf>
    <xf numFmtId="9" fontId="27" fillId="0" borderId="0" applyFont="0" applyFill="0" applyBorder="0" applyAlignment="0" applyProtection="0">
      <alignment vertical="center"/>
    </xf>
    <xf numFmtId="9" fontId="27" fillId="0" borderId="0" applyFont="0" applyFill="0" applyBorder="0" applyAlignment="0" applyProtection="0">
      <alignment vertical="center"/>
    </xf>
    <xf numFmtId="9" fontId="27" fillId="0" borderId="0" applyFont="0" applyFill="0" applyBorder="0" applyAlignment="0" applyProtection="0">
      <alignment vertical="center"/>
    </xf>
    <xf numFmtId="9" fontId="27" fillId="0" borderId="0" applyFont="0" applyFill="0" applyBorder="0" applyAlignment="0" applyProtection="0">
      <alignment vertical="center"/>
    </xf>
    <xf numFmtId="9" fontId="27" fillId="0" borderId="0" applyFont="0" applyFill="0" applyBorder="0" applyAlignment="0" applyProtection="0">
      <alignment vertical="center"/>
    </xf>
    <xf numFmtId="9" fontId="8" fillId="0" borderId="0" applyFont="0" applyFill="0" applyBorder="0" applyAlignment="0" applyProtection="0">
      <alignment vertical="center"/>
    </xf>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93" fillId="0" borderId="0" applyFont="0" applyFill="0" applyBorder="0" applyAlignment="0" applyProtection="0">
      <alignment vertical="center"/>
    </xf>
    <xf numFmtId="9" fontId="30" fillId="0" borderId="0" applyFont="0" applyFill="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0" fontId="117" fillId="244" borderId="0" applyNumberFormat="0" applyBorder="0" applyAlignment="0" applyProtection="0">
      <alignment vertical="center"/>
    </xf>
    <xf numFmtId="0" fontId="149" fillId="244" borderId="0" applyNumberFormat="0" applyBorder="0" applyAlignment="0" applyProtection="0">
      <alignment vertical="center"/>
    </xf>
    <xf numFmtId="0" fontId="117" fillId="244" borderId="0" applyNumberFormat="0" applyBorder="0" applyAlignment="0" applyProtection="0">
      <alignment vertical="center"/>
    </xf>
    <xf numFmtId="0" fontId="117" fillId="244" borderId="0" applyNumberFormat="0" applyBorder="0" applyAlignment="0" applyProtection="0">
      <alignment vertical="center"/>
    </xf>
    <xf numFmtId="0" fontId="117" fillId="244" borderId="0" applyNumberFormat="0" applyBorder="0" applyAlignment="0" applyProtection="0">
      <alignment vertical="center"/>
    </xf>
    <xf numFmtId="0" fontId="117" fillId="244" borderId="0" applyNumberFormat="0" applyBorder="0" applyAlignment="0" applyProtection="0">
      <alignment vertical="center"/>
    </xf>
    <xf numFmtId="0" fontId="150" fillId="244" borderId="0" applyNumberFormat="0" applyBorder="0" applyAlignment="0" applyProtection="0">
      <alignment vertical="center"/>
    </xf>
    <xf numFmtId="0" fontId="134" fillId="0" borderId="99" applyNumberFormat="0" applyFill="0" applyAlignment="0" applyProtection="0">
      <alignment vertical="center"/>
    </xf>
    <xf numFmtId="0" fontId="151" fillId="0" borderId="99" applyNumberFormat="0" applyFill="0" applyAlignment="0" applyProtection="0">
      <alignment vertical="center"/>
    </xf>
    <xf numFmtId="0" fontId="134" fillId="0" borderId="99" applyNumberFormat="0" applyFill="0" applyAlignment="0" applyProtection="0">
      <alignment vertical="center"/>
    </xf>
    <xf numFmtId="0" fontId="134" fillId="0" borderId="99" applyNumberFormat="0" applyFill="0" applyAlignment="0" applyProtection="0">
      <alignment vertical="center"/>
    </xf>
    <xf numFmtId="0" fontId="134" fillId="0" borderId="99" applyNumberFormat="0" applyFill="0" applyAlignment="0" applyProtection="0">
      <alignment vertical="center"/>
    </xf>
    <xf numFmtId="0" fontId="134" fillId="0" borderId="99" applyNumberFormat="0" applyFill="0" applyAlignment="0" applyProtection="0">
      <alignment vertical="center"/>
    </xf>
    <xf numFmtId="0" fontId="152" fillId="0" borderId="86" applyNumberFormat="0" applyFill="0" applyAlignment="0" applyProtection="0">
      <alignment vertical="center"/>
    </xf>
    <xf numFmtId="0" fontId="137" fillId="0" borderId="87" applyNumberFormat="0" applyFill="0" applyAlignment="0" applyProtection="0">
      <alignment vertical="center"/>
    </xf>
    <xf numFmtId="0" fontId="153" fillId="0" borderId="87" applyNumberFormat="0" applyFill="0" applyAlignment="0" applyProtection="0">
      <alignment vertical="center"/>
    </xf>
    <xf numFmtId="0" fontId="137" fillId="0" borderId="87" applyNumberFormat="0" applyFill="0" applyAlignment="0" applyProtection="0">
      <alignment vertical="center"/>
    </xf>
    <xf numFmtId="0" fontId="137" fillId="0" borderId="87" applyNumberFormat="0" applyFill="0" applyAlignment="0" applyProtection="0">
      <alignment vertical="center"/>
    </xf>
    <xf numFmtId="0" fontId="137" fillId="0" borderId="87" applyNumberFormat="0" applyFill="0" applyAlignment="0" applyProtection="0">
      <alignment vertical="center"/>
    </xf>
    <xf numFmtId="0" fontId="137" fillId="0" borderId="87" applyNumberFormat="0" applyFill="0" applyAlignment="0" applyProtection="0">
      <alignment vertical="center"/>
    </xf>
    <xf numFmtId="0" fontId="154" fillId="0" borderId="87" applyNumberFormat="0" applyFill="0" applyAlignment="0" applyProtection="0">
      <alignment vertical="center"/>
    </xf>
    <xf numFmtId="0" fontId="140" fillId="0" borderId="100" applyNumberFormat="0" applyFill="0" applyAlignment="0" applyProtection="0">
      <alignment vertical="center"/>
    </xf>
    <xf numFmtId="0" fontId="155" fillId="0" borderId="100" applyNumberFormat="0" applyFill="0" applyAlignment="0" applyProtection="0">
      <alignment vertical="center"/>
    </xf>
    <xf numFmtId="0" fontId="140" fillId="0" borderId="100" applyNumberFormat="0" applyFill="0" applyAlignment="0" applyProtection="0">
      <alignment vertical="center"/>
    </xf>
    <xf numFmtId="0" fontId="140" fillId="0" borderId="100" applyNumberFormat="0" applyFill="0" applyAlignment="0" applyProtection="0">
      <alignment vertical="center"/>
    </xf>
    <xf numFmtId="0" fontId="140" fillId="0" borderId="100" applyNumberFormat="0" applyFill="0" applyAlignment="0" applyProtection="0">
      <alignment vertical="center"/>
    </xf>
    <xf numFmtId="0" fontId="140" fillId="0" borderId="100" applyNumberFormat="0" applyFill="0" applyAlignment="0" applyProtection="0">
      <alignment vertical="center"/>
    </xf>
    <xf numFmtId="0" fontId="156" fillId="0" borderId="88" applyNumberFormat="0" applyFill="0" applyAlignment="0" applyProtection="0">
      <alignment vertical="center"/>
    </xf>
    <xf numFmtId="0" fontId="140"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0" applyNumberFormat="0" applyFill="0" applyBorder="0" applyAlignment="0" applyProtection="0">
      <alignment vertical="center"/>
    </xf>
    <xf numFmtId="0" fontId="158"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58" fillId="0" borderId="0" applyNumberFormat="0" applyFill="0" applyBorder="0" applyAlignment="0" applyProtection="0">
      <alignment vertical="center"/>
    </xf>
    <xf numFmtId="0" fontId="158" fillId="0" borderId="0" applyNumberFormat="0" applyFill="0" applyBorder="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2" fillId="364" borderId="84" applyNumberFormat="0" applyAlignment="0" applyProtection="0">
      <alignment vertical="center"/>
    </xf>
    <xf numFmtId="0" fontId="162" fillId="364" borderId="84" applyNumberFormat="0" applyAlignment="0" applyProtection="0">
      <alignment vertical="center"/>
    </xf>
    <xf numFmtId="0" fontId="162" fillId="364" borderId="84" applyNumberFormat="0" applyAlignment="0" applyProtection="0">
      <alignment vertical="center"/>
    </xf>
    <xf numFmtId="0" fontId="162" fillId="364" borderId="84" applyNumberFormat="0" applyAlignment="0" applyProtection="0">
      <alignment vertical="center"/>
    </xf>
    <xf numFmtId="0" fontId="16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64"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59" fillId="0" borderId="0" applyNumberFormat="0" applyFill="0" applyBorder="0" applyAlignment="0" applyProtection="0">
      <alignment vertical="center"/>
    </xf>
    <xf numFmtId="0" fontId="165"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67"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68"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72"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72" fillId="364" borderId="84" applyNumberFormat="0" applyAlignment="0" applyProtection="0">
      <alignment vertical="center"/>
    </xf>
    <xf numFmtId="0" fontId="161" fillId="355"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73" fillId="364" borderId="84" applyNumberFormat="0" applyAlignment="0" applyProtection="0">
      <alignment vertical="center"/>
    </xf>
    <xf numFmtId="0" fontId="160" fillId="355" borderId="84" applyNumberFormat="0" applyAlignment="0" applyProtection="0">
      <alignment vertical="center"/>
    </xf>
    <xf numFmtId="0" fontId="160" fillId="355" borderId="84" applyNumberFormat="0" applyAlignment="0" applyProtection="0">
      <alignment vertical="center"/>
    </xf>
    <xf numFmtId="0" fontId="161" fillId="355" borderId="84" applyNumberFormat="0" applyAlignment="0" applyProtection="0">
      <alignment vertical="center"/>
    </xf>
    <xf numFmtId="0" fontId="161" fillId="355" borderId="84" applyNumberFormat="0" applyAlignment="0" applyProtection="0">
      <alignment vertical="center"/>
    </xf>
    <xf numFmtId="217" fontId="93" fillId="0" borderId="0" applyFont="0" applyFill="0" applyBorder="0" applyAlignment="0" applyProtection="0">
      <alignment vertical="center"/>
    </xf>
    <xf numFmtId="6" fontId="93" fillId="0" borderId="0" applyFont="0" applyFill="0" applyBorder="0" applyAlignment="0" applyProtection="0">
      <alignment vertical="center"/>
    </xf>
    <xf numFmtId="217" fontId="93" fillId="0" borderId="0" applyFont="0" applyFill="0" applyBorder="0" applyAlignment="0" applyProtection="0">
      <alignment vertical="center"/>
    </xf>
    <xf numFmtId="6" fontId="93" fillId="0" borderId="0" applyFont="0" applyFill="0" applyBorder="0" applyAlignment="0" applyProtection="0">
      <alignment vertical="center"/>
    </xf>
    <xf numFmtId="0" fontId="174" fillId="0" borderId="0" applyNumberFormat="0" applyFill="0" applyBorder="0" applyAlignment="0" applyProtection="0">
      <alignment vertical="center"/>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175" fillId="0" borderId="0" applyNumberFormat="0" applyFill="0" applyBorder="0" applyAlignment="0" applyProtection="0">
      <alignment vertical="top"/>
      <protection locked="0"/>
    </xf>
    <xf numFmtId="0" fontId="176" fillId="0" borderId="0" applyNumberFormat="0" applyFill="0" applyBorder="0" applyAlignment="0" applyProtection="0">
      <alignment vertical="top"/>
      <protection locked="0"/>
    </xf>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84" fillId="0" borderId="0" applyNumberFormat="0" applyFill="0" applyBorder="0" applyAlignment="0" applyProtection="0">
      <alignment vertical="top"/>
      <protection locked="0"/>
    </xf>
    <xf numFmtId="0" fontId="84" fillId="0" borderId="0" applyNumberFormat="0" applyFill="0" applyBorder="0" applyAlignment="0" applyProtection="0">
      <alignment vertical="top"/>
      <protection locked="0"/>
    </xf>
    <xf numFmtId="0" fontId="174" fillId="0" borderId="0" applyNumberFormat="0" applyFill="0" applyBorder="0" applyAlignment="0" applyProtection="0">
      <alignment vertical="center"/>
    </xf>
    <xf numFmtId="0" fontId="83" fillId="0" borderId="0" applyNumberFormat="0" applyFill="0" applyBorder="0" applyAlignment="0" applyProtection="0">
      <alignment vertical="top"/>
      <protection locked="0"/>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52" fillId="373" borderId="0" applyNumberFormat="0" applyBorder="0" applyAlignment="0" applyProtection="0">
      <alignment vertical="center"/>
    </xf>
    <xf numFmtId="0" fontId="52" fillId="373" borderId="0" applyNumberFormat="0" applyBorder="0" applyAlignment="0" applyProtection="0">
      <alignment vertical="center"/>
    </xf>
    <xf numFmtId="0" fontId="52" fillId="374" borderId="0" applyNumberFormat="0" applyBorder="0" applyAlignment="0" applyProtection="0">
      <alignment vertical="center"/>
    </xf>
    <xf numFmtId="0" fontId="52" fillId="374" borderId="0" applyNumberFormat="0" applyBorder="0" applyAlignment="0" applyProtection="0">
      <alignment vertical="center"/>
    </xf>
    <xf numFmtId="0" fontId="52" fillId="375" borderId="0" applyNumberFormat="0" applyBorder="0" applyAlignment="0" applyProtection="0">
      <alignment vertical="center"/>
    </xf>
    <xf numFmtId="0" fontId="52" fillId="375" borderId="0" applyNumberFormat="0" applyBorder="0" applyAlignment="0" applyProtection="0">
      <alignment vertical="center"/>
    </xf>
    <xf numFmtId="0" fontId="52" fillId="367" borderId="0" applyNumberFormat="0" applyBorder="0" applyAlignment="0" applyProtection="0">
      <alignment vertical="center"/>
    </xf>
    <xf numFmtId="0" fontId="52" fillId="367" borderId="0" applyNumberFormat="0" applyBorder="0" applyAlignment="0" applyProtection="0">
      <alignment vertical="center"/>
    </xf>
    <xf numFmtId="0" fontId="52" fillId="368" borderId="0" applyNumberFormat="0" applyBorder="0" applyAlignment="0" applyProtection="0">
      <alignment vertical="center"/>
    </xf>
    <xf numFmtId="0" fontId="52" fillId="368" borderId="0" applyNumberFormat="0" applyBorder="0" applyAlignment="0" applyProtection="0">
      <alignment vertical="center"/>
    </xf>
    <xf numFmtId="0" fontId="52" fillId="372" borderId="0" applyNumberFormat="0" applyBorder="0" applyAlignment="0" applyProtection="0">
      <alignment vertical="center"/>
    </xf>
    <xf numFmtId="0" fontId="52" fillId="372" borderId="0" applyNumberFormat="0" applyBorder="0" applyAlignment="0" applyProtection="0">
      <alignment vertical="center"/>
    </xf>
    <xf numFmtId="0" fontId="181" fillId="354" borderId="84" applyNumberFormat="0" applyAlignment="0" applyProtection="0">
      <alignment vertical="center"/>
    </xf>
    <xf numFmtId="0" fontId="181" fillId="354" borderId="84" applyNumberFormat="0" applyAlignment="0" applyProtection="0">
      <alignment vertical="center"/>
    </xf>
    <xf numFmtId="0" fontId="181" fillId="354" borderId="84" applyNumberFormat="0" applyAlignment="0" applyProtection="0">
      <alignment vertical="center"/>
    </xf>
    <xf numFmtId="0" fontId="181" fillId="354" borderId="84" applyNumberFormat="0" applyAlignment="0" applyProtection="0">
      <alignment vertical="center"/>
    </xf>
    <xf numFmtId="0" fontId="182" fillId="364" borderId="90" applyNumberFormat="0" applyAlignment="0" applyProtection="0">
      <alignment vertical="center"/>
    </xf>
    <xf numFmtId="0" fontId="182" fillId="364" borderId="90" applyNumberFormat="0" applyAlignment="0" applyProtection="0">
      <alignment vertical="center"/>
    </xf>
    <xf numFmtId="0" fontId="182" fillId="364" borderId="90" applyNumberFormat="0" applyAlignment="0" applyProtection="0">
      <alignment vertical="center"/>
    </xf>
    <xf numFmtId="0" fontId="182" fillId="364" borderId="90" applyNumberFormat="0" applyAlignment="0" applyProtection="0">
      <alignment vertical="center"/>
    </xf>
    <xf numFmtId="0" fontId="183"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83" fillId="354" borderId="84" applyNumberFormat="0" applyAlignment="0" applyProtection="0">
      <alignment vertical="center"/>
    </xf>
    <xf numFmtId="0" fontId="110"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84" fillId="354" borderId="84" applyNumberFormat="0" applyAlignment="0" applyProtection="0">
      <alignment vertical="center"/>
    </xf>
    <xf numFmtId="0" fontId="109" fillId="354" borderId="84" applyNumberFormat="0" applyAlignment="0" applyProtection="0">
      <alignment vertical="center"/>
    </xf>
    <xf numFmtId="0" fontId="109" fillId="354" borderId="84" applyNumberFormat="0" applyAlignment="0" applyProtection="0">
      <alignment vertical="center"/>
    </xf>
    <xf numFmtId="0" fontId="110" fillId="354" borderId="84" applyNumberFormat="0" applyAlignment="0" applyProtection="0">
      <alignment vertical="center"/>
    </xf>
    <xf numFmtId="0" fontId="110" fillId="354" borderId="84" applyNumberFormat="0" applyAlignment="0" applyProtection="0">
      <alignment vertical="center"/>
    </xf>
    <xf numFmtId="0" fontId="185"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11" fillId="355" borderId="90" applyNumberFormat="0" applyAlignment="0" applyProtection="0">
      <alignment vertical="center"/>
    </xf>
    <xf numFmtId="0" fontId="111" fillId="355" borderId="90" applyNumberFormat="0" applyAlignment="0" applyProtection="0">
      <alignment vertical="center"/>
    </xf>
    <xf numFmtId="0" fontId="112" fillId="355" borderId="90" applyNumberFormat="0" applyAlignment="0" applyProtection="0">
      <alignment vertical="center"/>
    </xf>
    <xf numFmtId="0" fontId="185"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6" fillId="364" borderId="90" applyNumberFormat="0" applyAlignment="0" applyProtection="0">
      <alignment vertical="center"/>
    </xf>
    <xf numFmtId="0" fontId="187" fillId="365" borderId="0" applyNumberFormat="0" applyBorder="0" applyAlignment="0" applyProtection="0">
      <alignment vertical="center"/>
    </xf>
    <xf numFmtId="0" fontId="188" fillId="365" borderId="0" applyNumberFormat="0" applyBorder="0" applyAlignment="0" applyProtection="0">
      <alignment vertical="center"/>
    </xf>
    <xf numFmtId="0" fontId="188" fillId="365" borderId="0" applyNumberFormat="0" applyBorder="0" applyAlignment="0" applyProtection="0">
      <alignment vertical="center"/>
    </xf>
    <xf numFmtId="0" fontId="76" fillId="365" borderId="0" applyNumberFormat="0" applyBorder="0" applyAlignment="0" applyProtection="0">
      <alignment vertical="center"/>
    </xf>
    <xf numFmtId="0" fontId="76" fillId="365" borderId="0" applyNumberFormat="0" applyBorder="0" applyAlignment="0" applyProtection="0">
      <alignment vertical="center"/>
    </xf>
    <xf numFmtId="0" fontId="188" fillId="365" borderId="0" applyNumberFormat="0" applyBorder="0" applyAlignment="0" applyProtection="0">
      <alignment vertical="center"/>
    </xf>
    <xf numFmtId="0" fontId="188" fillId="365" borderId="0" applyNumberFormat="0" applyBorder="0" applyAlignment="0" applyProtection="0">
      <alignment vertical="center"/>
    </xf>
    <xf numFmtId="0" fontId="189" fillId="0" borderId="89" applyNumberFormat="0" applyFill="0" applyAlignment="0" applyProtection="0">
      <alignment vertical="center"/>
    </xf>
    <xf numFmtId="0" fontId="189" fillId="0" borderId="89" applyNumberFormat="0" applyFill="0" applyAlignment="0" applyProtection="0">
      <alignment vertical="center"/>
    </xf>
    <xf numFmtId="0" fontId="189" fillId="0" borderId="89" applyNumberFormat="0" applyFill="0" applyAlignment="0" applyProtection="0">
      <alignment vertical="center"/>
    </xf>
    <xf numFmtId="0" fontId="190" fillId="0" borderId="89" applyNumberFormat="0" applyFill="0" applyAlignment="0" applyProtection="0">
      <alignment vertical="center"/>
    </xf>
    <xf numFmtId="0" fontId="191" fillId="0" borderId="89" applyNumberFormat="0" applyFill="0" applyAlignment="0" applyProtection="0">
      <alignment vertical="center"/>
    </xf>
    <xf numFmtId="0" fontId="191" fillId="0" borderId="89" applyNumberFormat="0" applyFill="0" applyAlignment="0" applyProtection="0">
      <alignment vertical="center"/>
    </xf>
    <xf numFmtId="0" fontId="191"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86" fillId="0" borderId="89" applyNumberFormat="0" applyFill="0" applyAlignment="0" applyProtection="0">
      <alignment vertical="center"/>
    </xf>
    <xf numFmtId="0" fontId="191" fillId="0" borderId="89" applyNumberFormat="0" applyFill="0" applyAlignment="0" applyProtection="0">
      <alignment vertical="center"/>
    </xf>
    <xf numFmtId="0" fontId="191" fillId="0" borderId="89" applyNumberFormat="0" applyFill="0" applyAlignment="0" applyProtection="0">
      <alignment vertical="center"/>
    </xf>
    <xf numFmtId="0" fontId="191" fillId="0" borderId="89" applyNumberFormat="0" applyFill="0" applyAlignment="0" applyProtection="0">
      <alignment vertical="center"/>
    </xf>
    <xf numFmtId="0" fontId="147" fillId="0" borderId="101" applyNumberFormat="0" applyFill="0" applyAlignment="0" applyProtection="0">
      <alignment vertical="center"/>
    </xf>
    <xf numFmtId="0" fontId="148" fillId="0" borderId="10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148" fillId="0" borderId="101" applyNumberFormat="0" applyFill="0" applyAlignment="0" applyProtection="0">
      <alignment vertical="center"/>
    </xf>
    <xf numFmtId="0" fontId="148" fillId="0" borderId="101" applyNumberFormat="0" applyFill="0" applyAlignment="0" applyProtection="0">
      <alignment vertical="center"/>
    </xf>
    <xf numFmtId="0" fontId="148" fillId="0" borderId="10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148" fillId="0" borderId="101" applyNumberFormat="0" applyFill="0" applyAlignment="0" applyProtection="0">
      <alignment vertical="center"/>
    </xf>
    <xf numFmtId="0" fontId="148" fillId="0" borderId="10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147" fillId="0" borderId="101" applyNumberFormat="0" applyFill="0" applyAlignment="0" applyProtection="0">
      <alignment vertical="center"/>
    </xf>
    <xf numFmtId="0" fontId="31" fillId="0" borderId="0" applyFont="0"/>
  </cellStyleXfs>
  <cellXfs count="983">
    <xf numFmtId="0" fontId="0" fillId="0" borderId="0" xfId="0"/>
    <xf numFmtId="0" fontId="6" fillId="0" borderId="0" xfId="2"/>
    <xf numFmtId="0" fontId="7" fillId="3" borderId="2" xfId="0" applyFont="1" applyFill="1" applyBorder="1" applyAlignment="1">
      <alignment horizontal="center" vertical="center" wrapText="1"/>
    </xf>
    <xf numFmtId="0" fontId="7" fillId="3" borderId="2" xfId="0" applyFont="1" applyFill="1" applyBorder="1" applyAlignment="1">
      <alignment horizontal="left" vertical="center" wrapText="1"/>
    </xf>
    <xf numFmtId="0" fontId="0" fillId="4" borderId="2" xfId="0" applyFill="1" applyBorder="1" applyAlignment="1">
      <alignment vertical="center" wrapText="1"/>
    </xf>
    <xf numFmtId="0" fontId="0" fillId="3" borderId="2" xfId="0" applyFill="1" applyBorder="1" applyAlignment="1">
      <alignment vertical="center" wrapText="1"/>
    </xf>
    <xf numFmtId="0" fontId="0" fillId="3" borderId="2" xfId="0" applyFill="1" applyBorder="1" applyAlignment="1">
      <alignment horizontal="left" vertical="center" wrapText="1"/>
    </xf>
    <xf numFmtId="0" fontId="0" fillId="5" borderId="2" xfId="0" applyFill="1" applyBorder="1" applyAlignment="1">
      <alignment vertical="center" wrapText="1"/>
    </xf>
    <xf numFmtId="0" fontId="0" fillId="6" borderId="2" xfId="0" applyFill="1" applyBorder="1" applyAlignment="1">
      <alignment vertical="center" wrapText="1"/>
    </xf>
    <xf numFmtId="0" fontId="0" fillId="7" borderId="2" xfId="0" applyFill="1" applyBorder="1" applyAlignment="1">
      <alignment vertical="center" wrapText="1"/>
    </xf>
    <xf numFmtId="0" fontId="0" fillId="8" borderId="2" xfId="0" applyFill="1" applyBorder="1" applyAlignment="1">
      <alignment vertical="center" wrapText="1"/>
    </xf>
    <xf numFmtId="0" fontId="0" fillId="9" borderId="2" xfId="0" applyFill="1" applyBorder="1" applyAlignment="1">
      <alignment vertical="center" wrapText="1"/>
    </xf>
    <xf numFmtId="0" fontId="0" fillId="10" borderId="2" xfId="0" applyFill="1" applyBorder="1" applyAlignment="1">
      <alignment vertical="center" wrapText="1"/>
    </xf>
    <xf numFmtId="0" fontId="0" fillId="11" borderId="2" xfId="0" applyFill="1" applyBorder="1" applyAlignment="1">
      <alignment vertical="center" wrapText="1"/>
    </xf>
    <xf numFmtId="0" fontId="0" fillId="12" borderId="2" xfId="0" applyFill="1" applyBorder="1" applyAlignment="1">
      <alignment vertical="center" wrapText="1"/>
    </xf>
    <xf numFmtId="0" fontId="0" fillId="13" borderId="2" xfId="0" applyFill="1" applyBorder="1" applyAlignment="1">
      <alignment vertical="center" wrapText="1"/>
    </xf>
    <xf numFmtId="0" fontId="0" fillId="14" borderId="2" xfId="0" applyFill="1" applyBorder="1" applyAlignment="1">
      <alignment vertical="center" wrapText="1"/>
    </xf>
    <xf numFmtId="3" fontId="0" fillId="3" borderId="2" xfId="0" applyNumberFormat="1" applyFill="1" applyBorder="1" applyAlignment="1">
      <alignment horizontal="left" vertical="center" wrapText="1"/>
    </xf>
    <xf numFmtId="0" fontId="0" fillId="15" borderId="2" xfId="0" applyFill="1" applyBorder="1" applyAlignment="1">
      <alignment vertical="center" wrapText="1"/>
    </xf>
    <xf numFmtId="0" fontId="0" fillId="16" borderId="2" xfId="0" applyFill="1" applyBorder="1" applyAlignment="1">
      <alignment vertical="center" wrapText="1"/>
    </xf>
    <xf numFmtId="0" fontId="0" fillId="17" borderId="2" xfId="0" applyFill="1" applyBorder="1" applyAlignment="1">
      <alignment vertical="center" wrapText="1"/>
    </xf>
    <xf numFmtId="0" fontId="0" fillId="18" borderId="2" xfId="0" applyFill="1" applyBorder="1" applyAlignment="1">
      <alignment vertical="center" wrapText="1"/>
    </xf>
    <xf numFmtId="0" fontId="0" fillId="9" borderId="0" xfId="0" applyFill="1"/>
    <xf numFmtId="0" fontId="0" fillId="19" borderId="2" xfId="0" applyFill="1" applyBorder="1" applyAlignment="1">
      <alignment vertical="center" wrapText="1"/>
    </xf>
    <xf numFmtId="0" fontId="0" fillId="20" borderId="2" xfId="0" applyFill="1" applyBorder="1" applyAlignment="1">
      <alignment vertical="center" wrapText="1"/>
    </xf>
    <xf numFmtId="0" fontId="0" fillId="21" borderId="2" xfId="0" applyFill="1" applyBorder="1" applyAlignment="1">
      <alignment vertical="center" wrapText="1"/>
    </xf>
    <xf numFmtId="0" fontId="0" fillId="22" borderId="2" xfId="0" applyFill="1" applyBorder="1" applyAlignment="1">
      <alignment vertical="center" wrapText="1"/>
    </xf>
    <xf numFmtId="0" fontId="0" fillId="23" borderId="2" xfId="0" applyFill="1" applyBorder="1" applyAlignment="1">
      <alignment vertical="center" wrapText="1"/>
    </xf>
    <xf numFmtId="0" fontId="0" fillId="24" borderId="2" xfId="0" applyFill="1" applyBorder="1" applyAlignment="1">
      <alignment vertical="center" wrapText="1"/>
    </xf>
    <xf numFmtId="0" fontId="0" fillId="25" borderId="2" xfId="0" applyFill="1" applyBorder="1" applyAlignment="1">
      <alignment vertical="center" wrapText="1"/>
    </xf>
    <xf numFmtId="0" fontId="0" fillId="26" borderId="2" xfId="0" applyFill="1" applyBorder="1" applyAlignment="1">
      <alignment vertical="center" wrapText="1"/>
    </xf>
    <xf numFmtId="0" fontId="0" fillId="27" borderId="2" xfId="0" applyFill="1" applyBorder="1" applyAlignment="1">
      <alignment vertical="center" wrapText="1"/>
    </xf>
    <xf numFmtId="0" fontId="0" fillId="28" borderId="2" xfId="0" applyFill="1" applyBorder="1" applyAlignment="1">
      <alignment vertical="center" wrapText="1"/>
    </xf>
    <xf numFmtId="0" fontId="0" fillId="29" borderId="2" xfId="0" applyFill="1" applyBorder="1" applyAlignment="1">
      <alignment vertical="center" wrapText="1"/>
    </xf>
    <xf numFmtId="0" fontId="0" fillId="30" borderId="2" xfId="0" applyFill="1" applyBorder="1" applyAlignment="1">
      <alignment vertical="center" wrapText="1"/>
    </xf>
    <xf numFmtId="0" fontId="0" fillId="31" borderId="2" xfId="0" applyFill="1" applyBorder="1" applyAlignment="1">
      <alignment vertical="center" wrapText="1"/>
    </xf>
    <xf numFmtId="0" fontId="0" fillId="32" borderId="2" xfId="0" applyFill="1" applyBorder="1" applyAlignment="1">
      <alignment vertical="center" wrapText="1"/>
    </xf>
    <xf numFmtId="0" fontId="0" fillId="33" borderId="2" xfId="0" applyFill="1" applyBorder="1" applyAlignment="1">
      <alignment vertical="center" wrapText="1"/>
    </xf>
    <xf numFmtId="0" fontId="0" fillId="34" borderId="2" xfId="0" applyFill="1" applyBorder="1" applyAlignment="1">
      <alignment vertical="center" wrapText="1"/>
    </xf>
    <xf numFmtId="0" fontId="0" fillId="35" borderId="2" xfId="0" applyFill="1" applyBorder="1" applyAlignment="1">
      <alignment vertical="center" wrapText="1"/>
    </xf>
    <xf numFmtId="0" fontId="0" fillId="36" borderId="2" xfId="0" applyFill="1" applyBorder="1" applyAlignment="1">
      <alignment vertical="center" wrapText="1"/>
    </xf>
    <xf numFmtId="0" fontId="0" fillId="37" borderId="2" xfId="0" applyFill="1" applyBorder="1" applyAlignment="1">
      <alignment vertical="center" wrapText="1"/>
    </xf>
    <xf numFmtId="0" fontId="0" fillId="38" borderId="2" xfId="0" applyFill="1" applyBorder="1" applyAlignment="1">
      <alignment vertical="center" wrapText="1"/>
    </xf>
    <xf numFmtId="0" fontId="0" fillId="39" borderId="2" xfId="0" applyFill="1" applyBorder="1" applyAlignment="1">
      <alignment vertical="center" wrapText="1"/>
    </xf>
    <xf numFmtId="0" fontId="0" fillId="40" borderId="2" xfId="0" applyFill="1" applyBorder="1" applyAlignment="1">
      <alignment vertical="center" wrapText="1"/>
    </xf>
    <xf numFmtId="0" fontId="0" fillId="41" borderId="2" xfId="0" applyFill="1" applyBorder="1" applyAlignment="1">
      <alignment vertical="center" wrapText="1"/>
    </xf>
    <xf numFmtId="0" fontId="0" fillId="42" borderId="2" xfId="0" applyFill="1" applyBorder="1" applyAlignment="1">
      <alignment vertical="center" wrapText="1"/>
    </xf>
    <xf numFmtId="0" fontId="0" fillId="43" borderId="2" xfId="0" applyFill="1" applyBorder="1" applyAlignment="1">
      <alignment vertical="center" wrapText="1"/>
    </xf>
    <xf numFmtId="0" fontId="0" fillId="44" borderId="2" xfId="0" applyFill="1" applyBorder="1" applyAlignment="1">
      <alignment vertical="center" wrapText="1"/>
    </xf>
    <xf numFmtId="0" fontId="0" fillId="45" borderId="2" xfId="0" applyFill="1" applyBorder="1" applyAlignment="1">
      <alignment vertical="center" wrapText="1"/>
    </xf>
    <xf numFmtId="0" fontId="0" fillId="46" borderId="2" xfId="0" applyFill="1" applyBorder="1" applyAlignment="1">
      <alignment vertical="center" wrapText="1"/>
    </xf>
    <xf numFmtId="0" fontId="0" fillId="47" borderId="2" xfId="0" applyFill="1" applyBorder="1" applyAlignment="1">
      <alignment vertical="center" wrapText="1"/>
    </xf>
    <xf numFmtId="0" fontId="0" fillId="48" borderId="2" xfId="0" applyFill="1" applyBorder="1" applyAlignment="1">
      <alignment vertical="center" wrapText="1"/>
    </xf>
    <xf numFmtId="0" fontId="0" fillId="49" borderId="2" xfId="0" applyFill="1" applyBorder="1" applyAlignment="1">
      <alignment vertical="center" wrapText="1"/>
    </xf>
    <xf numFmtId="0" fontId="0" fillId="50" borderId="2" xfId="0" applyFill="1" applyBorder="1" applyAlignment="1">
      <alignment vertical="center" wrapText="1"/>
    </xf>
    <xf numFmtId="0" fontId="0" fillId="51" borderId="2" xfId="0" applyFill="1" applyBorder="1" applyAlignment="1">
      <alignment vertical="center" wrapText="1"/>
    </xf>
    <xf numFmtId="0" fontId="0" fillId="52" borderId="2" xfId="0" applyFill="1" applyBorder="1" applyAlignment="1">
      <alignment vertical="center" wrapText="1"/>
    </xf>
    <xf numFmtId="0" fontId="0" fillId="53" borderId="2" xfId="0" applyFill="1" applyBorder="1" applyAlignment="1">
      <alignment vertical="center" wrapText="1"/>
    </xf>
    <xf numFmtId="0" fontId="0" fillId="54" borderId="2" xfId="0" applyFill="1" applyBorder="1" applyAlignment="1">
      <alignment vertical="center" wrapText="1"/>
    </xf>
    <xf numFmtId="0" fontId="0" fillId="55" borderId="2" xfId="0" applyFill="1" applyBorder="1" applyAlignment="1">
      <alignment vertical="center" wrapText="1"/>
    </xf>
    <xf numFmtId="0" fontId="0" fillId="56" borderId="2" xfId="0" applyFill="1" applyBorder="1" applyAlignment="1">
      <alignment vertical="center" wrapText="1"/>
    </xf>
    <xf numFmtId="0" fontId="0" fillId="57" borderId="2" xfId="0" applyFill="1" applyBorder="1" applyAlignment="1">
      <alignment vertical="center" wrapText="1"/>
    </xf>
    <xf numFmtId="0" fontId="0" fillId="58" borderId="2" xfId="0" applyFill="1" applyBorder="1" applyAlignment="1">
      <alignment vertical="center" wrapText="1"/>
    </xf>
    <xf numFmtId="0" fontId="0" fillId="59" borderId="2" xfId="0" applyFill="1" applyBorder="1" applyAlignment="1">
      <alignment vertical="center" wrapText="1"/>
    </xf>
    <xf numFmtId="0" fontId="0" fillId="60" borderId="2" xfId="0" applyFill="1" applyBorder="1" applyAlignment="1">
      <alignment vertical="center" wrapText="1"/>
    </xf>
    <xf numFmtId="0" fontId="0" fillId="61" borderId="2" xfId="0" applyFill="1" applyBorder="1" applyAlignment="1">
      <alignment vertical="center" wrapText="1"/>
    </xf>
    <xf numFmtId="0" fontId="0" fillId="62" borderId="2" xfId="0" applyFill="1" applyBorder="1" applyAlignment="1">
      <alignment vertical="center" wrapText="1"/>
    </xf>
    <xf numFmtId="0" fontId="0" fillId="63" borderId="2" xfId="0" applyFill="1" applyBorder="1" applyAlignment="1">
      <alignment vertical="center" wrapText="1"/>
    </xf>
    <xf numFmtId="0" fontId="0" fillId="64" borderId="2" xfId="0" applyFill="1" applyBorder="1" applyAlignment="1">
      <alignment vertical="center" wrapText="1"/>
    </xf>
    <xf numFmtId="0" fontId="0" fillId="65" borderId="2" xfId="0" applyFill="1" applyBorder="1" applyAlignment="1">
      <alignment vertical="center" wrapText="1"/>
    </xf>
    <xf numFmtId="0" fontId="0" fillId="66" borderId="2" xfId="0" applyFill="1" applyBorder="1" applyAlignment="1">
      <alignment vertical="center" wrapText="1"/>
    </xf>
    <xf numFmtId="0" fontId="0" fillId="67" borderId="2" xfId="0" applyFill="1" applyBorder="1" applyAlignment="1">
      <alignment vertical="center" wrapText="1"/>
    </xf>
    <xf numFmtId="0" fontId="0" fillId="68" borderId="2" xfId="0" applyFill="1" applyBorder="1" applyAlignment="1">
      <alignment vertical="center" wrapText="1"/>
    </xf>
    <xf numFmtId="0" fontId="0" fillId="69" borderId="2" xfId="0" applyFill="1" applyBorder="1" applyAlignment="1">
      <alignment vertical="center" wrapText="1"/>
    </xf>
    <xf numFmtId="0" fontId="0" fillId="70" borderId="2" xfId="0" applyFill="1" applyBorder="1" applyAlignment="1">
      <alignment vertical="center" wrapText="1"/>
    </xf>
    <xf numFmtId="0" fontId="0" fillId="71" borderId="2" xfId="0" applyFill="1" applyBorder="1" applyAlignment="1">
      <alignment vertical="center" wrapText="1"/>
    </xf>
    <xf numFmtId="0" fontId="0" fillId="72" borderId="2" xfId="0" applyFill="1" applyBorder="1" applyAlignment="1">
      <alignment vertical="center" wrapText="1"/>
    </xf>
    <xf numFmtId="0" fontId="0" fillId="73" borderId="2" xfId="0" applyFill="1" applyBorder="1" applyAlignment="1">
      <alignment vertical="center" wrapText="1"/>
    </xf>
    <xf numFmtId="0" fontId="0" fillId="74" borderId="2" xfId="0" applyFill="1" applyBorder="1" applyAlignment="1">
      <alignment vertical="center" wrapText="1"/>
    </xf>
    <xf numFmtId="0" fontId="0" fillId="75" borderId="2" xfId="0" applyFill="1" applyBorder="1" applyAlignment="1">
      <alignment vertical="center" wrapText="1"/>
    </xf>
    <xf numFmtId="0" fontId="0" fillId="76" borderId="2" xfId="0" applyFill="1" applyBorder="1" applyAlignment="1">
      <alignment vertical="center" wrapText="1"/>
    </xf>
    <xf numFmtId="0" fontId="0" fillId="77" borderId="2" xfId="0" applyFill="1" applyBorder="1" applyAlignment="1">
      <alignment vertical="center" wrapText="1"/>
    </xf>
    <xf numFmtId="0" fontId="0" fillId="78" borderId="2" xfId="0" applyFill="1" applyBorder="1" applyAlignment="1">
      <alignment vertical="center" wrapText="1"/>
    </xf>
    <xf numFmtId="0" fontId="0" fillId="79" borderId="2" xfId="0" applyFill="1" applyBorder="1" applyAlignment="1">
      <alignment vertical="center" wrapText="1"/>
    </xf>
    <xf numFmtId="0" fontId="0" fillId="80" borderId="2" xfId="0" applyFill="1" applyBorder="1" applyAlignment="1">
      <alignment vertical="center" wrapText="1"/>
    </xf>
    <xf numFmtId="0" fontId="0" fillId="81" borderId="2" xfId="0" applyFill="1" applyBorder="1" applyAlignment="1">
      <alignment vertical="center" wrapText="1"/>
    </xf>
    <xf numFmtId="0" fontId="0" fillId="82" borderId="2" xfId="0" applyFill="1" applyBorder="1" applyAlignment="1">
      <alignment vertical="center" wrapText="1"/>
    </xf>
    <xf numFmtId="0" fontId="0" fillId="83" borderId="2" xfId="0" applyFill="1" applyBorder="1" applyAlignment="1">
      <alignment vertical="center" wrapText="1"/>
    </xf>
    <xf numFmtId="0" fontId="0" fillId="84" borderId="2" xfId="0" applyFill="1" applyBorder="1" applyAlignment="1">
      <alignment vertical="center" wrapText="1"/>
    </xf>
    <xf numFmtId="0" fontId="0" fillId="85" borderId="2" xfId="0" applyFill="1" applyBorder="1" applyAlignment="1">
      <alignment vertical="center" wrapText="1"/>
    </xf>
    <xf numFmtId="0" fontId="0" fillId="86" borderId="2" xfId="0" applyFill="1" applyBorder="1" applyAlignment="1">
      <alignment vertical="center" wrapText="1"/>
    </xf>
    <xf numFmtId="0" fontId="0" fillId="87" borderId="2" xfId="0" applyFill="1" applyBorder="1" applyAlignment="1">
      <alignment vertical="center" wrapText="1"/>
    </xf>
    <xf numFmtId="0" fontId="0" fillId="88" borderId="2" xfId="0" applyFill="1" applyBorder="1" applyAlignment="1">
      <alignment vertical="center" wrapText="1"/>
    </xf>
    <xf numFmtId="0" fontId="0" fillId="89" borderId="2" xfId="0" applyFill="1" applyBorder="1" applyAlignment="1">
      <alignment vertical="center" wrapText="1"/>
    </xf>
    <xf numFmtId="0" fontId="0" fillId="90" borderId="2" xfId="0" applyFill="1" applyBorder="1" applyAlignment="1">
      <alignment vertical="center" wrapText="1"/>
    </xf>
    <xf numFmtId="0" fontId="0" fillId="91" borderId="2" xfId="0" applyFill="1" applyBorder="1" applyAlignment="1">
      <alignment vertical="center" wrapText="1"/>
    </xf>
    <xf numFmtId="0" fontId="0" fillId="92" borderId="2" xfId="0" applyFill="1" applyBorder="1" applyAlignment="1">
      <alignment vertical="center" wrapText="1"/>
    </xf>
    <xf numFmtId="0" fontId="0" fillId="93" borderId="2" xfId="0" applyFill="1" applyBorder="1" applyAlignment="1">
      <alignment vertical="center" wrapText="1"/>
    </xf>
    <xf numFmtId="0" fontId="0" fillId="94" borderId="2" xfId="0" applyFill="1" applyBorder="1" applyAlignment="1">
      <alignment vertical="center" wrapText="1"/>
    </xf>
    <xf numFmtId="0" fontId="0" fillId="95" borderId="2" xfId="0" applyFill="1" applyBorder="1" applyAlignment="1">
      <alignment vertical="center" wrapText="1"/>
    </xf>
    <xf numFmtId="0" fontId="0" fillId="96" borderId="2" xfId="0" applyFill="1" applyBorder="1" applyAlignment="1">
      <alignment vertical="center" wrapText="1"/>
    </xf>
    <xf numFmtId="0" fontId="0" fillId="97" borderId="2" xfId="0" applyFill="1" applyBorder="1" applyAlignment="1">
      <alignment vertical="center" wrapText="1"/>
    </xf>
    <xf numFmtId="0" fontId="0" fillId="98" borderId="2" xfId="0" applyFill="1" applyBorder="1" applyAlignment="1">
      <alignment vertical="center" wrapText="1"/>
    </xf>
    <xf numFmtId="0" fontId="0" fillId="99" borderId="2" xfId="0" applyFill="1" applyBorder="1" applyAlignment="1">
      <alignment vertical="center" wrapText="1"/>
    </xf>
    <xf numFmtId="0" fontId="0" fillId="100" borderId="2" xfId="0" applyFill="1" applyBorder="1" applyAlignment="1">
      <alignment vertical="center" wrapText="1"/>
    </xf>
    <xf numFmtId="0" fontId="0" fillId="101" borderId="2" xfId="0" applyFill="1" applyBorder="1" applyAlignment="1">
      <alignment vertical="center" wrapText="1"/>
    </xf>
    <xf numFmtId="0" fontId="0" fillId="102" borderId="2" xfId="0" applyFill="1" applyBorder="1" applyAlignment="1">
      <alignment vertical="center" wrapText="1"/>
    </xf>
    <xf numFmtId="0" fontId="0" fillId="103" borderId="2" xfId="0" applyFill="1" applyBorder="1" applyAlignment="1">
      <alignment vertical="center" wrapText="1"/>
    </xf>
    <xf numFmtId="0" fontId="0" fillId="104" borderId="2" xfId="0" applyFill="1" applyBorder="1" applyAlignment="1">
      <alignment vertical="center" wrapText="1"/>
    </xf>
    <xf numFmtId="0" fontId="0" fillId="105" borderId="2" xfId="0" applyFill="1" applyBorder="1" applyAlignment="1">
      <alignment vertical="center" wrapText="1"/>
    </xf>
    <xf numFmtId="0" fontId="0" fillId="106" borderId="2" xfId="0" applyFill="1" applyBorder="1" applyAlignment="1">
      <alignment vertical="center" wrapText="1"/>
    </xf>
    <xf numFmtId="0" fontId="0" fillId="107" borderId="2" xfId="0" applyFill="1" applyBorder="1" applyAlignment="1">
      <alignment vertical="center" wrapText="1"/>
    </xf>
    <xf numFmtId="0" fontId="0" fillId="108" borderId="2" xfId="0" applyFill="1" applyBorder="1" applyAlignment="1">
      <alignment vertical="center" wrapText="1"/>
    </xf>
    <xf numFmtId="0" fontId="0" fillId="109" borderId="2" xfId="0" applyFill="1" applyBorder="1" applyAlignment="1">
      <alignment vertical="center" wrapText="1"/>
    </xf>
    <xf numFmtId="0" fontId="0" fillId="110" borderId="2" xfId="0" applyFill="1" applyBorder="1" applyAlignment="1">
      <alignment vertical="center" wrapText="1"/>
    </xf>
    <xf numFmtId="0" fontId="0" fillId="111" borderId="2" xfId="0" applyFill="1" applyBorder="1" applyAlignment="1">
      <alignment vertical="center" wrapText="1"/>
    </xf>
    <xf numFmtId="0" fontId="0" fillId="112" borderId="2" xfId="0" applyFill="1" applyBorder="1" applyAlignment="1">
      <alignment vertical="center" wrapText="1"/>
    </xf>
    <xf numFmtId="0" fontId="0" fillId="113" borderId="2" xfId="0" applyFill="1" applyBorder="1" applyAlignment="1">
      <alignment vertical="center" wrapText="1"/>
    </xf>
    <xf numFmtId="0" fontId="0" fillId="114" borderId="2" xfId="0" applyFill="1" applyBorder="1" applyAlignment="1">
      <alignment vertical="center" wrapText="1"/>
    </xf>
    <xf numFmtId="0" fontId="0" fillId="115" borderId="2" xfId="0" applyFill="1" applyBorder="1" applyAlignment="1">
      <alignment vertical="center" wrapText="1"/>
    </xf>
    <xf numFmtId="0" fontId="0" fillId="116" borderId="2" xfId="0" applyFill="1" applyBorder="1" applyAlignment="1">
      <alignment vertical="center" wrapText="1"/>
    </xf>
    <xf numFmtId="0" fontId="0" fillId="117" borderId="2" xfId="0" applyFill="1" applyBorder="1" applyAlignment="1">
      <alignment vertical="center" wrapText="1"/>
    </xf>
    <xf numFmtId="0" fontId="0" fillId="118" borderId="2" xfId="0" applyFill="1" applyBorder="1" applyAlignment="1">
      <alignment vertical="center" wrapText="1"/>
    </xf>
    <xf numFmtId="0" fontId="0" fillId="119" borderId="2" xfId="0" applyFill="1" applyBorder="1" applyAlignment="1">
      <alignment vertical="center" wrapText="1"/>
    </xf>
    <xf numFmtId="0" fontId="0" fillId="120" borderId="2" xfId="0" applyFill="1" applyBorder="1" applyAlignment="1">
      <alignment vertical="center" wrapText="1"/>
    </xf>
    <xf numFmtId="0" fontId="0" fillId="121" borderId="2" xfId="0" applyFill="1" applyBorder="1" applyAlignment="1">
      <alignment vertical="center" wrapText="1"/>
    </xf>
    <xf numFmtId="0" fontId="0" fillId="122" borderId="2" xfId="0" applyFill="1" applyBorder="1" applyAlignment="1">
      <alignment vertical="center" wrapText="1"/>
    </xf>
    <xf numFmtId="0" fontId="0" fillId="123" borderId="2" xfId="0" applyFill="1" applyBorder="1" applyAlignment="1">
      <alignment vertical="center" wrapText="1"/>
    </xf>
    <xf numFmtId="0" fontId="0" fillId="124" borderId="2" xfId="0" applyFill="1" applyBorder="1" applyAlignment="1">
      <alignment vertical="center" wrapText="1"/>
    </xf>
    <xf numFmtId="0" fontId="0" fillId="125" borderId="2" xfId="0" applyFill="1" applyBorder="1" applyAlignment="1">
      <alignment vertical="center" wrapText="1"/>
    </xf>
    <xf numFmtId="0" fontId="0" fillId="126" borderId="2" xfId="0" applyFill="1" applyBorder="1" applyAlignment="1">
      <alignment vertical="center" wrapText="1"/>
    </xf>
    <xf numFmtId="0" fontId="0" fillId="127" borderId="2" xfId="0" applyFill="1" applyBorder="1" applyAlignment="1">
      <alignment vertical="center" wrapText="1"/>
    </xf>
    <xf numFmtId="0" fontId="0" fillId="128" borderId="2" xfId="0" applyFill="1" applyBorder="1" applyAlignment="1">
      <alignment vertical="center" wrapText="1"/>
    </xf>
    <xf numFmtId="0" fontId="0" fillId="129" borderId="2" xfId="0" applyFill="1" applyBorder="1" applyAlignment="1">
      <alignment vertical="center" wrapText="1"/>
    </xf>
    <xf numFmtId="0" fontId="0" fillId="130" borderId="2" xfId="0" applyFill="1" applyBorder="1" applyAlignment="1">
      <alignment vertical="center" wrapText="1"/>
    </xf>
    <xf numFmtId="0" fontId="0" fillId="131" borderId="2" xfId="0" applyFill="1" applyBorder="1" applyAlignment="1">
      <alignment vertical="center" wrapText="1"/>
    </xf>
    <xf numFmtId="0" fontId="0" fillId="132" borderId="2" xfId="0" applyFill="1" applyBorder="1" applyAlignment="1">
      <alignment vertical="center" wrapText="1"/>
    </xf>
    <xf numFmtId="0" fontId="0" fillId="133" borderId="2" xfId="0" applyFill="1" applyBorder="1" applyAlignment="1">
      <alignment vertical="center" wrapText="1"/>
    </xf>
    <xf numFmtId="0" fontId="0" fillId="134" borderId="2" xfId="0" applyFill="1" applyBorder="1" applyAlignment="1">
      <alignment vertical="center" wrapText="1"/>
    </xf>
    <xf numFmtId="0" fontId="0" fillId="135" borderId="2" xfId="0" applyFill="1" applyBorder="1" applyAlignment="1">
      <alignment vertical="center" wrapText="1"/>
    </xf>
    <xf numFmtId="0" fontId="0" fillId="136" borderId="2" xfId="0" applyFill="1" applyBorder="1" applyAlignment="1">
      <alignment vertical="center" wrapText="1"/>
    </xf>
    <xf numFmtId="0" fontId="0" fillId="137" borderId="2" xfId="0" applyFill="1" applyBorder="1" applyAlignment="1">
      <alignment vertical="center" wrapText="1"/>
    </xf>
    <xf numFmtId="0" fontId="0" fillId="0" borderId="0" xfId="0" applyAlignment="1">
      <alignment horizontal="left"/>
    </xf>
    <xf numFmtId="0" fontId="0" fillId="0" borderId="0" xfId="0" applyAlignment="1"/>
    <xf numFmtId="0" fontId="0" fillId="9" borderId="0" xfId="0" applyFill="1" applyAlignment="1">
      <alignment horizontal="left"/>
    </xf>
    <xf numFmtId="0" fontId="0" fillId="0" borderId="0" xfId="0" applyAlignment="1">
      <alignment vertical="center"/>
    </xf>
    <xf numFmtId="0" fontId="0" fillId="0" borderId="0" xfId="0" applyAlignment="1">
      <alignment wrapText="1"/>
    </xf>
    <xf numFmtId="0" fontId="9" fillId="0" borderId="4" xfId="3" applyFont="1" applyFill="1" applyBorder="1" applyAlignment="1">
      <alignment horizontal="center" vertical="top" textRotation="255" wrapText="1"/>
    </xf>
    <xf numFmtId="0" fontId="9" fillId="0" borderId="0" xfId="4" applyFont="1" applyFill="1" applyBorder="1" applyAlignment="1">
      <alignment horizontal="center" wrapText="1"/>
    </xf>
    <xf numFmtId="0" fontId="10" fillId="0" borderId="5" xfId="5" applyFill="1" applyBorder="1" applyAlignment="1">
      <alignment vertical="top" textRotation="255" wrapText="1"/>
    </xf>
    <xf numFmtId="49" fontId="9" fillId="0" borderId="6" xfId="5" applyNumberFormat="1" applyFont="1" applyFill="1" applyBorder="1" applyAlignment="1">
      <alignment horizontal="right" vertical="center"/>
    </xf>
    <xf numFmtId="1" fontId="9" fillId="0" borderId="5" xfId="6" applyNumberFormat="1" applyFont="1" applyFill="1" applyBorder="1" applyAlignment="1">
      <alignment horizontal="right" vertical="center" wrapText="1"/>
    </xf>
    <xf numFmtId="49" fontId="9" fillId="0" borderId="8" xfId="5" applyNumberFormat="1" applyFont="1" applyFill="1" applyBorder="1" applyAlignment="1">
      <alignment horizontal="right" vertical="center"/>
    </xf>
    <xf numFmtId="178" fontId="10" fillId="3" borderId="5" xfId="5" applyNumberFormat="1" applyFill="1" applyBorder="1">
      <alignment vertical="center"/>
    </xf>
    <xf numFmtId="178" fontId="10" fillId="3" borderId="7" xfId="5" applyNumberFormat="1" applyFill="1" applyBorder="1">
      <alignment vertical="center"/>
    </xf>
    <xf numFmtId="178" fontId="10" fillId="3" borderId="1" xfId="5" applyNumberFormat="1" applyFill="1" applyBorder="1">
      <alignment vertical="center"/>
    </xf>
    <xf numFmtId="49" fontId="9" fillId="0" borderId="9" xfId="5" applyNumberFormat="1" applyFont="1" applyFill="1" applyBorder="1" applyAlignment="1">
      <alignment horizontal="right" vertical="center"/>
    </xf>
    <xf numFmtId="1" fontId="9" fillId="0" borderId="10" xfId="6" applyNumberFormat="1" applyFont="1" applyFill="1" applyBorder="1" applyAlignment="1">
      <alignment horizontal="right" vertical="center" wrapText="1"/>
    </xf>
    <xf numFmtId="178" fontId="10" fillId="3" borderId="10" xfId="5" applyNumberFormat="1" applyFill="1" applyBorder="1">
      <alignment vertical="center"/>
    </xf>
    <xf numFmtId="178" fontId="10" fillId="3" borderId="11" xfId="5" applyNumberFormat="1" applyFill="1" applyBorder="1">
      <alignment vertical="center"/>
    </xf>
    <xf numFmtId="178" fontId="10" fillId="140" borderId="10" xfId="5" applyNumberFormat="1" applyFill="1" applyBorder="1">
      <alignment vertical="center"/>
    </xf>
    <xf numFmtId="178" fontId="10" fillId="140" borderId="11" xfId="5" applyNumberFormat="1" applyFill="1" applyBorder="1">
      <alignment vertical="center"/>
    </xf>
    <xf numFmtId="178" fontId="10" fillId="140" borderId="1" xfId="5" applyNumberFormat="1" applyFill="1" applyBorder="1">
      <alignment vertical="center"/>
    </xf>
    <xf numFmtId="178" fontId="10" fillId="141" borderId="1" xfId="5" applyNumberFormat="1" applyFill="1" applyBorder="1">
      <alignment vertical="center"/>
    </xf>
    <xf numFmtId="49" fontId="9" fillId="0" borderId="12" xfId="5" applyNumberFormat="1" applyFont="1" applyFill="1" applyBorder="1" applyAlignment="1">
      <alignment horizontal="right" vertical="center"/>
    </xf>
    <xf numFmtId="178" fontId="10" fillId="141" borderId="10" xfId="5" applyNumberFormat="1" applyFill="1" applyBorder="1">
      <alignment vertical="center"/>
    </xf>
    <xf numFmtId="178" fontId="10" fillId="141" borderId="11" xfId="5" applyNumberFormat="1" applyFill="1" applyBorder="1">
      <alignment vertical="center"/>
    </xf>
    <xf numFmtId="178" fontId="10" fillId="140" borderId="7" xfId="5" applyNumberFormat="1" applyFill="1" applyBorder="1">
      <alignment vertical="center"/>
    </xf>
    <xf numFmtId="178" fontId="10" fillId="142" borderId="1" xfId="5" applyNumberFormat="1" applyFill="1" applyBorder="1">
      <alignment vertical="center"/>
    </xf>
    <xf numFmtId="49" fontId="9" fillId="0" borderId="13" xfId="5" applyNumberFormat="1" applyFont="1" applyFill="1" applyBorder="1" applyAlignment="1">
      <alignment horizontal="right" vertical="center"/>
    </xf>
    <xf numFmtId="1" fontId="9" fillId="0" borderId="14" xfId="6" applyNumberFormat="1" applyFont="1" applyFill="1" applyBorder="1" applyAlignment="1">
      <alignment horizontal="right" vertical="center" wrapText="1"/>
    </xf>
    <xf numFmtId="178" fontId="10" fillId="143" borderId="10" xfId="5" applyNumberFormat="1" applyFill="1" applyBorder="1">
      <alignment vertical="center"/>
    </xf>
    <xf numFmtId="178" fontId="10" fillId="143" borderId="1" xfId="5" applyNumberFormat="1" applyFill="1" applyBorder="1">
      <alignment vertical="center"/>
    </xf>
    <xf numFmtId="49" fontId="9" fillId="0" borderId="15" xfId="5" applyNumberFormat="1" applyFont="1" applyFill="1" applyBorder="1" applyAlignment="1">
      <alignment horizontal="right" vertical="center"/>
    </xf>
    <xf numFmtId="178" fontId="10" fillId="140" borderId="5" xfId="5" applyNumberFormat="1" applyFill="1" applyBorder="1">
      <alignment vertical="center"/>
    </xf>
    <xf numFmtId="178" fontId="10" fillId="3" borderId="14" xfId="5" applyNumberFormat="1" applyFill="1" applyBorder="1">
      <alignment vertical="center"/>
    </xf>
    <xf numFmtId="178" fontId="10" fillId="141" borderId="14" xfId="5" applyNumberFormat="1" applyFill="1" applyBorder="1">
      <alignment vertical="center"/>
    </xf>
    <xf numFmtId="178" fontId="10" fillId="3" borderId="16" xfId="5" applyNumberFormat="1" applyFill="1" applyBorder="1">
      <alignment vertical="center"/>
    </xf>
    <xf numFmtId="178" fontId="10" fillId="3" borderId="17" xfId="5" applyNumberFormat="1" applyFill="1" applyBorder="1">
      <alignment vertical="center"/>
    </xf>
    <xf numFmtId="178" fontId="10" fillId="140" borderId="17" xfId="5" applyNumberFormat="1" applyFill="1" applyBorder="1">
      <alignment vertical="center"/>
    </xf>
    <xf numFmtId="178" fontId="10" fillId="142" borderId="17" xfId="5" applyNumberFormat="1" applyFill="1" applyBorder="1">
      <alignment vertical="center"/>
    </xf>
    <xf numFmtId="178" fontId="10" fillId="141" borderId="17" xfId="5" applyNumberFormat="1" applyFill="1" applyBorder="1">
      <alignment vertical="center"/>
    </xf>
    <xf numFmtId="178" fontId="10" fillId="143" borderId="17" xfId="5" applyNumberFormat="1" applyFill="1" applyBorder="1">
      <alignment vertical="center"/>
    </xf>
    <xf numFmtId="178" fontId="10" fillId="140" borderId="18" xfId="5" applyNumberFormat="1" applyFill="1" applyBorder="1">
      <alignment vertical="center"/>
    </xf>
    <xf numFmtId="178" fontId="10" fillId="142" borderId="18" xfId="5" applyNumberFormat="1" applyFill="1" applyBorder="1">
      <alignment vertical="center"/>
    </xf>
    <xf numFmtId="178" fontId="10" fillId="140" borderId="14" xfId="5" applyNumberFormat="1" applyFill="1" applyBorder="1">
      <alignment vertical="center"/>
    </xf>
    <xf numFmtId="178" fontId="10" fillId="142" borderId="14" xfId="5" applyNumberFormat="1" applyFill="1" applyBorder="1">
      <alignment vertical="center"/>
    </xf>
    <xf numFmtId="178" fontId="10" fillId="141" borderId="16" xfId="5" applyNumberFormat="1" applyFill="1" applyBorder="1">
      <alignment vertical="center"/>
    </xf>
    <xf numFmtId="178" fontId="10" fillId="143" borderId="16" xfId="5" applyNumberFormat="1" applyFill="1" applyBorder="1">
      <alignment vertical="center"/>
    </xf>
    <xf numFmtId="0" fontId="0" fillId="3" borderId="0" xfId="0" applyFill="1"/>
    <xf numFmtId="49" fontId="12" fillId="144" borderId="0" xfId="0" applyNumberFormat="1" applyFont="1" applyFill="1" applyBorder="1" applyAlignment="1" applyProtection="1">
      <alignment vertical="center" wrapText="1"/>
    </xf>
    <xf numFmtId="49" fontId="13" fillId="145" borderId="19" xfId="7" applyNumberFormat="1" applyFont="1" applyFill="1" applyBorder="1" applyAlignment="1" applyProtection="1">
      <alignment vertical="center" wrapText="1"/>
    </xf>
    <xf numFmtId="49" fontId="14" fillId="0" borderId="20" xfId="8" applyNumberFormat="1" applyFont="1" applyBorder="1" applyProtection="1">
      <alignment vertical="center"/>
      <protection locked="0"/>
    </xf>
    <xf numFmtId="49" fontId="14" fillId="0" borderId="21" xfId="8" applyNumberFormat="1" applyFont="1" applyBorder="1" applyProtection="1">
      <alignment vertical="center"/>
      <protection locked="0"/>
    </xf>
    <xf numFmtId="0" fontId="9" fillId="146" borderId="22" xfId="3" applyNumberFormat="1" applyFont="1" applyFill="1" applyBorder="1" applyAlignment="1">
      <alignment horizontal="center" vertical="center"/>
    </xf>
    <xf numFmtId="0" fontId="15" fillId="139" borderId="3" xfId="0" applyNumberFormat="1" applyFont="1" applyFill="1" applyBorder="1" applyAlignment="1">
      <alignment horizontal="right" vertical="center"/>
    </xf>
    <xf numFmtId="0" fontId="16" fillId="139" borderId="3" xfId="4" applyNumberFormat="1" applyFont="1" applyFill="1" applyBorder="1" applyAlignment="1">
      <alignment horizontal="right" vertical="center"/>
    </xf>
    <xf numFmtId="0" fontId="17" fillId="148" borderId="9" xfId="4" applyNumberFormat="1" applyFont="1" applyFill="1" applyBorder="1" applyAlignment="1">
      <alignment horizontal="right" vertical="center"/>
    </xf>
    <xf numFmtId="180" fontId="17" fillId="148" borderId="9" xfId="4" applyNumberFormat="1" applyFont="1" applyFill="1" applyBorder="1" applyAlignment="1">
      <alignment horizontal="right" vertical="center"/>
    </xf>
    <xf numFmtId="0" fontId="15" fillId="139" borderId="23" xfId="0" applyNumberFormat="1" applyFont="1" applyFill="1" applyBorder="1" applyAlignment="1">
      <alignment horizontal="right" vertical="center"/>
    </xf>
    <xf numFmtId="0" fontId="16" fillId="139" borderId="23" xfId="4" applyNumberFormat="1" applyFont="1" applyFill="1" applyBorder="1" applyAlignment="1">
      <alignment horizontal="right" vertical="center"/>
    </xf>
    <xf numFmtId="178" fontId="10" fillId="0" borderId="17" xfId="5" applyNumberFormat="1" applyFill="1" applyBorder="1">
      <alignment vertical="center"/>
    </xf>
    <xf numFmtId="0" fontId="19" fillId="0" borderId="26" xfId="5" applyNumberFormat="1" applyFont="1" applyBorder="1">
      <alignment vertical="center"/>
    </xf>
    <xf numFmtId="0" fontId="19" fillId="0" borderId="27" xfId="5" applyNumberFormat="1" applyFont="1" applyBorder="1">
      <alignment vertical="center"/>
    </xf>
    <xf numFmtId="0" fontId="19" fillId="0" borderId="28" xfId="5" applyNumberFormat="1" applyFont="1" applyBorder="1">
      <alignment vertical="center"/>
    </xf>
    <xf numFmtId="0" fontId="19" fillId="0" borderId="32" xfId="5" applyNumberFormat="1" applyFont="1" applyBorder="1">
      <alignment vertical="center"/>
    </xf>
    <xf numFmtId="0" fontId="19" fillId="0" borderId="0" xfId="5" applyNumberFormat="1" applyFont="1" applyBorder="1">
      <alignment vertical="center"/>
    </xf>
    <xf numFmtId="0" fontId="19" fillId="0" borderId="33" xfId="5" applyNumberFormat="1" applyFont="1" applyBorder="1">
      <alignment vertical="center"/>
    </xf>
    <xf numFmtId="49" fontId="10" fillId="149" borderId="34" xfId="5" applyNumberFormat="1" applyFill="1" applyBorder="1" applyAlignment="1">
      <alignment vertical="center" wrapText="1"/>
    </xf>
    <xf numFmtId="49" fontId="10" fillId="149" borderId="35" xfId="5" applyNumberFormat="1" applyFill="1" applyBorder="1" applyAlignment="1">
      <alignment vertical="center" wrapText="1"/>
    </xf>
    <xf numFmtId="49" fontId="10" fillId="149" borderId="36" xfId="5" applyNumberFormat="1" applyFill="1" applyBorder="1" applyAlignment="1">
      <alignment vertical="center" wrapText="1"/>
    </xf>
    <xf numFmtId="0" fontId="19" fillId="0" borderId="37" xfId="5" applyNumberFormat="1" applyFont="1" applyBorder="1">
      <alignment vertical="center"/>
    </xf>
    <xf numFmtId="0" fontId="19" fillId="0" borderId="38" xfId="5" applyNumberFormat="1" applyFont="1" applyBorder="1">
      <alignment vertical="center"/>
    </xf>
    <xf numFmtId="0" fontId="19" fillId="0" borderId="39" xfId="5" applyNumberFormat="1" applyFont="1" applyBorder="1">
      <alignment vertical="center"/>
    </xf>
    <xf numFmtId="49" fontId="10" fillId="149" borderId="40" xfId="5" applyNumberFormat="1" applyFill="1" applyBorder="1" applyAlignment="1">
      <alignment horizontal="center" vertical="center" wrapText="1"/>
    </xf>
    <xf numFmtId="49" fontId="10" fillId="149" borderId="35" xfId="5" applyNumberFormat="1" applyFill="1" applyBorder="1" applyAlignment="1">
      <alignment horizontal="center" vertical="center" wrapText="1"/>
    </xf>
    <xf numFmtId="49" fontId="10" fillId="149" borderId="36" xfId="5" applyNumberFormat="1" applyFill="1" applyBorder="1" applyAlignment="1">
      <alignment horizontal="center" vertical="center" wrapText="1"/>
    </xf>
    <xf numFmtId="49" fontId="10" fillId="149" borderId="41" xfId="5" applyNumberFormat="1" applyFill="1" applyBorder="1" applyAlignment="1">
      <alignment vertical="center"/>
    </xf>
    <xf numFmtId="49" fontId="10" fillId="149" borderId="42" xfId="5" applyNumberFormat="1" applyFill="1" applyBorder="1" applyAlignment="1">
      <alignment vertical="center"/>
    </xf>
    <xf numFmtId="49" fontId="10" fillId="149" borderId="43" xfId="5" applyNumberFormat="1" applyFill="1" applyBorder="1" applyAlignment="1">
      <alignment vertical="center"/>
    </xf>
    <xf numFmtId="181" fontId="10" fillId="150" borderId="44" xfId="5" applyNumberFormat="1" applyFill="1" applyBorder="1">
      <alignment vertical="center"/>
    </xf>
    <xf numFmtId="178" fontId="10" fillId="0" borderId="30" xfId="5" applyNumberFormat="1" applyBorder="1">
      <alignment vertical="center"/>
    </xf>
    <xf numFmtId="178" fontId="10" fillId="0" borderId="31" xfId="5" applyNumberFormat="1" applyBorder="1">
      <alignment vertical="center"/>
    </xf>
    <xf numFmtId="49" fontId="10" fillId="149" borderId="27" xfId="5" applyNumberFormat="1" applyFill="1" applyBorder="1" applyAlignment="1">
      <alignment vertical="center" wrapText="1"/>
    </xf>
    <xf numFmtId="49" fontId="10" fillId="149" borderId="45" xfId="5" applyNumberFormat="1" applyFill="1" applyBorder="1" applyAlignment="1">
      <alignment horizontal="center" vertical="center"/>
    </xf>
    <xf numFmtId="181" fontId="10" fillId="150" borderId="46" xfId="5" applyNumberFormat="1" applyFill="1" applyBorder="1">
      <alignment vertical="center"/>
    </xf>
    <xf numFmtId="182" fontId="10" fillId="140" borderId="16" xfId="5" applyNumberFormat="1" applyFill="1" applyBorder="1">
      <alignment vertical="center"/>
    </xf>
    <xf numFmtId="183" fontId="10" fillId="141" borderId="16" xfId="5" applyNumberFormat="1" applyFill="1" applyBorder="1">
      <alignment vertical="center"/>
    </xf>
    <xf numFmtId="184" fontId="10" fillId="140" borderId="16" xfId="5" applyNumberFormat="1" applyFill="1" applyBorder="1">
      <alignment vertical="center"/>
    </xf>
    <xf numFmtId="178" fontId="10" fillId="0" borderId="16" xfId="5" applyNumberFormat="1" applyBorder="1">
      <alignment vertical="center"/>
    </xf>
    <xf numFmtId="183" fontId="10" fillId="143" borderId="16" xfId="5" applyNumberFormat="1" applyFill="1" applyBorder="1">
      <alignment vertical="center"/>
    </xf>
    <xf numFmtId="182" fontId="10" fillId="142" borderId="16" xfId="5" applyNumberFormat="1" applyFill="1" applyBorder="1">
      <alignment vertical="center"/>
    </xf>
    <xf numFmtId="185" fontId="10" fillId="141" borderId="16" xfId="5" applyNumberFormat="1" applyFill="1" applyBorder="1">
      <alignment vertical="center"/>
    </xf>
    <xf numFmtId="178" fontId="10" fillId="0" borderId="47" xfId="5" applyNumberFormat="1" applyBorder="1">
      <alignment vertical="center"/>
    </xf>
    <xf numFmtId="49" fontId="10" fillId="149" borderId="48" xfId="5" applyNumberFormat="1" applyFill="1" applyBorder="1" applyAlignment="1">
      <alignment vertical="center" wrapText="1"/>
    </xf>
    <xf numFmtId="49" fontId="10" fillId="149" borderId="33" xfId="5" applyNumberFormat="1" applyFill="1" applyBorder="1" applyAlignment="1">
      <alignment horizontal="center" vertical="center"/>
    </xf>
    <xf numFmtId="181" fontId="10" fillId="150" borderId="49" xfId="5" applyNumberFormat="1" applyFill="1" applyBorder="1">
      <alignment vertical="center"/>
    </xf>
    <xf numFmtId="178" fontId="10" fillId="0" borderId="17" xfId="5" applyNumberFormat="1" applyBorder="1">
      <alignment vertical="center"/>
    </xf>
    <xf numFmtId="184" fontId="10" fillId="140" borderId="17" xfId="5" applyNumberFormat="1" applyFill="1" applyBorder="1">
      <alignment vertical="center"/>
    </xf>
    <xf numFmtId="184" fontId="10" fillId="0" borderId="17" xfId="5" applyNumberFormat="1" applyBorder="1">
      <alignment vertical="center"/>
    </xf>
    <xf numFmtId="178" fontId="10" fillId="0" borderId="50" xfId="5" applyNumberFormat="1" applyBorder="1">
      <alignment vertical="center"/>
    </xf>
    <xf numFmtId="49" fontId="10" fillId="149" borderId="0" xfId="5" applyNumberFormat="1" applyFill="1" applyBorder="1" applyAlignment="1">
      <alignment vertical="center" wrapText="1"/>
    </xf>
    <xf numFmtId="49" fontId="10" fillId="149" borderId="51" xfId="5" applyNumberFormat="1" applyFill="1" applyBorder="1" applyAlignment="1">
      <alignment horizontal="center" vertical="center"/>
    </xf>
    <xf numFmtId="182" fontId="10" fillId="142" borderId="17" xfId="5" applyNumberFormat="1" applyFill="1" applyBorder="1">
      <alignment vertical="center"/>
    </xf>
    <xf numFmtId="186" fontId="10" fillId="141" borderId="17" xfId="5" applyNumberFormat="1" applyFill="1" applyBorder="1">
      <alignment vertical="center"/>
    </xf>
    <xf numFmtId="183" fontId="10" fillId="141" borderId="17" xfId="5" applyNumberFormat="1" applyFill="1" applyBorder="1">
      <alignment vertical="center"/>
    </xf>
    <xf numFmtId="183" fontId="10" fillId="0" borderId="17" xfId="5" applyNumberFormat="1" applyBorder="1">
      <alignment vertical="center"/>
    </xf>
    <xf numFmtId="49" fontId="10" fillId="149" borderId="38" xfId="5" applyNumberFormat="1" applyFill="1" applyBorder="1" applyAlignment="1">
      <alignment vertical="center" wrapText="1"/>
    </xf>
    <xf numFmtId="49" fontId="10" fillId="149" borderId="53" xfId="5" applyNumberFormat="1" applyFill="1" applyBorder="1" applyAlignment="1">
      <alignment horizontal="center" vertical="center"/>
    </xf>
    <xf numFmtId="181" fontId="10" fillId="150" borderId="54" xfId="5" applyNumberFormat="1" applyFill="1" applyBorder="1">
      <alignment vertical="center"/>
    </xf>
    <xf numFmtId="178" fontId="10" fillId="0" borderId="55" xfId="5" applyNumberFormat="1" applyBorder="1">
      <alignment vertical="center"/>
    </xf>
    <xf numFmtId="186" fontId="10" fillId="141" borderId="55" xfId="5" applyNumberFormat="1" applyFill="1" applyBorder="1">
      <alignment vertical="center"/>
    </xf>
    <xf numFmtId="182" fontId="10" fillId="140" borderId="55" xfId="5" applyNumberFormat="1" applyFill="1" applyBorder="1">
      <alignment vertical="center"/>
    </xf>
    <xf numFmtId="187" fontId="10" fillId="0" borderId="55" xfId="5" applyNumberFormat="1" applyBorder="1">
      <alignment vertical="center"/>
    </xf>
    <xf numFmtId="178" fontId="10" fillId="0" borderId="56" xfId="5" applyNumberFormat="1" applyBorder="1">
      <alignment vertical="center"/>
    </xf>
    <xf numFmtId="49" fontId="10" fillId="149" borderId="43" xfId="5" applyNumberFormat="1" applyFill="1" applyBorder="1" applyAlignment="1">
      <alignment horizontal="center" vertical="center"/>
    </xf>
    <xf numFmtId="0" fontId="10" fillId="0" borderId="44" xfId="5" applyNumberFormat="1" applyFill="1" applyBorder="1">
      <alignment vertical="center"/>
    </xf>
    <xf numFmtId="178" fontId="10" fillId="0" borderId="30" xfId="5" applyNumberFormat="1" applyFill="1" applyBorder="1">
      <alignment vertical="center"/>
    </xf>
    <xf numFmtId="178" fontId="10" fillId="0" borderId="31" xfId="5" applyNumberFormat="1" applyFill="1" applyBorder="1">
      <alignment vertical="center"/>
    </xf>
    <xf numFmtId="0" fontId="10" fillId="0" borderId="46" xfId="5" applyNumberFormat="1" applyFill="1" applyBorder="1">
      <alignment vertical="center"/>
    </xf>
    <xf numFmtId="182" fontId="10" fillId="0" borderId="16" xfId="5" applyNumberFormat="1" applyFill="1" applyBorder="1">
      <alignment vertical="center"/>
    </xf>
    <xf numFmtId="186" fontId="10" fillId="0" borderId="16" xfId="5" applyNumberFormat="1" applyFill="1" applyBorder="1">
      <alignment vertical="center"/>
    </xf>
    <xf numFmtId="187" fontId="10" fillId="0" borderId="16" xfId="5" applyNumberFormat="1" applyFill="1" applyBorder="1">
      <alignment vertical="center"/>
    </xf>
    <xf numFmtId="178" fontId="10" fillId="0" borderId="16" xfId="5" applyNumberFormat="1" applyFill="1" applyBorder="1">
      <alignment vertical="center"/>
    </xf>
    <xf numFmtId="0" fontId="10" fillId="0" borderId="47" xfId="5" applyNumberFormat="1" applyFill="1" applyBorder="1">
      <alignment vertical="center"/>
    </xf>
    <xf numFmtId="0" fontId="10" fillId="0" borderId="49" xfId="5" applyNumberFormat="1" applyFill="1" applyBorder="1">
      <alignment vertical="center"/>
    </xf>
    <xf numFmtId="184" fontId="10" fillId="0" borderId="17" xfId="5" applyNumberFormat="1" applyFill="1" applyBorder="1">
      <alignment vertical="center"/>
    </xf>
    <xf numFmtId="0" fontId="10" fillId="0" borderId="50" xfId="5" applyNumberFormat="1" applyFill="1" applyBorder="1">
      <alignment vertical="center"/>
    </xf>
    <xf numFmtId="182" fontId="10" fillId="0" borderId="17" xfId="5" applyNumberFormat="1" applyFill="1" applyBorder="1">
      <alignment vertical="center"/>
    </xf>
    <xf numFmtId="186" fontId="10" fillId="0" borderId="17" xfId="5" applyNumberFormat="1" applyFill="1" applyBorder="1">
      <alignment vertical="center"/>
    </xf>
    <xf numFmtId="183" fontId="10" fillId="0" borderId="17" xfId="5" applyNumberFormat="1" applyFill="1" applyBorder="1">
      <alignment vertical="center"/>
    </xf>
    <xf numFmtId="0" fontId="10" fillId="0" borderId="54" xfId="5" applyNumberFormat="1" applyFill="1" applyBorder="1">
      <alignment vertical="center"/>
    </xf>
    <xf numFmtId="178" fontId="10" fillId="0" borderId="55" xfId="5" applyNumberFormat="1" applyFill="1" applyBorder="1">
      <alignment vertical="center"/>
    </xf>
    <xf numFmtId="186" fontId="10" fillId="0" borderId="55" xfId="5" applyNumberFormat="1" applyFill="1" applyBorder="1">
      <alignment vertical="center"/>
    </xf>
    <xf numFmtId="182" fontId="10" fillId="0" borderId="55" xfId="5" applyNumberFormat="1" applyFill="1" applyBorder="1">
      <alignment vertical="center"/>
    </xf>
    <xf numFmtId="187" fontId="10" fillId="0" borderId="55" xfId="5" applyNumberFormat="1" applyFill="1" applyBorder="1">
      <alignment vertical="center"/>
    </xf>
    <xf numFmtId="0" fontId="10" fillId="0" borderId="56" xfId="5" applyNumberFormat="1" applyFill="1" applyBorder="1">
      <alignment vertical="center"/>
    </xf>
    <xf numFmtId="181" fontId="10" fillId="0" borderId="44" xfId="5" applyNumberFormat="1" applyFill="1" applyBorder="1">
      <alignment vertical="center"/>
    </xf>
    <xf numFmtId="181" fontId="10" fillId="0" borderId="46" xfId="5" applyNumberFormat="1" applyFill="1" applyBorder="1">
      <alignment vertical="center"/>
    </xf>
    <xf numFmtId="188" fontId="10" fillId="140" borderId="16" xfId="5" applyNumberFormat="1" applyFill="1" applyBorder="1" applyAlignment="1">
      <alignment horizontal="left" vertical="center"/>
    </xf>
    <xf numFmtId="181" fontId="10" fillId="0" borderId="49" xfId="5" applyNumberFormat="1" applyFill="1" applyBorder="1">
      <alignment vertical="center"/>
    </xf>
    <xf numFmtId="181" fontId="10" fillId="0" borderId="54" xfId="5" applyNumberFormat="1" applyFill="1" applyBorder="1">
      <alignment vertical="center"/>
    </xf>
    <xf numFmtId="189" fontId="10" fillId="0" borderId="49" xfId="5" applyNumberFormat="1" applyFill="1" applyBorder="1">
      <alignment vertical="center"/>
    </xf>
    <xf numFmtId="189" fontId="0" fillId="0" borderId="0" xfId="0" applyNumberFormat="1"/>
    <xf numFmtId="0" fontId="5" fillId="0" borderId="0" xfId="1"/>
    <xf numFmtId="191" fontId="10" fillId="140" borderId="16" xfId="5" applyNumberFormat="1" applyFill="1" applyBorder="1" applyAlignment="1">
      <alignment horizontal="left" vertical="center"/>
    </xf>
    <xf numFmtId="190" fontId="10" fillId="0" borderId="17" xfId="5" applyNumberFormat="1" applyBorder="1" applyAlignment="1">
      <alignment horizontal="left" vertical="center"/>
    </xf>
    <xf numFmtId="190" fontId="10" fillId="141" borderId="17" xfId="5" applyNumberFormat="1" applyFill="1" applyBorder="1" applyAlignment="1">
      <alignment horizontal="left" vertical="center"/>
    </xf>
    <xf numFmtId="190" fontId="10" fillId="0" borderId="55" xfId="5" applyNumberFormat="1" applyBorder="1" applyAlignment="1">
      <alignment horizontal="left" vertical="center"/>
    </xf>
    <xf numFmtId="190" fontId="10" fillId="141" borderId="16" xfId="5" applyNumberFormat="1" applyFill="1" applyBorder="1" applyAlignment="1">
      <alignment horizontal="left" vertical="center"/>
    </xf>
    <xf numFmtId="192" fontId="10" fillId="142" borderId="17" xfId="5" applyNumberFormat="1" applyFill="1" applyBorder="1" applyAlignment="1">
      <alignment horizontal="left" vertical="center"/>
    </xf>
    <xf numFmtId="190" fontId="10" fillId="141" borderId="55" xfId="5" applyNumberFormat="1" applyFill="1" applyBorder="1" applyAlignment="1">
      <alignment horizontal="left" vertical="center"/>
    </xf>
    <xf numFmtId="193" fontId="10" fillId="140" borderId="16" xfId="5" applyNumberFormat="1" applyFill="1" applyBorder="1" applyAlignment="1">
      <alignment horizontal="left" vertical="center"/>
    </xf>
    <xf numFmtId="194" fontId="10" fillId="0" borderId="55" xfId="5" applyNumberFormat="1" applyBorder="1" applyAlignment="1">
      <alignment horizontal="left" vertical="center"/>
    </xf>
    <xf numFmtId="195" fontId="10" fillId="140" borderId="16" xfId="5" applyNumberFormat="1" applyFill="1" applyBorder="1" applyAlignment="1">
      <alignment horizontal="left" vertical="center"/>
    </xf>
    <xf numFmtId="195" fontId="10" fillId="140" borderId="17" xfId="5" applyNumberFormat="1" applyFill="1" applyBorder="1" applyAlignment="1">
      <alignment horizontal="left" vertical="center"/>
    </xf>
    <xf numFmtId="190" fontId="10" fillId="0" borderId="16" xfId="5" applyNumberFormat="1" applyBorder="1" applyAlignment="1">
      <alignment horizontal="left" vertical="center"/>
    </xf>
    <xf numFmtId="190" fontId="10" fillId="143" borderId="16" xfId="5" applyNumberFormat="1" applyFill="1" applyBorder="1" applyAlignment="1">
      <alignment horizontal="left" vertical="center"/>
    </xf>
    <xf numFmtId="196" fontId="10" fillId="140" borderId="17" xfId="5" applyNumberFormat="1" applyFill="1" applyBorder="1" applyAlignment="1">
      <alignment horizontal="left" vertical="center"/>
    </xf>
    <xf numFmtId="197" fontId="10" fillId="0" borderId="17" xfId="5" applyNumberFormat="1" applyBorder="1" applyAlignment="1">
      <alignment horizontal="left" vertical="center"/>
    </xf>
    <xf numFmtId="198" fontId="10" fillId="140" borderId="55" xfId="5" applyNumberFormat="1" applyFill="1" applyBorder="1" applyAlignment="1">
      <alignment horizontal="left" vertical="center"/>
    </xf>
    <xf numFmtId="199" fontId="10" fillId="142" borderId="16" xfId="5" applyNumberFormat="1" applyFill="1" applyBorder="1" applyAlignment="1">
      <alignment horizontal="left" vertical="center"/>
    </xf>
    <xf numFmtId="194" fontId="10" fillId="0" borderId="17" xfId="5" applyNumberFormat="1" applyBorder="1" applyAlignment="1">
      <alignment horizontal="left" vertical="center"/>
    </xf>
    <xf numFmtId="195" fontId="10" fillId="0" borderId="55" xfId="5" applyNumberFormat="1" applyBorder="1" applyAlignment="1">
      <alignment horizontal="left" vertical="center"/>
    </xf>
    <xf numFmtId="200" fontId="10" fillId="140" borderId="55" xfId="5" applyNumberFormat="1" applyFill="1" applyBorder="1" applyAlignment="1">
      <alignment horizontal="left" vertical="center"/>
    </xf>
    <xf numFmtId="201" fontId="10" fillId="0" borderId="55" xfId="5" applyNumberFormat="1" applyBorder="1" applyAlignment="1">
      <alignment horizontal="left" vertical="center"/>
    </xf>
    <xf numFmtId="202" fontId="10" fillId="0" borderId="17" xfId="5" applyNumberFormat="1" applyBorder="1" applyAlignment="1">
      <alignment horizontal="left" vertical="center"/>
    </xf>
    <xf numFmtId="190" fontId="10" fillId="0" borderId="47" xfId="5" applyNumberFormat="1" applyBorder="1" applyAlignment="1">
      <alignment horizontal="left" vertical="center"/>
    </xf>
    <xf numFmtId="190" fontId="10" fillId="0" borderId="50" xfId="5" applyNumberFormat="1" applyBorder="1" applyAlignment="1">
      <alignment horizontal="left" vertical="center"/>
    </xf>
    <xf numFmtId="190" fontId="10" fillId="0" borderId="56" xfId="5" applyNumberFormat="1" applyBorder="1" applyAlignment="1">
      <alignment horizontal="left" vertical="center"/>
    </xf>
    <xf numFmtId="203" fontId="0" fillId="0" borderId="0" xfId="0" applyNumberFormat="1" applyAlignment="1">
      <alignment horizontal="left"/>
    </xf>
    <xf numFmtId="191" fontId="0" fillId="0" borderId="0" xfId="0" applyNumberFormat="1" applyAlignment="1">
      <alignment horizontal="left"/>
    </xf>
    <xf numFmtId="190" fontId="0" fillId="0" borderId="0" xfId="0" applyNumberFormat="1" applyAlignment="1">
      <alignment horizontal="left"/>
    </xf>
    <xf numFmtId="204" fontId="0" fillId="0" borderId="0" xfId="0" applyNumberFormat="1" applyAlignment="1">
      <alignment horizontal="left"/>
    </xf>
    <xf numFmtId="192" fontId="0" fillId="0" borderId="0" xfId="0" applyNumberFormat="1" applyAlignment="1">
      <alignment horizontal="left"/>
    </xf>
    <xf numFmtId="193" fontId="0" fillId="0" borderId="0" xfId="0" applyNumberFormat="1" applyAlignment="1">
      <alignment horizontal="left"/>
    </xf>
    <xf numFmtId="194" fontId="0" fillId="0" borderId="0" xfId="0" applyNumberFormat="1" applyAlignment="1">
      <alignment horizontal="left"/>
    </xf>
    <xf numFmtId="195" fontId="0" fillId="0" borderId="0" xfId="0" applyNumberFormat="1" applyAlignment="1">
      <alignment horizontal="left"/>
    </xf>
    <xf numFmtId="205" fontId="0" fillId="0" borderId="0" xfId="0" applyNumberFormat="1" applyAlignment="1">
      <alignment horizontal="left"/>
    </xf>
    <xf numFmtId="196" fontId="0" fillId="0" borderId="0" xfId="0" applyNumberFormat="1" applyAlignment="1">
      <alignment horizontal="left"/>
    </xf>
    <xf numFmtId="197" fontId="0" fillId="0" borderId="0" xfId="0" applyNumberFormat="1" applyAlignment="1">
      <alignment horizontal="left"/>
    </xf>
    <xf numFmtId="198" fontId="0" fillId="0" borderId="0" xfId="0" applyNumberFormat="1" applyAlignment="1">
      <alignment horizontal="left"/>
    </xf>
    <xf numFmtId="206" fontId="0" fillId="0" borderId="0" xfId="0" applyNumberFormat="1" applyAlignment="1">
      <alignment horizontal="left"/>
    </xf>
    <xf numFmtId="199" fontId="0" fillId="0" borderId="0" xfId="0" applyNumberFormat="1" applyAlignment="1">
      <alignment horizontal="left"/>
    </xf>
    <xf numFmtId="200" fontId="0" fillId="0" borderId="0" xfId="0" applyNumberFormat="1" applyAlignment="1">
      <alignment horizontal="left"/>
    </xf>
    <xf numFmtId="207" fontId="0" fillId="0" borderId="0" xfId="0" applyNumberFormat="1" applyAlignment="1">
      <alignment horizontal="left"/>
    </xf>
    <xf numFmtId="208" fontId="0" fillId="0" borderId="0" xfId="0" applyNumberFormat="1" applyAlignment="1">
      <alignment horizontal="left"/>
    </xf>
    <xf numFmtId="209" fontId="0" fillId="0" borderId="0" xfId="0" applyNumberFormat="1" applyAlignment="1">
      <alignment horizontal="left"/>
    </xf>
    <xf numFmtId="210" fontId="0" fillId="0" borderId="0" xfId="0" applyNumberFormat="1" applyAlignment="1">
      <alignment horizontal="left"/>
    </xf>
    <xf numFmtId="0" fontId="10" fillId="150" borderId="44" xfId="5" applyNumberFormat="1" applyFill="1" applyBorder="1" applyAlignment="1">
      <alignment vertical="center"/>
    </xf>
    <xf numFmtId="0" fontId="10" fillId="0" borderId="30" xfId="5" applyNumberFormat="1" applyBorder="1" applyAlignment="1">
      <alignment vertical="center"/>
    </xf>
    <xf numFmtId="0" fontId="10" fillId="0" borderId="31" xfId="5" applyNumberFormat="1" applyBorder="1" applyAlignment="1">
      <alignment vertical="center"/>
    </xf>
    <xf numFmtId="0" fontId="10" fillId="0" borderId="46" xfId="5" applyNumberFormat="1" applyFill="1" applyBorder="1" applyAlignment="1">
      <alignment vertical="center"/>
    </xf>
    <xf numFmtId="0" fontId="10" fillId="0" borderId="49" xfId="5" applyNumberFormat="1" applyFill="1" applyBorder="1" applyAlignment="1">
      <alignment vertical="center"/>
    </xf>
    <xf numFmtId="0" fontId="10" fillId="0" borderId="54" xfId="5" applyNumberFormat="1" applyFill="1" applyBorder="1" applyAlignment="1">
      <alignment vertical="center"/>
    </xf>
    <xf numFmtId="0" fontId="0" fillId="138" borderId="57" xfId="0" applyFill="1" applyBorder="1" applyAlignment="1">
      <alignment horizontal="center" vertical="top" wrapText="1"/>
    </xf>
    <xf numFmtId="0" fontId="0" fillId="0" borderId="57" xfId="0" applyBorder="1" applyAlignment="1">
      <alignment horizontal="center" vertical="top" wrapText="1"/>
    </xf>
    <xf numFmtId="0" fontId="0" fillId="0" borderId="58" xfId="0" applyBorder="1" applyAlignment="1">
      <alignment horizontal="center" vertical="top" wrapText="1"/>
    </xf>
    <xf numFmtId="0" fontId="0" fillId="0" borderId="59" xfId="0" applyBorder="1" applyAlignment="1">
      <alignment horizontal="center" vertical="top" wrapText="1"/>
    </xf>
    <xf numFmtId="0" fontId="22" fillId="0" borderId="60" xfId="0" applyFont="1" applyBorder="1" applyAlignment="1">
      <alignment horizontal="center"/>
    </xf>
    <xf numFmtId="0" fontId="22" fillId="0" borderId="61" xfId="0" applyFont="1" applyBorder="1" applyAlignment="1">
      <alignment horizontal="center"/>
    </xf>
    <xf numFmtId="0" fontId="22" fillId="0" borderId="0" xfId="0" applyFont="1" applyBorder="1" applyAlignment="1">
      <alignment horizontal="center"/>
    </xf>
    <xf numFmtId="0" fontId="22" fillId="0" borderId="62" xfId="0" applyFont="1" applyBorder="1" applyAlignment="1">
      <alignment horizontal="center"/>
    </xf>
    <xf numFmtId="2" fontId="22" fillId="0" borderId="61" xfId="9" applyNumberFormat="1" applyFont="1" applyBorder="1" applyAlignment="1">
      <alignment horizontal="center"/>
    </xf>
    <xf numFmtId="2" fontId="22" fillId="0" borderId="0" xfId="9" applyNumberFormat="1" applyFont="1" applyBorder="1" applyAlignment="1">
      <alignment horizontal="center"/>
    </xf>
    <xf numFmtId="2" fontId="22" fillId="0" borderId="62" xfId="9" applyNumberFormat="1" applyFont="1" applyBorder="1" applyAlignment="1">
      <alignment horizontal="center"/>
    </xf>
    <xf numFmtId="0" fontId="22" fillId="0" borderId="63" xfId="0" applyFont="1" applyBorder="1" applyAlignment="1">
      <alignment horizontal="center"/>
    </xf>
    <xf numFmtId="0" fontId="22" fillId="0" borderId="64" xfId="0" applyFont="1" applyBorder="1" applyAlignment="1">
      <alignment horizontal="center"/>
    </xf>
    <xf numFmtId="0" fontId="22" fillId="0" borderId="65" xfId="0" applyFont="1" applyBorder="1" applyAlignment="1">
      <alignment horizontal="center"/>
    </xf>
    <xf numFmtId="0" fontId="22" fillId="0" borderId="66" xfId="0" applyFont="1" applyBorder="1" applyAlignment="1">
      <alignment horizontal="center"/>
    </xf>
    <xf numFmtId="0" fontId="22" fillId="0" borderId="67" xfId="0" applyFont="1" applyBorder="1" applyAlignment="1">
      <alignment horizontal="center"/>
    </xf>
    <xf numFmtId="2" fontId="22" fillId="0" borderId="65" xfId="9" applyNumberFormat="1" applyFont="1" applyBorder="1" applyAlignment="1">
      <alignment horizontal="center"/>
    </xf>
    <xf numFmtId="2" fontId="22" fillId="0" borderId="66" xfId="9" applyNumberFormat="1" applyFont="1" applyBorder="1" applyAlignment="1">
      <alignment horizontal="center"/>
    </xf>
    <xf numFmtId="2" fontId="22" fillId="0" borderId="67" xfId="9" applyNumberFormat="1" applyFont="1" applyBorder="1" applyAlignment="1">
      <alignment horizontal="center"/>
    </xf>
    <xf numFmtId="0" fontId="22" fillId="0" borderId="0" xfId="0" applyFont="1" applyAlignment="1"/>
    <xf numFmtId="0" fontId="22" fillId="0" borderId="0" xfId="0" applyFont="1" applyAlignment="1">
      <alignment horizontal="center"/>
    </xf>
    <xf numFmtId="9" fontId="22" fillId="0" borderId="57" xfId="0" applyNumberFormat="1" applyFont="1" applyBorder="1" applyAlignment="1">
      <alignment horizontal="centerContinuous"/>
    </xf>
    <xf numFmtId="0" fontId="22" fillId="0" borderId="58" xfId="0" applyFont="1" applyBorder="1" applyAlignment="1">
      <alignment horizontal="centerContinuous"/>
    </xf>
    <xf numFmtId="0" fontId="22" fillId="0" borderId="59" xfId="0" applyFont="1" applyBorder="1" applyAlignment="1">
      <alignment horizontal="centerContinuous"/>
    </xf>
    <xf numFmtId="212" fontId="22" fillId="0" borderId="57" xfId="0" applyNumberFormat="1" applyFont="1" applyBorder="1" applyAlignment="1">
      <alignment horizontal="centerContinuous"/>
    </xf>
    <xf numFmtId="212" fontId="22" fillId="0" borderId="58" xfId="0" applyNumberFormat="1" applyFont="1" applyBorder="1" applyAlignment="1">
      <alignment horizontal="centerContinuous"/>
    </xf>
    <xf numFmtId="212" fontId="22" fillId="0" borderId="59" xfId="0" applyNumberFormat="1" applyFont="1" applyBorder="1" applyAlignment="1">
      <alignment horizontal="centerContinuous"/>
    </xf>
    <xf numFmtId="0" fontId="0" fillId="0" borderId="0" xfId="0" quotePrefix="1" applyAlignment="1"/>
    <xf numFmtId="0" fontId="23" fillId="0" borderId="0" xfId="0" applyFont="1" applyAlignment="1"/>
    <xf numFmtId="0" fontId="0" fillId="138" borderId="68" xfId="0" applyFill="1" applyBorder="1" applyAlignment="1">
      <alignment horizontal="center" vertical="top" wrapText="1"/>
    </xf>
    <xf numFmtId="0" fontId="0" fillId="0" borderId="69" xfId="0" applyBorder="1" applyAlignment="1">
      <alignment horizontal="center" vertical="top" wrapText="1"/>
    </xf>
    <xf numFmtId="0" fontId="0" fillId="0" borderId="70" xfId="0" applyBorder="1" applyAlignment="1">
      <alignment horizontal="center" vertical="top" wrapText="1"/>
    </xf>
    <xf numFmtId="0" fontId="0" fillId="0" borderId="0" xfId="0" applyAlignment="1">
      <alignment horizontal="center" wrapText="1"/>
    </xf>
    <xf numFmtId="0" fontId="0" fillId="0" borderId="61" xfId="0" applyBorder="1" applyAlignment="1">
      <alignment horizontal="center" wrapText="1"/>
    </xf>
    <xf numFmtId="0" fontId="0" fillId="0" borderId="0" xfId="0" applyBorder="1" applyAlignment="1">
      <alignment horizontal="center" wrapText="1"/>
    </xf>
    <xf numFmtId="0" fontId="0" fillId="0" borderId="62" xfId="0" applyBorder="1" applyAlignment="1">
      <alignment horizontal="center" wrapText="1"/>
    </xf>
    <xf numFmtId="0" fontId="0" fillId="0" borderId="65" xfId="0" applyBorder="1" applyAlignment="1">
      <alignment horizontal="center" wrapText="1"/>
    </xf>
    <xf numFmtId="0" fontId="0" fillId="0" borderId="66" xfId="0" applyBorder="1" applyAlignment="1">
      <alignment horizontal="center" wrapText="1"/>
    </xf>
    <xf numFmtId="0" fontId="0" fillId="0" borderId="67" xfId="0" applyBorder="1" applyAlignment="1">
      <alignment horizontal="center" wrapText="1"/>
    </xf>
    <xf numFmtId="179" fontId="9" fillId="0" borderId="0" xfId="3" applyNumberFormat="1" applyFont="1" applyFill="1" applyBorder="1" applyAlignment="1">
      <alignment vertical="center"/>
    </xf>
    <xf numFmtId="0" fontId="9" fillId="0" borderId="0" xfId="3" applyFont="1" applyFill="1" applyBorder="1" applyAlignment="1">
      <alignment horizontal="center" vertical="top" textRotation="255"/>
    </xf>
    <xf numFmtId="49" fontId="9" fillId="147" borderId="3" xfId="0" applyNumberFormat="1" applyFont="1" applyFill="1" applyBorder="1" applyAlignment="1">
      <alignment horizontal="center" vertical="top" textRotation="180"/>
    </xf>
    <xf numFmtId="0" fontId="18" fillId="0" borderId="0" xfId="0" applyFont="1" applyAlignment="1"/>
    <xf numFmtId="0" fontId="9" fillId="0" borderId="4" xfId="3" applyFont="1" applyFill="1" applyBorder="1" applyAlignment="1">
      <alignment horizontal="center" vertical="top" textRotation="255"/>
    </xf>
    <xf numFmtId="0" fontId="9" fillId="0" borderId="0" xfId="4" applyFont="1" applyFill="1" applyBorder="1" applyAlignment="1">
      <alignment horizontal="center"/>
    </xf>
    <xf numFmtId="0" fontId="10" fillId="0" borderId="5" xfId="5" applyFill="1" applyBorder="1" applyAlignment="1">
      <alignment vertical="top" textRotation="255"/>
    </xf>
    <xf numFmtId="1" fontId="9" fillId="0" borderId="5" xfId="6" applyNumberFormat="1" applyFont="1" applyFill="1" applyBorder="1" applyAlignment="1">
      <alignment horizontal="right" vertical="center"/>
    </xf>
    <xf numFmtId="178" fontId="10" fillId="0" borderId="5" xfId="5" applyNumberFormat="1" applyFill="1" applyBorder="1" applyAlignment="1">
      <alignment vertical="center"/>
    </xf>
    <xf numFmtId="178" fontId="10" fillId="0" borderId="7" xfId="5" applyNumberFormat="1" applyFill="1" applyBorder="1" applyAlignment="1">
      <alignment vertical="center"/>
    </xf>
    <xf numFmtId="178" fontId="10" fillId="3" borderId="5" xfId="5" applyNumberFormat="1" applyFill="1" applyBorder="1" applyAlignment="1">
      <alignment vertical="center"/>
    </xf>
    <xf numFmtId="178" fontId="10" fillId="3" borderId="10" xfId="5" applyNumberFormat="1" applyFill="1" applyBorder="1" applyAlignment="1">
      <alignment vertical="center"/>
    </xf>
    <xf numFmtId="1" fontId="9" fillId="0" borderId="10" xfId="6" applyNumberFormat="1" applyFont="1" applyFill="1" applyBorder="1" applyAlignment="1">
      <alignment horizontal="right" vertical="center"/>
    </xf>
    <xf numFmtId="178" fontId="10" fillId="3" borderId="14" xfId="5" applyNumberFormat="1" applyFill="1" applyBorder="1" applyAlignment="1">
      <alignment vertical="center"/>
    </xf>
    <xf numFmtId="178" fontId="10" fillId="140" borderId="10" xfId="5" applyNumberFormat="1" applyFill="1" applyBorder="1" applyAlignment="1">
      <alignment vertical="center"/>
    </xf>
    <xf numFmtId="178" fontId="10" fillId="141" borderId="10" xfId="5" applyNumberFormat="1" applyFill="1" applyBorder="1" applyAlignment="1">
      <alignment vertical="center"/>
    </xf>
    <xf numFmtId="178" fontId="10" fillId="141" borderId="14" xfId="5" applyNumberFormat="1" applyFill="1" applyBorder="1" applyAlignment="1">
      <alignment vertical="center"/>
    </xf>
    <xf numFmtId="178" fontId="10" fillId="3" borderId="24" xfId="5" applyNumberFormat="1" applyFill="1" applyBorder="1" applyAlignment="1">
      <alignment vertical="center"/>
    </xf>
    <xf numFmtId="178" fontId="10" fillId="140" borderId="24" xfId="5" applyNumberFormat="1" applyFill="1" applyBorder="1" applyAlignment="1">
      <alignment vertical="center"/>
    </xf>
    <xf numFmtId="1" fontId="9" fillId="0" borderId="14" xfId="6" applyNumberFormat="1" applyFont="1" applyFill="1" applyBorder="1" applyAlignment="1">
      <alignment horizontal="right" vertical="center"/>
    </xf>
    <xf numFmtId="178" fontId="10" fillId="3" borderId="25" xfId="5" applyNumberFormat="1" applyFill="1" applyBorder="1" applyAlignment="1">
      <alignment vertical="center"/>
    </xf>
    <xf numFmtId="0" fontId="9" fillId="0" borderId="0" xfId="3" applyFont="1" applyFill="1" applyBorder="1" applyAlignment="1">
      <alignment horizontal="center" vertical="top" textRotation="255" wrapText="1"/>
    </xf>
    <xf numFmtId="0" fontId="24" fillId="151" borderId="0" xfId="4" applyFont="1" applyFill="1" applyBorder="1" applyAlignment="1">
      <alignment horizontal="center" vertical="top" textRotation="180" wrapText="1"/>
    </xf>
    <xf numFmtId="49" fontId="9" fillId="147" borderId="3" xfId="0" applyNumberFormat="1" applyFont="1" applyFill="1" applyBorder="1" applyAlignment="1">
      <alignment horizontal="center" vertical="top" textRotation="180" wrapText="1"/>
    </xf>
    <xf numFmtId="0" fontId="9" fillId="152" borderId="9" xfId="0" applyNumberFormat="1" applyFont="1" applyFill="1" applyBorder="1" applyAlignment="1">
      <alignment horizontal="right" vertical="center" wrapText="1"/>
    </xf>
    <xf numFmtId="1" fontId="9" fillId="148" borderId="9" xfId="4" applyNumberFormat="1" applyFont="1" applyFill="1" applyBorder="1" applyAlignment="1">
      <alignment horizontal="right" vertical="center"/>
    </xf>
    <xf numFmtId="213" fontId="9" fillId="148" borderId="9" xfId="4" applyNumberFormat="1" applyFont="1" applyFill="1" applyBorder="1" applyAlignment="1">
      <alignment horizontal="right" vertical="center"/>
    </xf>
    <xf numFmtId="0" fontId="0" fillId="0" borderId="0" xfId="0" applyAlignment="1">
      <alignment horizontal="right"/>
    </xf>
    <xf numFmtId="213" fontId="0" fillId="0" borderId="0" xfId="0" applyNumberFormat="1"/>
    <xf numFmtId="0" fontId="25" fillId="0" borderId="0" xfId="0" applyFont="1" applyAlignment="1"/>
    <xf numFmtId="3" fontId="25" fillId="0" borderId="0" xfId="0" applyNumberFormat="1" applyFont="1" applyAlignment="1"/>
    <xf numFmtId="16" fontId="25" fillId="0" borderId="0" xfId="0" applyNumberFormat="1" applyFont="1" applyAlignment="1"/>
    <xf numFmtId="1" fontId="9" fillId="0" borderId="7" xfId="6" applyNumberFormat="1" applyFont="1" applyFill="1" applyBorder="1" applyAlignment="1">
      <alignment horizontal="right" vertical="center"/>
    </xf>
    <xf numFmtId="1" fontId="9" fillId="0" borderId="11" xfId="6" applyNumberFormat="1" applyFont="1" applyFill="1" applyBorder="1" applyAlignment="1">
      <alignment horizontal="right" vertical="center"/>
    </xf>
    <xf numFmtId="0" fontId="10" fillId="0" borderId="10" xfId="5" applyFill="1" applyBorder="1" applyAlignment="1">
      <alignment vertical="top" textRotation="255"/>
    </xf>
    <xf numFmtId="178" fontId="10" fillId="154" borderId="71" xfId="5" applyNumberFormat="1" applyFont="1" applyFill="1" applyBorder="1" applyAlignment="1">
      <alignment vertical="center"/>
    </xf>
    <xf numFmtId="178" fontId="10" fillId="155" borderId="72" xfId="5" applyNumberFormat="1" applyFont="1" applyFill="1" applyBorder="1" applyAlignment="1">
      <alignment vertical="center"/>
    </xf>
    <xf numFmtId="178" fontId="10" fillId="156" borderId="72" xfId="5" applyNumberFormat="1" applyFont="1" applyFill="1" applyBorder="1" applyAlignment="1">
      <alignment vertical="center"/>
    </xf>
    <xf numFmtId="178" fontId="10" fillId="157" borderId="72" xfId="5" applyNumberFormat="1" applyFont="1" applyFill="1" applyBorder="1" applyAlignment="1">
      <alignment vertical="center"/>
    </xf>
    <xf numFmtId="178" fontId="10" fillId="158" borderId="72" xfId="5" applyNumberFormat="1" applyFont="1" applyFill="1" applyBorder="1" applyAlignment="1">
      <alignment vertical="center"/>
    </xf>
    <xf numFmtId="178" fontId="10" fillId="159" borderId="72" xfId="5" applyNumberFormat="1" applyFont="1" applyFill="1" applyBorder="1" applyAlignment="1">
      <alignment vertical="center"/>
    </xf>
    <xf numFmtId="178" fontId="10" fillId="160" borderId="72" xfId="5" applyNumberFormat="1" applyFont="1" applyFill="1" applyBorder="1" applyAlignment="1">
      <alignment vertical="center"/>
    </xf>
    <xf numFmtId="178" fontId="10" fillId="161" borderId="73" xfId="5" applyNumberFormat="1" applyFont="1" applyFill="1" applyBorder="1" applyAlignment="1">
      <alignment vertical="center"/>
    </xf>
    <xf numFmtId="49" fontId="9" fillId="0" borderId="0" xfId="5" applyNumberFormat="1" applyFont="1" applyFill="1" applyBorder="1" applyAlignment="1">
      <alignment horizontal="right" vertical="center"/>
    </xf>
    <xf numFmtId="1" fontId="9" fillId="0" borderId="0" xfId="6" applyNumberFormat="1" applyFont="1" applyFill="1" applyBorder="1" applyAlignment="1">
      <alignment horizontal="right" vertical="center"/>
    </xf>
    <xf numFmtId="0" fontId="0" fillId="153" borderId="0" xfId="0" applyFill="1" applyBorder="1" applyAlignment="1"/>
    <xf numFmtId="0" fontId="0" fillId="0" borderId="0" xfId="0" applyFill="1" applyAlignment="1"/>
    <xf numFmtId="0" fontId="0" fillId="163" borderId="0" xfId="0" applyFill="1" applyBorder="1" applyAlignment="1"/>
    <xf numFmtId="0" fontId="0" fillId="3" borderId="0" xfId="0" applyFill="1" applyAlignment="1"/>
    <xf numFmtId="178" fontId="10" fillId="3" borderId="74" xfId="5" applyNumberFormat="1" applyFont="1" applyFill="1" applyBorder="1" applyAlignment="1">
      <alignment vertical="center"/>
    </xf>
    <xf numFmtId="178" fontId="10" fillId="3" borderId="0" xfId="5" applyNumberFormat="1" applyFont="1" applyFill="1" applyBorder="1" applyAlignment="1">
      <alignment vertical="center"/>
    </xf>
    <xf numFmtId="178" fontId="10" fillId="3" borderId="75" xfId="5" applyNumberFormat="1" applyFont="1" applyFill="1" applyBorder="1" applyAlignment="1">
      <alignment vertical="center"/>
    </xf>
    <xf numFmtId="178" fontId="10" fillId="142" borderId="0" xfId="5" applyNumberFormat="1" applyFont="1" applyFill="1" applyBorder="1" applyAlignment="1">
      <alignment vertical="center"/>
    </xf>
    <xf numFmtId="178" fontId="10" fillId="143" borderId="0" xfId="5" applyNumberFormat="1" applyFont="1" applyFill="1" applyBorder="1" applyAlignment="1">
      <alignment vertical="center"/>
    </xf>
    <xf numFmtId="178" fontId="10" fillId="140" borderId="75" xfId="5" applyNumberFormat="1" applyFont="1" applyFill="1" applyBorder="1" applyAlignment="1">
      <alignment vertical="center"/>
    </xf>
    <xf numFmtId="178" fontId="10" fillId="143" borderId="74" xfId="5" applyNumberFormat="1" applyFont="1" applyFill="1" applyBorder="1" applyAlignment="1">
      <alignment vertical="center"/>
    </xf>
    <xf numFmtId="178" fontId="10" fillId="140" borderId="0" xfId="5" applyNumberFormat="1" applyFont="1" applyFill="1" applyBorder="1" applyAlignment="1">
      <alignment vertical="center"/>
    </xf>
    <xf numFmtId="0" fontId="17" fillId="3" borderId="74" xfId="4" applyNumberFormat="1" applyFont="1" applyFill="1" applyBorder="1" applyAlignment="1">
      <alignment horizontal="right" vertical="center"/>
    </xf>
    <xf numFmtId="0" fontId="17" fillId="3" borderId="0" xfId="4" applyNumberFormat="1" applyFont="1" applyFill="1" applyBorder="1" applyAlignment="1">
      <alignment horizontal="right" vertical="center"/>
    </xf>
    <xf numFmtId="180" fontId="17" fillId="3" borderId="0" xfId="4" applyNumberFormat="1" applyFont="1" applyFill="1" applyBorder="1" applyAlignment="1">
      <alignment horizontal="right" vertical="center"/>
    </xf>
    <xf numFmtId="180" fontId="17" fillId="142" borderId="0" xfId="4" applyNumberFormat="1" applyFont="1" applyFill="1" applyBorder="1" applyAlignment="1">
      <alignment horizontal="right" vertical="center"/>
    </xf>
    <xf numFmtId="180" fontId="17" fillId="143" borderId="75" xfId="4" applyNumberFormat="1" applyFont="1" applyFill="1" applyBorder="1" applyAlignment="1">
      <alignment horizontal="right" vertical="center"/>
    </xf>
    <xf numFmtId="0" fontId="17" fillId="143" borderId="76" xfId="4" applyNumberFormat="1" applyFont="1" applyFill="1" applyBorder="1" applyAlignment="1">
      <alignment horizontal="right" vertical="center"/>
    </xf>
    <xf numFmtId="0" fontId="17" fillId="143" borderId="77" xfId="4" applyNumberFormat="1" applyFont="1" applyFill="1" applyBorder="1" applyAlignment="1">
      <alignment horizontal="right" vertical="center"/>
    </xf>
    <xf numFmtId="180" fontId="17" fillId="143" borderId="77" xfId="4" applyNumberFormat="1" applyFont="1" applyFill="1" applyBorder="1" applyAlignment="1">
      <alignment horizontal="right" vertical="center"/>
    </xf>
    <xf numFmtId="180" fontId="17" fillId="143" borderId="78" xfId="4" applyNumberFormat="1" applyFont="1" applyFill="1" applyBorder="1" applyAlignment="1">
      <alignment horizontal="right" vertical="center"/>
    </xf>
    <xf numFmtId="178" fontId="10" fillId="141" borderId="74" xfId="5" applyNumberFormat="1" applyFont="1" applyFill="1" applyBorder="1" applyAlignment="1">
      <alignment vertical="center"/>
    </xf>
    <xf numFmtId="178" fontId="10" fillId="141" borderId="0" xfId="5" applyNumberFormat="1" applyFont="1" applyFill="1" applyBorder="1" applyAlignment="1">
      <alignment vertical="center"/>
    </xf>
    <xf numFmtId="0" fontId="17" fillId="3" borderId="77" xfId="4" applyNumberFormat="1" applyFont="1" applyFill="1" applyBorder="1" applyAlignment="1">
      <alignment horizontal="right" vertical="center"/>
    </xf>
    <xf numFmtId="178" fontId="10" fillId="9" borderId="5" xfId="5" applyNumberFormat="1" applyFill="1" applyBorder="1">
      <alignment vertical="center"/>
    </xf>
    <xf numFmtId="178" fontId="10" fillId="9" borderId="7" xfId="5" applyNumberFormat="1" applyFill="1" applyBorder="1">
      <alignment vertical="center"/>
    </xf>
    <xf numFmtId="178" fontId="10" fillId="9" borderId="1" xfId="5" applyNumberFormat="1" applyFill="1" applyBorder="1">
      <alignment vertical="center"/>
    </xf>
    <xf numFmtId="190" fontId="9" fillId="0" borderId="5" xfId="6" applyNumberFormat="1" applyFont="1" applyFill="1" applyBorder="1" applyAlignment="1">
      <alignment horizontal="left" vertical="center" wrapText="1"/>
    </xf>
    <xf numFmtId="190" fontId="9" fillId="0" borderId="10" xfId="6" applyNumberFormat="1" applyFont="1" applyFill="1" applyBorder="1" applyAlignment="1">
      <alignment horizontal="left" vertical="center" wrapText="1"/>
    </xf>
    <xf numFmtId="190" fontId="10" fillId="0" borderId="46" xfId="5" applyNumberFormat="1" applyFill="1" applyBorder="1" applyAlignment="1">
      <alignment horizontal="left" vertical="center"/>
    </xf>
    <xf numFmtId="190" fontId="10" fillId="3" borderId="17" xfId="5" applyNumberFormat="1" applyFill="1" applyBorder="1" applyAlignment="1">
      <alignment horizontal="left" vertical="center"/>
    </xf>
    <xf numFmtId="190" fontId="10" fillId="3" borderId="50" xfId="5" applyNumberFormat="1" applyFill="1" applyBorder="1" applyAlignment="1">
      <alignment horizontal="left" vertical="center"/>
    </xf>
    <xf numFmtId="214" fontId="10" fillId="3" borderId="17" xfId="5" applyNumberFormat="1" applyFill="1" applyBorder="1" applyAlignment="1">
      <alignment horizontal="left" vertical="center"/>
    </xf>
    <xf numFmtId="0" fontId="0" fillId="143" borderId="0" xfId="0" applyFill="1"/>
    <xf numFmtId="182" fontId="10" fillId="142" borderId="16" xfId="5" applyNumberFormat="1" applyFill="1" applyBorder="1" applyAlignment="1">
      <alignment horizontal="left" vertical="center"/>
    </xf>
    <xf numFmtId="182" fontId="10" fillId="142" borderId="17" xfId="5" applyNumberFormat="1" applyFill="1" applyBorder="1" applyAlignment="1">
      <alignment horizontal="left" vertical="center"/>
    </xf>
    <xf numFmtId="182" fontId="10" fillId="142" borderId="55" xfId="5" applyNumberFormat="1" applyFill="1" applyBorder="1" applyAlignment="1">
      <alignment horizontal="left" vertical="center"/>
    </xf>
    <xf numFmtId="183" fontId="10" fillId="141" borderId="16" xfId="5" applyNumberFormat="1" applyFill="1" applyBorder="1" applyAlignment="1">
      <alignment horizontal="left" vertical="center"/>
    </xf>
    <xf numFmtId="178" fontId="10" fillId="3" borderId="17" xfId="5" applyNumberFormat="1" applyFill="1" applyBorder="1" applyAlignment="1">
      <alignment horizontal="left" vertical="center"/>
    </xf>
    <xf numFmtId="186" fontId="10" fillId="141" borderId="55" xfId="5" applyNumberFormat="1" applyFill="1" applyBorder="1" applyAlignment="1">
      <alignment horizontal="left" vertical="center"/>
    </xf>
    <xf numFmtId="184" fontId="10" fillId="140" borderId="16" xfId="5" applyNumberFormat="1" applyFill="1" applyBorder="1" applyAlignment="1">
      <alignment horizontal="left" vertical="center"/>
    </xf>
    <xf numFmtId="178" fontId="10" fillId="3" borderId="55" xfId="5" applyNumberFormat="1" applyFill="1" applyBorder="1" applyAlignment="1">
      <alignment horizontal="left" vertical="center"/>
    </xf>
    <xf numFmtId="184" fontId="10" fillId="140" borderId="17" xfId="5" applyNumberFormat="1" applyFill="1" applyBorder="1" applyAlignment="1">
      <alignment horizontal="left" vertical="center"/>
    </xf>
    <xf numFmtId="186" fontId="10" fillId="141" borderId="17" xfId="5" applyNumberFormat="1" applyFill="1" applyBorder="1" applyAlignment="1">
      <alignment horizontal="left" vertical="center"/>
    </xf>
    <xf numFmtId="178" fontId="10" fillId="3" borderId="16" xfId="5" applyNumberFormat="1" applyFill="1" applyBorder="1" applyAlignment="1">
      <alignment horizontal="left" vertical="center"/>
    </xf>
    <xf numFmtId="183" fontId="10" fillId="143" borderId="16" xfId="5" applyNumberFormat="1" applyFill="1" applyBorder="1" applyAlignment="1">
      <alignment horizontal="left" vertical="center"/>
    </xf>
    <xf numFmtId="182" fontId="10" fillId="140" borderId="55" xfId="5" applyNumberFormat="1" applyFill="1" applyBorder="1" applyAlignment="1">
      <alignment horizontal="left" vertical="center"/>
    </xf>
    <xf numFmtId="187" fontId="10" fillId="3" borderId="55" xfId="5" applyNumberFormat="1" applyFill="1" applyBorder="1" applyAlignment="1">
      <alignment horizontal="left" vertical="center"/>
    </xf>
    <xf numFmtId="183" fontId="10" fillId="141" borderId="17" xfId="5" applyNumberFormat="1" applyFill="1" applyBorder="1" applyAlignment="1">
      <alignment horizontal="left" vertical="center"/>
    </xf>
    <xf numFmtId="178" fontId="10" fillId="141" borderId="16" xfId="5" applyNumberFormat="1" applyFill="1" applyBorder="1" applyAlignment="1">
      <alignment horizontal="left" vertical="center"/>
    </xf>
    <xf numFmtId="184" fontId="10" fillId="3" borderId="17" xfId="5" applyNumberFormat="1" applyFill="1" applyBorder="1" applyAlignment="1">
      <alignment horizontal="left" vertical="center"/>
    </xf>
    <xf numFmtId="178" fontId="10" fillId="3" borderId="47" xfId="5" applyNumberFormat="1" applyFill="1" applyBorder="1" applyAlignment="1">
      <alignment horizontal="left" vertical="center"/>
    </xf>
    <xf numFmtId="178" fontId="10" fillId="3" borderId="50" xfId="5" applyNumberFormat="1" applyFill="1" applyBorder="1" applyAlignment="1">
      <alignment horizontal="left" vertical="center"/>
    </xf>
    <xf numFmtId="178" fontId="10" fillId="3" borderId="56" xfId="5" applyNumberFormat="1" applyFill="1" applyBorder="1" applyAlignment="1">
      <alignment horizontal="left" vertical="center"/>
    </xf>
    <xf numFmtId="178" fontId="10" fillId="0" borderId="30" xfId="5" applyNumberFormat="1" applyBorder="1" applyAlignment="1">
      <alignment horizontal="center" vertical="center"/>
    </xf>
    <xf numFmtId="178" fontId="10" fillId="0" borderId="30" xfId="5" applyNumberFormat="1" applyFill="1" applyBorder="1" applyAlignment="1">
      <alignment horizontal="center" vertical="center"/>
    </xf>
    <xf numFmtId="178" fontId="10" fillId="0" borderId="31" xfId="5" applyNumberFormat="1" applyFill="1" applyBorder="1" applyAlignment="1">
      <alignment horizontal="center" vertical="center"/>
    </xf>
    <xf numFmtId="183" fontId="10" fillId="140" borderId="16" xfId="5" applyNumberFormat="1" applyFill="1" applyBorder="1">
      <alignment vertical="center"/>
    </xf>
    <xf numFmtId="183" fontId="10" fillId="142" borderId="16" xfId="5" applyNumberFormat="1" applyFill="1" applyBorder="1">
      <alignment vertical="center"/>
    </xf>
    <xf numFmtId="185" fontId="10" fillId="143" borderId="16" xfId="5" applyNumberFormat="1" applyFill="1" applyBorder="1">
      <alignment vertical="center"/>
    </xf>
    <xf numFmtId="178" fontId="10" fillId="143" borderId="47" xfId="5" applyNumberFormat="1" applyFill="1" applyBorder="1">
      <alignment vertical="center"/>
    </xf>
    <xf numFmtId="188" fontId="10" fillId="3" borderId="17" xfId="5" applyNumberFormat="1" applyFill="1" applyBorder="1" applyAlignment="1">
      <alignment horizontal="left" vertical="center"/>
    </xf>
    <xf numFmtId="183" fontId="10" fillId="142" borderId="17" xfId="5" applyNumberFormat="1" applyFill="1" applyBorder="1">
      <alignment vertical="center"/>
    </xf>
    <xf numFmtId="178" fontId="10" fillId="143" borderId="50" xfId="5" applyNumberFormat="1" applyFill="1" applyBorder="1">
      <alignment vertical="center"/>
    </xf>
    <xf numFmtId="188" fontId="10" fillId="143" borderId="17" xfId="5" applyNumberFormat="1" applyFill="1" applyBorder="1" applyAlignment="1">
      <alignment horizontal="left" vertical="center"/>
    </xf>
    <xf numFmtId="183" fontId="10" fillId="143" borderId="17" xfId="5" applyNumberFormat="1" applyFill="1" applyBorder="1">
      <alignment vertical="center"/>
    </xf>
    <xf numFmtId="186" fontId="10" fillId="143" borderId="17" xfId="5" applyNumberFormat="1" applyFill="1" applyBorder="1">
      <alignment vertical="center"/>
    </xf>
    <xf numFmtId="188" fontId="10" fillId="3" borderId="55" xfId="5" applyNumberFormat="1" applyFill="1" applyBorder="1" applyAlignment="1">
      <alignment horizontal="left" vertical="center"/>
    </xf>
    <xf numFmtId="186" fontId="10" fillId="143" borderId="55" xfId="5" applyNumberFormat="1" applyFill="1" applyBorder="1">
      <alignment vertical="center"/>
    </xf>
    <xf numFmtId="178" fontId="10" fillId="3" borderId="55" xfId="5" applyNumberFormat="1" applyFill="1" applyBorder="1">
      <alignment vertical="center"/>
    </xf>
    <xf numFmtId="183" fontId="10" fillId="140" borderId="55" xfId="5" applyNumberFormat="1" applyFill="1" applyBorder="1">
      <alignment vertical="center"/>
    </xf>
    <xf numFmtId="187" fontId="10" fillId="140" borderId="55" xfId="5" applyNumberFormat="1" applyFill="1" applyBorder="1">
      <alignment vertical="center"/>
    </xf>
    <xf numFmtId="178" fontId="10" fillId="140" borderId="55" xfId="5" applyNumberFormat="1" applyFill="1" applyBorder="1">
      <alignment vertical="center"/>
    </xf>
    <xf numFmtId="183" fontId="10" fillId="142" borderId="55" xfId="5" applyNumberFormat="1" applyFill="1" applyBorder="1">
      <alignment vertical="center"/>
    </xf>
    <xf numFmtId="178" fontId="10" fillId="143" borderId="55" xfId="5" applyNumberFormat="1" applyFill="1" applyBorder="1">
      <alignment vertical="center"/>
    </xf>
    <xf numFmtId="178" fontId="10" fillId="143" borderId="56" xfId="5" applyNumberFormat="1" applyFill="1" applyBorder="1">
      <alignment vertical="center"/>
    </xf>
    <xf numFmtId="182" fontId="10" fillId="164" borderId="16" xfId="5" applyNumberFormat="1" applyFill="1" applyBorder="1">
      <alignment vertical="center"/>
    </xf>
    <xf numFmtId="178" fontId="10" fillId="165" borderId="17" xfId="5" applyNumberFormat="1" applyFill="1" applyBorder="1">
      <alignment vertical="center"/>
    </xf>
    <xf numFmtId="178" fontId="10" fillId="166" borderId="17" xfId="5" applyNumberFormat="1" applyFill="1" applyBorder="1">
      <alignment vertical="center"/>
    </xf>
    <xf numFmtId="183" fontId="10" fillId="153" borderId="17" xfId="5" applyNumberFormat="1" applyFill="1" applyBorder="1">
      <alignment vertical="center"/>
    </xf>
    <xf numFmtId="178" fontId="10" fillId="167" borderId="55" xfId="5" applyNumberFormat="1" applyFill="1" applyBorder="1">
      <alignment vertical="center"/>
    </xf>
    <xf numFmtId="183" fontId="10" fillId="162" borderId="16" xfId="5" applyNumberFormat="1" applyFill="1" applyBorder="1">
      <alignment vertical="center"/>
    </xf>
    <xf numFmtId="184" fontId="10" fillId="168" borderId="17" xfId="5" applyNumberFormat="1" applyFill="1" applyBorder="1">
      <alignment vertical="center"/>
    </xf>
    <xf numFmtId="178" fontId="10" fillId="169" borderId="17" xfId="5" applyNumberFormat="1" applyFill="1" applyBorder="1">
      <alignment vertical="center"/>
    </xf>
    <xf numFmtId="178" fontId="10" fillId="170" borderId="17" xfId="5" applyNumberFormat="1" applyFill="1" applyBorder="1">
      <alignment vertical="center"/>
    </xf>
    <xf numFmtId="182" fontId="10" fillId="163" borderId="55" xfId="5" applyNumberFormat="1" applyFill="1" applyBorder="1">
      <alignment vertical="center"/>
    </xf>
    <xf numFmtId="184" fontId="10" fillId="171" borderId="16" xfId="5" applyNumberFormat="1" applyFill="1" applyBorder="1">
      <alignment vertical="center"/>
    </xf>
    <xf numFmtId="184" fontId="10" fillId="172" borderId="17" xfId="5" applyNumberFormat="1" applyFill="1" applyBorder="1">
      <alignment vertical="center"/>
    </xf>
    <xf numFmtId="186" fontId="10" fillId="173" borderId="17" xfId="5" applyNumberFormat="1" applyFill="1" applyBorder="1">
      <alignment vertical="center"/>
    </xf>
    <xf numFmtId="178" fontId="10" fillId="174" borderId="55" xfId="5" applyNumberFormat="1" applyFill="1" applyBorder="1">
      <alignment vertical="center"/>
    </xf>
    <xf numFmtId="0" fontId="10" fillId="3" borderId="16" xfId="5" applyNumberFormat="1" applyFill="1" applyBorder="1" applyAlignment="1">
      <alignment horizontal="left" vertical="center"/>
    </xf>
    <xf numFmtId="0" fontId="10" fillId="143" borderId="16" xfId="5" applyNumberFormat="1" applyFill="1" applyBorder="1" applyAlignment="1">
      <alignment horizontal="left" vertical="center"/>
    </xf>
    <xf numFmtId="0" fontId="10" fillId="140" borderId="16" xfId="5" applyNumberFormat="1" applyFill="1" applyBorder="1" applyAlignment="1">
      <alignment horizontal="left" vertical="center"/>
    </xf>
    <xf numFmtId="0" fontId="10" fillId="142" borderId="16" xfId="5" applyNumberFormat="1" applyFill="1" applyBorder="1" applyAlignment="1">
      <alignment horizontal="left" vertical="center"/>
    </xf>
    <xf numFmtId="0" fontId="10" fillId="3" borderId="17" xfId="5" applyNumberFormat="1" applyFill="1" applyBorder="1" applyAlignment="1">
      <alignment horizontal="left" vertical="center"/>
    </xf>
    <xf numFmtId="0" fontId="10" fillId="142" borderId="17" xfId="5" applyNumberFormat="1" applyFill="1" applyBorder="1" applyAlignment="1">
      <alignment horizontal="left" vertical="center"/>
    </xf>
    <xf numFmtId="0" fontId="10" fillId="140" borderId="17" xfId="5" applyNumberFormat="1" applyFill="1" applyBorder="1" applyAlignment="1">
      <alignment horizontal="left" vertical="center"/>
    </xf>
    <xf numFmtId="0" fontId="10" fillId="143" borderId="17" xfId="5" applyNumberFormat="1" applyFill="1" applyBorder="1" applyAlignment="1">
      <alignment horizontal="left" vertical="center"/>
    </xf>
    <xf numFmtId="0" fontId="10" fillId="3" borderId="55" xfId="5" applyNumberFormat="1" applyFill="1" applyBorder="1" applyAlignment="1">
      <alignment horizontal="left" vertical="center"/>
    </xf>
    <xf numFmtId="0" fontId="10" fillId="143" borderId="55" xfId="5" applyNumberFormat="1" applyFill="1" applyBorder="1" applyAlignment="1">
      <alignment horizontal="left" vertical="center"/>
    </xf>
    <xf numFmtId="0" fontId="10" fillId="140" borderId="55" xfId="5" applyNumberFormat="1" applyFill="1" applyBorder="1" applyAlignment="1">
      <alignment horizontal="left" vertical="center"/>
    </xf>
    <xf numFmtId="0" fontId="10" fillId="142" borderId="55" xfId="5" applyNumberFormat="1" applyFill="1" applyBorder="1" applyAlignment="1">
      <alignment horizontal="left" vertical="center"/>
    </xf>
    <xf numFmtId="0" fontId="10" fillId="143" borderId="47" xfId="5" applyNumberFormat="1" applyFill="1" applyBorder="1" applyAlignment="1">
      <alignment horizontal="left" vertical="center"/>
    </xf>
    <xf numFmtId="0" fontId="10" fillId="143" borderId="50" xfId="5" applyNumberFormat="1" applyFill="1" applyBorder="1" applyAlignment="1">
      <alignment horizontal="left" vertical="center"/>
    </xf>
    <xf numFmtId="0" fontId="10" fillId="143" borderId="56" xfId="5" applyNumberFormat="1" applyFill="1" applyBorder="1" applyAlignment="1">
      <alignment horizontal="left" vertical="center"/>
    </xf>
    <xf numFmtId="0" fontId="0" fillId="175" borderId="0" xfId="0" applyFill="1" applyBorder="1" applyAlignment="1"/>
    <xf numFmtId="0" fontId="0" fillId="176" borderId="0" xfId="0" applyFill="1" applyBorder="1" applyAlignment="1"/>
    <xf numFmtId="0" fontId="0" fillId="177" borderId="0" xfId="0" applyFill="1" applyBorder="1" applyAlignment="1"/>
    <xf numFmtId="0" fontId="0" fillId="178" borderId="0" xfId="0" applyFill="1" applyBorder="1" applyAlignment="1"/>
    <xf numFmtId="0" fontId="0" fillId="179" borderId="0" xfId="0" applyFill="1" applyBorder="1" applyAlignment="1"/>
    <xf numFmtId="0" fontId="0" fillId="180" borderId="0" xfId="0" applyFill="1" applyBorder="1" applyAlignment="1"/>
    <xf numFmtId="0" fontId="0" fillId="181" borderId="0" xfId="0" applyFill="1" applyBorder="1" applyAlignment="1"/>
    <xf numFmtId="0" fontId="0" fillId="182" borderId="0" xfId="0" applyFill="1" applyBorder="1" applyAlignment="1"/>
    <xf numFmtId="0" fontId="0" fillId="183" borderId="0" xfId="0" applyFill="1" applyBorder="1" applyAlignment="1"/>
    <xf numFmtId="0" fontId="0" fillId="184" borderId="0" xfId="0" applyFill="1" applyBorder="1" applyAlignment="1"/>
    <xf numFmtId="0" fontId="0" fillId="185" borderId="0" xfId="0" applyFill="1" applyBorder="1" applyAlignment="1"/>
    <xf numFmtId="0" fontId="0" fillId="186" borderId="0" xfId="0" applyFill="1" applyBorder="1" applyAlignment="1"/>
    <xf numFmtId="0" fontId="0" fillId="187" borderId="0" xfId="0" applyFill="1" applyBorder="1" applyAlignment="1"/>
    <xf numFmtId="0" fontId="0" fillId="188" borderId="0" xfId="0" applyFill="1" applyBorder="1" applyAlignment="1"/>
    <xf numFmtId="0" fontId="0" fillId="189" borderId="0" xfId="0" applyFill="1" applyBorder="1" applyAlignment="1"/>
    <xf numFmtId="0" fontId="0" fillId="190" borderId="0" xfId="0" applyFill="1" applyBorder="1" applyAlignment="1"/>
    <xf numFmtId="0" fontId="0" fillId="191" borderId="0" xfId="0" applyFill="1" applyBorder="1" applyAlignment="1"/>
    <xf numFmtId="0" fontId="0" fillId="192" borderId="0" xfId="0" applyFill="1" applyBorder="1" applyAlignment="1"/>
    <xf numFmtId="0" fontId="0" fillId="193" borderId="0" xfId="0" applyFill="1" applyBorder="1" applyAlignment="1"/>
    <xf numFmtId="0" fontId="0" fillId="194" borderId="0" xfId="0" applyFill="1" applyBorder="1" applyAlignment="1"/>
    <xf numFmtId="0" fontId="0" fillId="195" borderId="0" xfId="0" applyFill="1" applyBorder="1" applyAlignment="1"/>
    <xf numFmtId="0" fontId="0" fillId="196" borderId="0" xfId="0" applyFill="1" applyBorder="1" applyAlignment="1"/>
    <xf numFmtId="0" fontId="0" fillId="197" borderId="0" xfId="0" applyFill="1" applyBorder="1" applyAlignment="1"/>
    <xf numFmtId="0" fontId="0" fillId="198" borderId="0" xfId="0" applyFill="1" applyBorder="1" applyAlignment="1"/>
    <xf numFmtId="0" fontId="0" fillId="199" borderId="0" xfId="0" applyFill="1" applyBorder="1" applyAlignment="1"/>
    <xf numFmtId="0" fontId="0" fillId="200" borderId="0" xfId="0" applyFill="1" applyBorder="1" applyAlignment="1"/>
    <xf numFmtId="0" fontId="0" fillId="201" borderId="0" xfId="0" applyFill="1" applyBorder="1" applyAlignment="1"/>
    <xf numFmtId="0" fontId="0" fillId="202" borderId="0" xfId="0" applyFill="1" applyBorder="1" applyAlignment="1"/>
    <xf numFmtId="0" fontId="0" fillId="203" borderId="0" xfId="0" applyFill="1" applyBorder="1" applyAlignment="1"/>
    <xf numFmtId="0" fontId="0" fillId="204" borderId="0" xfId="0" applyFill="1" applyBorder="1" applyAlignment="1"/>
    <xf numFmtId="0" fontId="0" fillId="205" borderId="0" xfId="0" applyFill="1" applyBorder="1" applyAlignment="1"/>
    <xf numFmtId="0" fontId="0" fillId="206" borderId="0" xfId="0" applyFill="1" applyBorder="1" applyAlignment="1"/>
    <xf numFmtId="0" fontId="0" fillId="207" borderId="0" xfId="0" applyFill="1" applyBorder="1" applyAlignment="1"/>
    <xf numFmtId="0" fontId="0" fillId="208" borderId="0" xfId="0" applyFill="1" applyBorder="1" applyAlignment="1"/>
    <xf numFmtId="0" fontId="0" fillId="209" borderId="0" xfId="0" applyFill="1" applyBorder="1" applyAlignment="1"/>
    <xf numFmtId="0" fontId="0" fillId="210" borderId="0" xfId="0" applyFill="1" applyBorder="1" applyAlignment="1"/>
    <xf numFmtId="0" fontId="0" fillId="211" borderId="0" xfId="0" applyFill="1" applyBorder="1" applyAlignment="1"/>
    <xf numFmtId="0" fontId="0" fillId="212" borderId="0" xfId="0" applyFill="1" applyBorder="1" applyAlignment="1"/>
    <xf numFmtId="0" fontId="0" fillId="213" borderId="0" xfId="0" applyFill="1" applyBorder="1" applyAlignment="1"/>
    <xf numFmtId="0" fontId="0" fillId="214" borderId="0" xfId="0" applyFill="1" applyBorder="1" applyAlignment="1"/>
    <xf numFmtId="0" fontId="0" fillId="215" borderId="0" xfId="0" applyFill="1" applyBorder="1" applyAlignment="1"/>
    <xf numFmtId="0" fontId="0" fillId="216" borderId="0" xfId="0" applyFill="1" applyBorder="1" applyAlignment="1"/>
    <xf numFmtId="0" fontId="0" fillId="217" borderId="0" xfId="0" applyFill="1" applyBorder="1" applyAlignment="1"/>
    <xf numFmtId="0" fontId="0" fillId="218" borderId="0" xfId="0" applyFill="1" applyBorder="1" applyAlignment="1"/>
    <xf numFmtId="0" fontId="0" fillId="219" borderId="0" xfId="0" applyFill="1" applyBorder="1" applyAlignment="1"/>
    <xf numFmtId="0" fontId="0" fillId="220" borderId="0" xfId="0" applyFill="1" applyBorder="1" applyAlignment="1"/>
    <xf numFmtId="0" fontId="0" fillId="221" borderId="0" xfId="0" applyFill="1" applyBorder="1" applyAlignment="1"/>
    <xf numFmtId="0" fontId="0" fillId="222" borderId="0" xfId="0" applyFill="1" applyBorder="1" applyAlignment="1"/>
    <xf numFmtId="0" fontId="0" fillId="223" borderId="0" xfId="0" applyFill="1" applyBorder="1" applyAlignment="1"/>
    <xf numFmtId="0" fontId="0" fillId="224" borderId="0" xfId="0" applyFill="1" applyBorder="1" applyAlignment="1"/>
    <xf numFmtId="0" fontId="0" fillId="225" borderId="0" xfId="0" applyFill="1" applyBorder="1" applyAlignment="1"/>
    <xf numFmtId="0" fontId="0" fillId="226" borderId="0" xfId="0" applyFill="1" applyBorder="1" applyAlignment="1"/>
    <xf numFmtId="0" fontId="0" fillId="227" borderId="0" xfId="0" applyFill="1" applyBorder="1" applyAlignment="1"/>
    <xf numFmtId="0" fontId="0" fillId="228" borderId="0" xfId="0" applyFill="1" applyBorder="1" applyAlignment="1"/>
    <xf numFmtId="0" fontId="0" fillId="229" borderId="0" xfId="0" applyFill="1" applyBorder="1" applyAlignment="1"/>
    <xf numFmtId="0" fontId="0" fillId="230" borderId="0" xfId="0" applyFill="1" applyBorder="1" applyAlignment="1"/>
    <xf numFmtId="0" fontId="0" fillId="231" borderId="0" xfId="0" applyFill="1" applyBorder="1" applyAlignment="1"/>
    <xf numFmtId="0" fontId="0" fillId="232" borderId="0" xfId="0" applyFill="1" applyBorder="1" applyAlignment="1"/>
    <xf numFmtId="0" fontId="0" fillId="233" borderId="0" xfId="0" applyFill="1" applyBorder="1" applyAlignment="1"/>
    <xf numFmtId="0" fontId="0" fillId="234" borderId="0" xfId="0" applyFill="1" applyBorder="1" applyAlignment="1"/>
    <xf numFmtId="0" fontId="0" fillId="235" borderId="0" xfId="0" applyFill="1" applyBorder="1" applyAlignment="1"/>
    <xf numFmtId="0" fontId="0" fillId="236" borderId="0" xfId="0" applyFill="1" applyBorder="1" applyAlignment="1"/>
    <xf numFmtId="0" fontId="0" fillId="237" borderId="0" xfId="0" applyFill="1" applyBorder="1" applyAlignment="1"/>
    <xf numFmtId="0" fontId="0" fillId="238" borderId="0" xfId="0" applyFill="1" applyBorder="1" applyAlignment="1"/>
    <xf numFmtId="0" fontId="0" fillId="239" borderId="0" xfId="0" applyFill="1" applyBorder="1" applyAlignment="1"/>
    <xf numFmtId="0" fontId="0" fillId="240" borderId="0" xfId="0" applyFill="1" applyBorder="1" applyAlignment="1"/>
    <xf numFmtId="0" fontId="0" fillId="241" borderId="0" xfId="0" applyFill="1" applyBorder="1" applyAlignment="1"/>
    <xf numFmtId="0" fontId="0" fillId="242" borderId="0" xfId="0" applyFill="1" applyBorder="1" applyAlignment="1"/>
    <xf numFmtId="0" fontId="0" fillId="243" borderId="0" xfId="0" applyFill="1" applyBorder="1" applyAlignment="1"/>
    <xf numFmtId="0" fontId="0" fillId="0" borderId="0" xfId="0" applyAlignment="1">
      <alignment horizontal="center" vertical="center"/>
    </xf>
    <xf numFmtId="0" fontId="26" fillId="0" borderId="0" xfId="10" applyFill="1">
      <alignment vertical="center"/>
    </xf>
    <xf numFmtId="0" fontId="13" fillId="145" borderId="19" xfId="11" applyFont="1" applyFill="1" applyBorder="1" applyAlignment="1" applyProtection="1">
      <alignment vertical="top" wrapText="1"/>
    </xf>
    <xf numFmtId="0" fontId="14" fillId="0" borderId="20" xfId="11" applyFont="1" applyBorder="1" applyProtection="1">
      <alignment vertical="center"/>
      <protection locked="0"/>
    </xf>
    <xf numFmtId="0" fontId="14" fillId="0" borderId="21" xfId="11" applyFont="1" applyBorder="1" applyProtection="1">
      <alignment vertical="center"/>
      <protection locked="0"/>
    </xf>
    <xf numFmtId="0" fontId="26" fillId="0" borderId="0" xfId="10">
      <alignment vertical="center"/>
    </xf>
    <xf numFmtId="0" fontId="0" fillId="147" borderId="0" xfId="0" applyFill="1"/>
    <xf numFmtId="0" fontId="0" fillId="246" borderId="0" xfId="0" applyFill="1"/>
    <xf numFmtId="0" fontId="27" fillId="0" borderId="0" xfId="0" applyFont="1"/>
    <xf numFmtId="0" fontId="27" fillId="0" borderId="0" xfId="0" quotePrefix="1" applyFont="1"/>
    <xf numFmtId="49" fontId="32" fillId="0" borderId="20" xfId="8" applyNumberFormat="1" applyFont="1" applyBorder="1" applyProtection="1">
      <alignment vertical="center"/>
      <protection locked="0"/>
    </xf>
    <xf numFmtId="0" fontId="0" fillId="9" borderId="79" xfId="0" applyFill="1" applyBorder="1" applyAlignment="1">
      <alignment horizontal="center" vertical="center"/>
    </xf>
    <xf numFmtId="0" fontId="0" fillId="247" borderId="0" xfId="0" applyFill="1" applyBorder="1" applyAlignment="1"/>
    <xf numFmtId="0" fontId="0" fillId="248" borderId="0" xfId="0" applyFill="1" applyBorder="1" applyAlignment="1"/>
    <xf numFmtId="0" fontId="0" fillId="249" borderId="0" xfId="0" applyFill="1" applyBorder="1" applyAlignment="1"/>
    <xf numFmtId="0" fontId="0" fillId="250" borderId="0" xfId="0" applyFill="1" applyBorder="1" applyAlignment="1"/>
    <xf numFmtId="0" fontId="0" fillId="251" borderId="0" xfId="0" applyFill="1" applyBorder="1" applyAlignment="1"/>
    <xf numFmtId="0" fontId="0" fillId="252" borderId="0" xfId="0" applyFill="1" applyBorder="1" applyAlignment="1"/>
    <xf numFmtId="0" fontId="0" fillId="253" borderId="0" xfId="0" applyFill="1" applyBorder="1" applyAlignment="1"/>
    <xf numFmtId="0" fontId="0" fillId="254" borderId="0" xfId="0" applyFill="1" applyBorder="1" applyAlignment="1"/>
    <xf numFmtId="0" fontId="0" fillId="255" borderId="0" xfId="0" applyFill="1" applyBorder="1" applyAlignment="1"/>
    <xf numFmtId="0" fontId="0" fillId="256" borderId="0" xfId="0" applyFill="1" applyBorder="1" applyAlignment="1"/>
    <xf numFmtId="0" fontId="0" fillId="257" borderId="0" xfId="0" applyFill="1" applyBorder="1" applyAlignment="1"/>
    <xf numFmtId="0" fontId="0" fillId="258" borderId="0" xfId="0" applyFill="1" applyBorder="1" applyAlignment="1"/>
    <xf numFmtId="0" fontId="0" fillId="259" borderId="0" xfId="0" applyFill="1" applyBorder="1" applyAlignment="1"/>
    <xf numFmtId="0" fontId="0" fillId="260" borderId="0" xfId="0" applyFill="1" applyBorder="1" applyAlignment="1"/>
    <xf numFmtId="0" fontId="0" fillId="261" borderId="0" xfId="0" applyFill="1" applyBorder="1" applyAlignment="1"/>
    <xf numFmtId="0" fontId="0" fillId="262" borderId="0" xfId="0" applyFill="1" applyBorder="1" applyAlignment="1"/>
    <xf numFmtId="0" fontId="0" fillId="263" borderId="0" xfId="0" applyFill="1" applyBorder="1" applyAlignment="1"/>
    <xf numFmtId="0" fontId="0" fillId="264" borderId="0" xfId="0" applyFill="1" applyBorder="1" applyAlignment="1"/>
    <xf numFmtId="0" fontId="0" fillId="265" borderId="0" xfId="0" applyFill="1" applyBorder="1" applyAlignment="1"/>
    <xf numFmtId="0" fontId="0" fillId="266" borderId="0" xfId="0" applyFill="1" applyBorder="1" applyAlignment="1"/>
    <xf numFmtId="0" fontId="0" fillId="267" borderId="0" xfId="0" applyFill="1" applyBorder="1" applyAlignment="1"/>
    <xf numFmtId="0" fontId="0" fillId="268" borderId="0" xfId="0" applyFill="1" applyBorder="1" applyAlignment="1"/>
    <xf numFmtId="0" fontId="0" fillId="269" borderId="0" xfId="0" applyFill="1" applyBorder="1" applyAlignment="1"/>
    <xf numFmtId="0" fontId="0" fillId="270" borderId="0" xfId="0" applyFill="1" applyBorder="1" applyAlignment="1"/>
    <xf numFmtId="0" fontId="0" fillId="271" borderId="0" xfId="0" applyFill="1" applyBorder="1" applyAlignment="1"/>
    <xf numFmtId="0" fontId="0" fillId="272" borderId="0" xfId="0" applyFill="1" applyBorder="1" applyAlignment="1"/>
    <xf numFmtId="0" fontId="0" fillId="273" borderId="0" xfId="0" applyFill="1" applyBorder="1" applyAlignment="1"/>
    <xf numFmtId="0" fontId="0" fillId="274" borderId="0" xfId="0" applyFill="1" applyBorder="1" applyAlignment="1"/>
    <xf numFmtId="0" fontId="0" fillId="275" borderId="0" xfId="0" applyFill="1" applyBorder="1" applyAlignment="1"/>
    <xf numFmtId="0" fontId="0" fillId="276" borderId="0" xfId="0" applyFill="1" applyBorder="1" applyAlignment="1"/>
    <xf numFmtId="0" fontId="0" fillId="277" borderId="0" xfId="0" applyFill="1" applyBorder="1" applyAlignment="1"/>
    <xf numFmtId="0" fontId="0" fillId="278" borderId="0" xfId="0" applyFill="1" applyBorder="1" applyAlignment="1"/>
    <xf numFmtId="0" fontId="0" fillId="279" borderId="0" xfId="0" applyFill="1" applyBorder="1" applyAlignment="1"/>
    <xf numFmtId="0" fontId="0" fillId="280" borderId="0" xfId="0" applyFill="1" applyBorder="1" applyAlignment="1"/>
    <xf numFmtId="0" fontId="0" fillId="281" borderId="0" xfId="0" applyFill="1" applyBorder="1" applyAlignment="1"/>
    <xf numFmtId="0" fontId="0" fillId="282" borderId="0" xfId="0" applyFill="1" applyBorder="1" applyAlignment="1"/>
    <xf numFmtId="0" fontId="0" fillId="283" borderId="0" xfId="0" applyFill="1" applyBorder="1" applyAlignment="1"/>
    <xf numFmtId="0" fontId="0" fillId="284" borderId="0" xfId="0" applyFill="1" applyBorder="1" applyAlignment="1"/>
    <xf numFmtId="0" fontId="0" fillId="285" borderId="0" xfId="0" applyFill="1" applyBorder="1" applyAlignment="1"/>
    <xf numFmtId="0" fontId="0" fillId="286" borderId="0" xfId="0" applyFill="1" applyBorder="1" applyAlignment="1"/>
    <xf numFmtId="0" fontId="0" fillId="287" borderId="0" xfId="0" applyFill="1" applyBorder="1" applyAlignment="1"/>
    <xf numFmtId="0" fontId="0" fillId="288" borderId="0" xfId="0" applyFill="1" applyBorder="1" applyAlignment="1"/>
    <xf numFmtId="0" fontId="0" fillId="289" borderId="0" xfId="0" applyFill="1" applyBorder="1" applyAlignment="1"/>
    <xf numFmtId="0" fontId="0" fillId="290" borderId="0" xfId="0" applyFill="1" applyBorder="1" applyAlignment="1"/>
    <xf numFmtId="0" fontId="0" fillId="291" borderId="0" xfId="0" applyFill="1" applyBorder="1" applyAlignment="1"/>
    <xf numFmtId="0" fontId="0" fillId="292" borderId="0" xfId="0" applyFill="1" applyBorder="1" applyAlignment="1"/>
    <xf numFmtId="0" fontId="0" fillId="293" borderId="0" xfId="0" applyFill="1" applyBorder="1" applyAlignment="1"/>
    <xf numFmtId="0" fontId="0" fillId="294" borderId="0" xfId="0" applyFill="1" applyBorder="1" applyAlignment="1"/>
    <xf numFmtId="0" fontId="0" fillId="295" borderId="0" xfId="0" applyFill="1" applyBorder="1" applyAlignment="1"/>
    <xf numFmtId="0" fontId="0" fillId="296" borderId="0" xfId="0" applyFill="1" applyBorder="1" applyAlignment="1"/>
    <xf numFmtId="0" fontId="0" fillId="297" borderId="0" xfId="0" applyFill="1" applyBorder="1" applyAlignment="1"/>
    <xf numFmtId="0" fontId="0" fillId="298" borderId="0" xfId="0" applyFill="1" applyBorder="1" applyAlignment="1"/>
    <xf numFmtId="0" fontId="0" fillId="299" borderId="0" xfId="0" applyFill="1" applyBorder="1" applyAlignment="1"/>
    <xf numFmtId="0" fontId="0" fillId="300" borderId="0" xfId="0" applyFill="1" applyBorder="1" applyAlignment="1"/>
    <xf numFmtId="0" fontId="0" fillId="301" borderId="0" xfId="0" applyFill="1" applyBorder="1" applyAlignment="1"/>
    <xf numFmtId="0" fontId="0" fillId="302" borderId="0" xfId="0" applyFill="1" applyBorder="1" applyAlignment="1"/>
    <xf numFmtId="0" fontId="0" fillId="303" borderId="0" xfId="0" applyFill="1" applyBorder="1" applyAlignment="1"/>
    <xf numFmtId="0" fontId="0" fillId="304" borderId="0" xfId="0" applyFill="1" applyBorder="1" applyAlignment="1"/>
    <xf numFmtId="0" fontId="0" fillId="305" borderId="0" xfId="0" applyFill="1" applyBorder="1" applyAlignment="1"/>
    <xf numFmtId="0" fontId="0" fillId="306" borderId="0" xfId="0" applyFill="1" applyBorder="1" applyAlignment="1"/>
    <xf numFmtId="0" fontId="0" fillId="307" borderId="0" xfId="0" applyFill="1" applyBorder="1" applyAlignment="1"/>
    <xf numFmtId="0" fontId="0" fillId="308" borderId="0" xfId="0" applyFill="1" applyBorder="1" applyAlignment="1"/>
    <xf numFmtId="0" fontId="0" fillId="309" borderId="0" xfId="0" applyFill="1" applyBorder="1" applyAlignment="1"/>
    <xf numFmtId="0" fontId="0" fillId="310" borderId="0" xfId="0" applyFill="1" applyBorder="1" applyAlignment="1"/>
    <xf numFmtId="0" fontId="0" fillId="311" borderId="0" xfId="0" applyFill="1" applyBorder="1" applyAlignment="1"/>
    <xf numFmtId="0" fontId="0" fillId="312" borderId="0" xfId="0" applyFill="1" applyBorder="1" applyAlignment="1"/>
    <xf numFmtId="0" fontId="0" fillId="313" borderId="0" xfId="0" applyFill="1" applyBorder="1" applyAlignment="1"/>
    <xf numFmtId="0" fontId="0" fillId="314" borderId="0" xfId="0" applyFill="1" applyBorder="1" applyAlignment="1"/>
    <xf numFmtId="0" fontId="0" fillId="315" borderId="0" xfId="0" applyFill="1" applyBorder="1" applyAlignment="1"/>
    <xf numFmtId="0" fontId="0" fillId="316" borderId="0" xfId="0" applyFill="1" applyBorder="1" applyAlignment="1"/>
    <xf numFmtId="0" fontId="0" fillId="317" borderId="0" xfId="0" applyFill="1" applyBorder="1" applyAlignment="1"/>
    <xf numFmtId="0" fontId="0" fillId="318" borderId="0" xfId="0" applyFill="1" applyBorder="1" applyAlignment="1"/>
    <xf numFmtId="0" fontId="0" fillId="319" borderId="0" xfId="0" applyFill="1" applyBorder="1" applyAlignment="1"/>
    <xf numFmtId="0" fontId="0" fillId="320" borderId="0" xfId="0" applyFill="1" applyBorder="1" applyAlignment="1"/>
    <xf numFmtId="0" fontId="0" fillId="321" borderId="0" xfId="0" applyFill="1" applyBorder="1" applyAlignment="1"/>
    <xf numFmtId="0" fontId="0" fillId="322" borderId="0" xfId="0" applyFill="1" applyBorder="1" applyAlignment="1"/>
    <xf numFmtId="0" fontId="0" fillId="323" borderId="0" xfId="0" applyFill="1" applyBorder="1" applyAlignment="1"/>
    <xf numFmtId="0" fontId="0" fillId="324" borderId="0" xfId="0" applyFill="1" applyBorder="1" applyAlignment="1"/>
    <xf numFmtId="0" fontId="0" fillId="325" borderId="0" xfId="0" applyFill="1" applyBorder="1" applyAlignment="1"/>
    <xf numFmtId="0" fontId="0" fillId="326" borderId="0" xfId="0" applyFill="1" applyBorder="1" applyAlignment="1"/>
    <xf numFmtId="0" fontId="0" fillId="327" borderId="0" xfId="0" applyFill="1" applyBorder="1" applyAlignment="1"/>
    <xf numFmtId="0" fontId="0" fillId="328" borderId="0" xfId="0" applyFill="1" applyBorder="1" applyAlignment="1"/>
    <xf numFmtId="0" fontId="0" fillId="329" borderId="0" xfId="0" applyFill="1" applyBorder="1" applyAlignment="1"/>
    <xf numFmtId="0" fontId="0" fillId="330" borderId="0" xfId="0" applyFill="1" applyBorder="1" applyAlignment="1"/>
    <xf numFmtId="0" fontId="0" fillId="331" borderId="0" xfId="0" applyFill="1" applyBorder="1" applyAlignment="1"/>
    <xf numFmtId="0" fontId="0" fillId="332" borderId="0" xfId="0" applyFill="1" applyBorder="1" applyAlignment="1"/>
    <xf numFmtId="0" fontId="0" fillId="333" borderId="0" xfId="0" applyFill="1" applyBorder="1" applyAlignment="1"/>
    <xf numFmtId="0" fontId="0" fillId="334" borderId="0" xfId="0" applyFill="1" applyBorder="1" applyAlignment="1"/>
    <xf numFmtId="0" fontId="0" fillId="335" borderId="0" xfId="0" applyFill="1" applyBorder="1" applyAlignment="1"/>
    <xf numFmtId="0" fontId="0" fillId="336" borderId="0" xfId="0" applyFill="1" applyBorder="1" applyAlignment="1"/>
    <xf numFmtId="0" fontId="0" fillId="337" borderId="0" xfId="0" applyFill="1" applyBorder="1" applyAlignment="1"/>
    <xf numFmtId="0" fontId="0" fillId="338" borderId="0" xfId="0" applyFill="1" applyBorder="1" applyAlignment="1"/>
    <xf numFmtId="0" fontId="0" fillId="339" borderId="0" xfId="0" applyFill="1" applyBorder="1" applyAlignment="1"/>
    <xf numFmtId="0" fontId="0" fillId="340" borderId="0" xfId="0" applyFill="1" applyBorder="1" applyAlignment="1"/>
    <xf numFmtId="0" fontId="0" fillId="341" borderId="0" xfId="0" applyFill="1" applyBorder="1" applyAlignment="1"/>
    <xf numFmtId="0" fontId="0" fillId="342" borderId="0" xfId="0" applyFill="1" applyBorder="1" applyAlignment="1"/>
    <xf numFmtId="0" fontId="0" fillId="343" borderId="0" xfId="0" applyFill="1" applyBorder="1" applyAlignment="1"/>
    <xf numFmtId="0" fontId="0" fillId="344" borderId="0" xfId="0" applyFill="1" applyBorder="1" applyAlignment="1"/>
    <xf numFmtId="0" fontId="0" fillId="345" borderId="0" xfId="0" applyFill="1" applyBorder="1" applyAlignment="1"/>
    <xf numFmtId="0" fontId="0" fillId="346" borderId="0" xfId="0" applyFill="1" applyBorder="1" applyAlignment="1"/>
    <xf numFmtId="215" fontId="34" fillId="0" borderId="1" xfId="23" applyNumberFormat="1" applyFont="1" applyFill="1" applyBorder="1" applyAlignment="1">
      <alignment horizontal="left" vertical="center"/>
    </xf>
    <xf numFmtId="0" fontId="35" fillId="0" borderId="1" xfId="0" applyFont="1" applyFill="1" applyBorder="1" applyAlignment="1">
      <alignment horizontal="center" vertical="center"/>
    </xf>
    <xf numFmtId="0" fontId="35" fillId="0" borderId="1" xfId="0" applyFont="1" applyFill="1" applyBorder="1" applyAlignment="1"/>
    <xf numFmtId="0" fontId="35" fillId="0" borderId="1" xfId="0" applyFont="1" applyFill="1" applyBorder="1" applyAlignment="1">
      <alignment vertical="center"/>
    </xf>
    <xf numFmtId="215" fontId="36" fillId="0" borderId="1" xfId="23" applyNumberFormat="1" applyFont="1" applyFill="1" applyBorder="1" applyAlignment="1">
      <alignment horizontal="left" vertical="center"/>
    </xf>
    <xf numFmtId="0" fontId="38" fillId="0" borderId="0" xfId="0" applyFont="1"/>
    <xf numFmtId="0" fontId="38" fillId="0" borderId="1" xfId="0" applyFont="1" applyBorder="1"/>
    <xf numFmtId="0" fontId="38" fillId="2" borderId="1" xfId="0" applyFont="1" applyFill="1" applyBorder="1"/>
    <xf numFmtId="0" fontId="38" fillId="347" borderId="1" xfId="0" applyFont="1" applyFill="1" applyBorder="1"/>
    <xf numFmtId="0" fontId="38" fillId="348" borderId="1" xfId="0" applyFont="1" applyFill="1" applyBorder="1"/>
    <xf numFmtId="0" fontId="38" fillId="349" borderId="1" xfId="0" applyFont="1" applyFill="1" applyBorder="1"/>
    <xf numFmtId="49" fontId="33" fillId="350" borderId="21" xfId="27" applyNumberFormat="1" applyFont="1" applyFill="1" applyBorder="1" applyAlignment="1" applyProtection="1">
      <alignment horizontal="left" vertical="center" wrapText="1"/>
      <protection locked="0"/>
    </xf>
    <xf numFmtId="49" fontId="10" fillId="0" borderId="21" xfId="27" applyNumberFormat="1" applyFont="1" applyFill="1" applyBorder="1" applyAlignment="1" applyProtection="1">
      <alignment horizontal="left" vertical="center" wrapText="1"/>
    </xf>
    <xf numFmtId="49" fontId="10" fillId="0" borderId="80" xfId="27" applyNumberFormat="1" applyFont="1" applyFill="1" applyBorder="1" applyAlignment="1" applyProtection="1">
      <alignment horizontal="left" vertical="center" wrapText="1"/>
    </xf>
    <xf numFmtId="0" fontId="37" fillId="0" borderId="0" xfId="27">
      <alignment vertical="center"/>
    </xf>
    <xf numFmtId="0" fontId="33" fillId="0" borderId="81" xfId="27" applyNumberFormat="1" applyFont="1" applyBorder="1" applyAlignment="1" applyProtection="1">
      <alignment horizontal="center" vertical="center"/>
      <protection locked="0"/>
    </xf>
    <xf numFmtId="49" fontId="10" fillId="0" borderId="81" xfId="27" applyNumberFormat="1" applyFont="1" applyFill="1" applyBorder="1" applyAlignment="1" applyProtection="1">
      <alignment vertical="center" wrapText="1"/>
    </xf>
    <xf numFmtId="49" fontId="10" fillId="0" borderId="81" xfId="27" applyNumberFormat="1" applyFont="1" applyFill="1" applyBorder="1" applyProtection="1">
      <alignment vertical="center"/>
    </xf>
    <xf numFmtId="49" fontId="10" fillId="0" borderId="82" xfId="27" applyNumberFormat="1" applyFont="1" applyFill="1" applyBorder="1" applyProtection="1">
      <alignment vertical="center"/>
    </xf>
    <xf numFmtId="0" fontId="1" fillId="0" borderId="0" xfId="28"/>
    <xf numFmtId="49" fontId="33" fillId="0" borderId="83" xfId="27" applyNumberFormat="1" applyFont="1" applyBorder="1" applyAlignment="1" applyProtection="1">
      <alignment horizontal="center" vertical="center"/>
      <protection locked="0"/>
    </xf>
    <xf numFmtId="0" fontId="30" fillId="0" borderId="0" xfId="2037">
      <alignment vertical="center"/>
    </xf>
    <xf numFmtId="49" fontId="30" fillId="0" borderId="0" xfId="2037" applyNumberFormat="1">
      <alignment vertical="center"/>
    </xf>
    <xf numFmtId="49" fontId="30" fillId="0" borderId="0" xfId="2037" applyNumberFormat="1" applyAlignment="1">
      <alignment vertical="center"/>
    </xf>
    <xf numFmtId="0" fontId="30" fillId="0" borderId="0" xfId="2037" applyAlignment="1">
      <alignment vertical="center"/>
    </xf>
    <xf numFmtId="178" fontId="10" fillId="10" borderId="17" xfId="5" applyNumberFormat="1" applyFill="1" applyBorder="1">
      <alignment vertical="center"/>
    </xf>
    <xf numFmtId="178" fontId="10" fillId="96" borderId="17" xfId="5" applyNumberFormat="1" applyFill="1" applyBorder="1">
      <alignment vertical="center"/>
    </xf>
    <xf numFmtId="178" fontId="10" fillId="380" borderId="17" xfId="5" applyNumberFormat="1" applyFill="1" applyBorder="1">
      <alignment vertical="center"/>
    </xf>
    <xf numFmtId="178" fontId="10" fillId="0" borderId="5" xfId="5" applyNumberFormat="1" applyFill="1" applyBorder="1">
      <alignment vertical="center"/>
    </xf>
    <xf numFmtId="178" fontId="10" fillId="0" borderId="10" xfId="5" applyNumberFormat="1" applyFill="1" applyBorder="1">
      <alignment vertical="center"/>
    </xf>
    <xf numFmtId="178" fontId="10" fillId="0" borderId="14" xfId="5" applyNumberFormat="1" applyFill="1" applyBorder="1">
      <alignment vertical="center"/>
    </xf>
    <xf numFmtId="178" fontId="10" fillId="10" borderId="18" xfId="5" applyNumberFormat="1" applyFill="1" applyBorder="1">
      <alignment vertical="center"/>
    </xf>
    <xf numFmtId="178" fontId="10" fillId="380" borderId="10" xfId="5" applyNumberFormat="1" applyFill="1" applyBorder="1">
      <alignment vertical="center"/>
    </xf>
    <xf numFmtId="178" fontId="10" fillId="0" borderId="1" xfId="5" applyNumberFormat="1" applyFill="1" applyBorder="1">
      <alignment vertical="center"/>
    </xf>
    <xf numFmtId="178" fontId="10" fillId="380" borderId="5" xfId="5" applyNumberFormat="1" applyFill="1" applyBorder="1">
      <alignment vertical="center"/>
    </xf>
    <xf numFmtId="178" fontId="10" fillId="10" borderId="10" xfId="5" applyNumberFormat="1" applyFill="1" applyBorder="1">
      <alignment vertical="center"/>
    </xf>
    <xf numFmtId="0" fontId="0" fillId="0" borderId="0" xfId="0" applyFill="1"/>
    <xf numFmtId="0" fontId="0" fillId="96" borderId="0" xfId="0" applyFill="1"/>
    <xf numFmtId="0" fontId="0" fillId="10" borderId="0" xfId="0" applyFill="1"/>
    <xf numFmtId="0" fontId="34" fillId="0" borderId="0" xfId="3169" applyFont="1" applyAlignment="1">
      <alignment vertical="center"/>
    </xf>
    <xf numFmtId="0" fontId="193" fillId="0" borderId="0" xfId="3169" applyFont="1" applyAlignment="1">
      <alignment vertical="center"/>
    </xf>
    <xf numFmtId="0" fontId="194" fillId="0" borderId="0" xfId="3169" applyFont="1" applyAlignment="1">
      <alignment horizontal="center" vertical="center"/>
    </xf>
    <xf numFmtId="49" fontId="34" fillId="0" borderId="0" xfId="3169" applyNumberFormat="1" applyFont="1" applyAlignment="1">
      <alignment vertical="center"/>
    </xf>
    <xf numFmtId="0" fontId="34" fillId="0" borderId="0" xfId="3169" applyFont="1" applyAlignment="1">
      <alignment horizontal="center" vertical="center"/>
    </xf>
    <xf numFmtId="0" fontId="34" fillId="0" borderId="0" xfId="3169" applyFont="1" applyAlignment="1">
      <alignment horizontal="right" vertical="center"/>
    </xf>
    <xf numFmtId="0" fontId="34" fillId="381" borderId="102" xfId="2178" applyFont="1" applyFill="1" applyBorder="1" applyAlignment="1">
      <alignment horizontal="center" vertical="center"/>
    </xf>
    <xf numFmtId="0" fontId="195" fillId="382" borderId="0" xfId="2178" applyFont="1" applyFill="1">
      <alignment vertical="center"/>
    </xf>
    <xf numFmtId="0" fontId="34" fillId="382" borderId="0" xfId="2178" applyFont="1" applyFill="1">
      <alignment vertical="center"/>
    </xf>
    <xf numFmtId="0" fontId="34" fillId="0" borderId="0" xfId="2178" applyFont="1">
      <alignment vertical="center"/>
    </xf>
    <xf numFmtId="0" fontId="196" fillId="0" borderId="0" xfId="3169" applyFont="1" applyAlignment="1">
      <alignment vertical="center"/>
    </xf>
    <xf numFmtId="0" fontId="34" fillId="148" borderId="0" xfId="3169" applyFont="1" applyFill="1" applyAlignment="1">
      <alignment horizontal="center" vertical="center"/>
    </xf>
    <xf numFmtId="0" fontId="34" fillId="148" borderId="0" xfId="2178" applyFont="1" applyFill="1" applyAlignment="1">
      <alignment horizontal="left" vertical="center"/>
    </xf>
    <xf numFmtId="0" fontId="34" fillId="148" borderId="0" xfId="2178" applyFont="1" applyFill="1">
      <alignment vertical="center"/>
    </xf>
    <xf numFmtId="0" fontId="197" fillId="0" borderId="0" xfId="2178" applyFont="1" applyAlignment="1">
      <alignment horizontal="left" vertical="center"/>
    </xf>
    <xf numFmtId="0" fontId="34" fillId="0" borderId="0" xfId="2178" applyFont="1" applyAlignment="1">
      <alignment horizontal="center" vertical="center"/>
    </xf>
    <xf numFmtId="0" fontId="9" fillId="0" borderId="0" xfId="2178" applyFont="1">
      <alignment vertical="center"/>
    </xf>
    <xf numFmtId="0" fontId="34" fillId="0" borderId="103" xfId="2178" applyFont="1" applyBorder="1" applyAlignment="1">
      <alignment horizontal="center" vertical="center"/>
    </xf>
    <xf numFmtId="0" fontId="34" fillId="0" borderId="104" xfId="2178" applyFont="1" applyBorder="1">
      <alignment vertical="center"/>
    </xf>
    <xf numFmtId="0" fontId="34" fillId="0" borderId="105" xfId="2178" applyFont="1" applyBorder="1">
      <alignment vertical="center"/>
    </xf>
    <xf numFmtId="0" fontId="34" fillId="0" borderId="106" xfId="2178" applyFont="1" applyBorder="1" applyAlignment="1">
      <alignment horizontal="center" vertical="center"/>
    </xf>
    <xf numFmtId="0" fontId="198" fillId="0" borderId="0" xfId="2178" applyFont="1">
      <alignment vertical="center"/>
    </xf>
    <xf numFmtId="0" fontId="198" fillId="0" borderId="0" xfId="2178" applyFont="1" applyAlignment="1">
      <alignment horizontal="right" vertical="center"/>
    </xf>
    <xf numFmtId="0" fontId="34" fillId="0" borderId="107" xfId="2178" applyFont="1" applyBorder="1">
      <alignment vertical="center"/>
    </xf>
    <xf numFmtId="0" fontId="34" fillId="0" borderId="0" xfId="2178" applyFont="1" applyAlignment="1">
      <alignment horizontal="right" vertical="center"/>
    </xf>
    <xf numFmtId="0" fontId="201" fillId="0" borderId="0" xfId="2178" applyFont="1">
      <alignment vertical="center"/>
    </xf>
    <xf numFmtId="0" fontId="34" fillId="0" borderId="102" xfId="2178" applyFont="1" applyBorder="1">
      <alignment vertical="center"/>
    </xf>
    <xf numFmtId="0" fontId="202" fillId="0" borderId="0" xfId="2178" applyFont="1">
      <alignment vertical="center"/>
    </xf>
    <xf numFmtId="0" fontId="34" fillId="0" borderId="0" xfId="2178" applyFont="1" applyAlignment="1">
      <alignment horizontal="left" vertical="center" indent="1"/>
    </xf>
    <xf numFmtId="0" fontId="36" fillId="0" borderId="0" xfId="2178" applyFont="1" applyAlignment="1">
      <alignment horizontal="left" vertical="center" indent="1"/>
    </xf>
    <xf numFmtId="0" fontId="19" fillId="0" borderId="0" xfId="2178" applyFont="1">
      <alignment vertical="center"/>
    </xf>
    <xf numFmtId="0" fontId="34" fillId="0" borderId="106" xfId="2178" applyFont="1" applyBorder="1">
      <alignment vertical="center"/>
    </xf>
    <xf numFmtId="218" fontId="34" fillId="0" borderId="0" xfId="2178" applyNumberFormat="1" applyFont="1" applyAlignment="1">
      <alignment horizontal="left" vertical="center"/>
    </xf>
    <xf numFmtId="0" fontId="145" fillId="0" borderId="0" xfId="2178" applyFont="1" applyAlignment="1">
      <alignment horizontal="center" vertical="center" wrapText="1" readingOrder="1"/>
    </xf>
    <xf numFmtId="219" fontId="145" fillId="0" borderId="0" xfId="2178" applyNumberFormat="1" applyFont="1" applyAlignment="1">
      <alignment horizontal="center" vertical="center" wrapText="1" readingOrder="1"/>
    </xf>
    <xf numFmtId="0" fontId="203" fillId="0" borderId="0" xfId="2178" applyFont="1">
      <alignment vertical="center"/>
    </xf>
    <xf numFmtId="220" fontId="204" fillId="383" borderId="15" xfId="2178" applyNumberFormat="1" applyFont="1" applyFill="1" applyBorder="1" applyAlignment="1">
      <alignment horizontal="left" vertical="center"/>
    </xf>
    <xf numFmtId="0" fontId="204" fillId="383" borderId="15" xfId="2178" applyFont="1" applyFill="1" applyBorder="1">
      <alignment vertical="center"/>
    </xf>
    <xf numFmtId="219" fontId="204" fillId="383" borderId="15" xfId="2178" applyNumberFormat="1" applyFont="1" applyFill="1" applyBorder="1" applyAlignment="1">
      <alignment horizontal="center" vertical="center" wrapText="1" readingOrder="1"/>
    </xf>
    <xf numFmtId="223" fontId="204" fillId="383" borderId="12" xfId="2178" applyNumberFormat="1" applyFont="1" applyFill="1" applyBorder="1" applyAlignment="1">
      <alignment horizontal="left" vertical="center"/>
    </xf>
    <xf numFmtId="0" fontId="204" fillId="383" borderId="12" xfId="2178" applyFont="1" applyFill="1" applyBorder="1">
      <alignment vertical="center"/>
    </xf>
    <xf numFmtId="219" fontId="204" fillId="383" borderId="12" xfId="2178" applyNumberFormat="1" applyFont="1" applyFill="1" applyBorder="1" applyAlignment="1">
      <alignment horizontal="center" vertical="center" wrapText="1" readingOrder="1"/>
    </xf>
    <xf numFmtId="0" fontId="34" fillId="0" borderId="108" xfId="2178" applyFont="1" applyBorder="1" applyAlignment="1">
      <alignment horizontal="center" vertical="center"/>
    </xf>
    <xf numFmtId="0" fontId="34" fillId="0" borderId="109" xfId="2178" applyFont="1" applyBorder="1">
      <alignment vertical="center"/>
    </xf>
    <xf numFmtId="0" fontId="34" fillId="0" borderId="109" xfId="2178" applyFont="1" applyBorder="1" applyAlignment="1">
      <alignment horizontal="right" vertical="center"/>
    </xf>
    <xf numFmtId="0" fontId="34" fillId="0" borderId="110" xfId="2178" applyFont="1" applyBorder="1">
      <alignment vertical="center"/>
    </xf>
    <xf numFmtId="0" fontId="142" fillId="384" borderId="0" xfId="2178" applyFont="1" applyFill="1" applyAlignment="1">
      <alignment horizontal="centerContinuous" vertical="center"/>
    </xf>
    <xf numFmtId="0" fontId="205" fillId="384" borderId="0" xfId="2178" applyFont="1" applyFill="1" applyAlignment="1">
      <alignment horizontal="centerContinuous" vertical="center"/>
    </xf>
    <xf numFmtId="0" fontId="206" fillId="384" borderId="0" xfId="2178" applyFont="1" applyFill="1" applyAlignment="1">
      <alignment horizontal="centerContinuous" vertical="center"/>
    </xf>
    <xf numFmtId="0" fontId="207" fillId="0" borderId="0" xfId="3169" applyFont="1" applyAlignment="1">
      <alignment horizontal="center" vertical="center"/>
    </xf>
    <xf numFmtId="0" fontId="208" fillId="0" borderId="0" xfId="3169" applyFont="1" applyAlignment="1">
      <alignment horizontal="center" vertical="center"/>
    </xf>
    <xf numFmtId="0" fontId="209" fillId="0" borderId="0" xfId="3169" applyFont="1" applyAlignment="1">
      <alignment horizontal="right" vertical="center"/>
    </xf>
    <xf numFmtId="0" fontId="210" fillId="0" borderId="0" xfId="2178" applyFont="1">
      <alignment vertical="center"/>
    </xf>
    <xf numFmtId="226" fontId="34" fillId="0" borderId="0" xfId="2178" applyNumberFormat="1" applyFont="1" applyAlignment="1">
      <alignment horizontal="center" vertical="center"/>
    </xf>
    <xf numFmtId="215" fontId="34" fillId="0" borderId="0" xfId="2178" applyNumberFormat="1" applyFont="1" applyAlignment="1">
      <alignment horizontal="left" vertical="center"/>
    </xf>
    <xf numFmtId="0" fontId="34" fillId="0" borderId="0" xfId="2178" applyFont="1" applyAlignment="1">
      <alignment horizontal="left" vertical="center"/>
    </xf>
    <xf numFmtId="0" fontId="50" fillId="385" borderId="0" xfId="3169" applyFont="1" applyFill="1" applyAlignment="1">
      <alignment vertical="center"/>
    </xf>
    <xf numFmtId="227" fontId="198" fillId="385" borderId="0" xfId="3169" applyNumberFormat="1" applyFont="1" applyFill="1" applyAlignment="1">
      <alignment horizontal="center" vertical="center"/>
    </xf>
    <xf numFmtId="0" fontId="198" fillId="385" borderId="0" xfId="3169" applyFont="1" applyFill="1" applyAlignment="1">
      <alignment vertical="center"/>
    </xf>
    <xf numFmtId="49" fontId="198" fillId="385" borderId="0" xfId="3169" applyNumberFormat="1" applyFont="1" applyFill="1" applyAlignment="1">
      <alignment vertical="center"/>
    </xf>
    <xf numFmtId="0" fontId="205" fillId="385" borderId="0" xfId="3169" applyFont="1" applyFill="1" applyAlignment="1">
      <alignment horizontal="center" vertical="center"/>
    </xf>
    <xf numFmtId="0" fontId="211" fillId="385" borderId="0" xfId="3169" applyFont="1" applyFill="1" applyAlignment="1">
      <alignment horizontal="center" vertical="center"/>
    </xf>
    <xf numFmtId="0" fontId="212" fillId="385" borderId="0" xfId="3169" applyFont="1" applyFill="1" applyAlignment="1">
      <alignment horizontal="right" vertical="center"/>
    </xf>
    <xf numFmtId="0" fontId="213" fillId="0" borderId="0" xfId="2178" applyFont="1">
      <alignment vertical="center"/>
    </xf>
    <xf numFmtId="228" fontId="34" fillId="0" borderId="0" xfId="2178" applyNumberFormat="1" applyFont="1" applyAlignment="1">
      <alignment horizontal="center" vertical="center"/>
    </xf>
    <xf numFmtId="0" fontId="34" fillId="0" borderId="0" xfId="2178" applyFont="1" applyAlignment="1">
      <alignment vertical="center" wrapText="1"/>
    </xf>
    <xf numFmtId="0" fontId="214" fillId="0" borderId="0" xfId="2178" applyFont="1">
      <alignment vertical="center"/>
    </xf>
    <xf numFmtId="0" fontId="215" fillId="0" borderId="0" xfId="2178" applyFont="1" applyAlignment="1">
      <alignment horizontal="right" vertical="center"/>
    </xf>
    <xf numFmtId="0" fontId="9" fillId="0" borderId="0" xfId="2178" applyFont="1" applyAlignment="1">
      <alignment horizontal="center" vertical="center"/>
    </xf>
    <xf numFmtId="215" fontId="9" fillId="0" borderId="0" xfId="2178" applyNumberFormat="1" applyFont="1" applyAlignment="1">
      <alignment horizontal="left" vertical="center"/>
    </xf>
    <xf numFmtId="0" fontId="216" fillId="151" borderId="9" xfId="2178" applyFont="1" applyFill="1" applyBorder="1">
      <alignment vertical="center"/>
    </xf>
    <xf numFmtId="0" fontId="217" fillId="0" borderId="9" xfId="2178" applyFont="1" applyBorder="1">
      <alignment vertical="center"/>
    </xf>
    <xf numFmtId="0" fontId="218" fillId="0" borderId="0" xfId="2178" applyFont="1">
      <alignment vertical="center"/>
    </xf>
    <xf numFmtId="0" fontId="127" fillId="0" borderId="0" xfId="2178" applyFont="1">
      <alignment vertical="center"/>
    </xf>
    <xf numFmtId="0" fontId="9" fillId="0" borderId="0" xfId="2178" applyFont="1" applyAlignment="1">
      <alignment horizontal="left" vertical="center"/>
    </xf>
    <xf numFmtId="0" fontId="9" fillId="0" borderId="102" xfId="2178" applyFont="1" applyBorder="1">
      <alignment vertical="center"/>
    </xf>
    <xf numFmtId="0" fontId="216" fillId="386" borderId="9" xfId="2178" applyFont="1" applyFill="1" applyBorder="1">
      <alignment vertical="center"/>
    </xf>
    <xf numFmtId="0" fontId="217" fillId="0" borderId="0" xfId="2178" applyFont="1">
      <alignment vertical="center"/>
    </xf>
    <xf numFmtId="0" fontId="217" fillId="0" borderId="9" xfId="2178" applyFont="1" applyBorder="1" applyAlignment="1">
      <alignment vertical="center" wrapText="1"/>
    </xf>
    <xf numFmtId="0" fontId="34" fillId="0" borderId="111" xfId="2178" applyFont="1" applyBorder="1" applyAlignment="1">
      <alignment vertical="center" wrapText="1"/>
    </xf>
    <xf numFmtId="49" fontId="34" fillId="0" borderId="0" xfId="2178" applyNumberFormat="1" applyFont="1">
      <alignment vertical="center"/>
    </xf>
    <xf numFmtId="0" fontId="31" fillId="0" borderId="0" xfId="2178">
      <alignment vertical="center"/>
    </xf>
    <xf numFmtId="0" fontId="34" fillId="151" borderId="15" xfId="2178" applyFont="1" applyFill="1" applyBorder="1" applyAlignment="1">
      <alignment horizontal="left" vertical="center"/>
    </xf>
    <xf numFmtId="0" fontId="217" fillId="151" borderId="15" xfId="2178" applyFont="1" applyFill="1" applyBorder="1">
      <alignment vertical="center"/>
    </xf>
    <xf numFmtId="0" fontId="9" fillId="0" borderId="0" xfId="2178" applyFont="1" applyAlignment="1">
      <alignment vertical="center" wrapText="1"/>
    </xf>
    <xf numFmtId="0" fontId="34" fillId="0" borderId="15" xfId="2178" applyFont="1" applyBorder="1" applyAlignment="1">
      <alignment horizontal="left" vertical="center"/>
    </xf>
    <xf numFmtId="0" fontId="219" fillId="0" borderId="9" xfId="2178" applyFont="1" applyBorder="1">
      <alignment vertical="center"/>
    </xf>
    <xf numFmtId="0" fontId="217" fillId="0" borderId="15" xfId="2178" applyFont="1" applyBorder="1">
      <alignment vertical="center"/>
    </xf>
    <xf numFmtId="0" fontId="220" fillId="381" borderId="102" xfId="2178" applyFont="1" applyFill="1" applyBorder="1" applyAlignment="1">
      <alignment horizontal="center" vertical="center"/>
    </xf>
    <xf numFmtId="229" fontId="34" fillId="0" borderId="0" xfId="2178" applyNumberFormat="1" applyFont="1" applyAlignment="1">
      <alignment horizontal="center" vertical="center"/>
    </xf>
    <xf numFmtId="0" fontId="34" fillId="0" borderId="0" xfId="2178" applyFont="1" applyAlignment="1">
      <alignment horizontal="left" vertical="center" wrapText="1"/>
    </xf>
    <xf numFmtId="0" fontId="219" fillId="0" borderId="0" xfId="2178" applyFont="1" applyAlignment="1">
      <alignment horizontal="right" vertical="center"/>
    </xf>
    <xf numFmtId="0" fontId="215" fillId="0" borderId="0" xfId="2178" applyFont="1">
      <alignment vertical="center"/>
    </xf>
    <xf numFmtId="0" fontId="34" fillId="151" borderId="112" xfId="2178" applyFont="1" applyFill="1" applyBorder="1">
      <alignment vertical="center"/>
    </xf>
    <xf numFmtId="0" fontId="215" fillId="151" borderId="113" xfId="2178" applyFont="1" applyFill="1" applyBorder="1">
      <alignment vertical="center"/>
    </xf>
    <xf numFmtId="0" fontId="34" fillId="151" borderId="113" xfId="2178" applyFont="1" applyFill="1" applyBorder="1" applyAlignment="1">
      <alignment vertical="center" wrapText="1"/>
    </xf>
    <xf numFmtId="0" fontId="170" fillId="0" borderId="0" xfId="2178" applyFont="1">
      <alignment vertical="center"/>
    </xf>
    <xf numFmtId="0" fontId="34" fillId="151" borderId="114" xfId="2178" applyFont="1" applyFill="1" applyBorder="1">
      <alignment vertical="center"/>
    </xf>
    <xf numFmtId="0" fontId="34" fillId="151" borderId="9" xfId="2178" applyFont="1" applyFill="1" applyBorder="1" applyAlignment="1">
      <alignment vertical="center" wrapText="1"/>
    </xf>
    <xf numFmtId="0" fontId="9" fillId="151" borderId="9" xfId="2178" applyFont="1" applyFill="1" applyBorder="1" applyAlignment="1">
      <alignment vertical="center" wrapText="1"/>
    </xf>
    <xf numFmtId="0" fontId="34" fillId="151" borderId="9" xfId="2178" applyFont="1" applyFill="1" applyBorder="1">
      <alignment vertical="center"/>
    </xf>
    <xf numFmtId="0" fontId="34" fillId="151" borderId="111" xfId="2178" applyFont="1" applyFill="1" applyBorder="1" applyAlignment="1">
      <alignment vertical="center" wrapText="1"/>
    </xf>
    <xf numFmtId="0" fontId="34" fillId="151" borderId="0" xfId="2178" applyFont="1" applyFill="1">
      <alignment vertical="center"/>
    </xf>
    <xf numFmtId="0" fontId="215" fillId="151" borderId="0" xfId="2178" applyFont="1" applyFill="1">
      <alignment vertical="center"/>
    </xf>
    <xf numFmtId="0" fontId="34" fillId="151" borderId="0" xfId="2178" applyFont="1" applyFill="1" applyAlignment="1">
      <alignment vertical="center" wrapText="1"/>
    </xf>
    <xf numFmtId="215" fontId="34" fillId="0" borderId="0" xfId="23" applyNumberFormat="1" applyFont="1" applyAlignment="1">
      <alignment horizontal="left" vertical="center"/>
    </xf>
    <xf numFmtId="0" fontId="34" fillId="0" borderId="0" xfId="3169" applyFont="1" applyAlignment="1">
      <alignment horizontal="left" vertical="center"/>
    </xf>
    <xf numFmtId="0" fontId="219" fillId="0" borderId="0" xfId="2178" applyFont="1">
      <alignment vertical="center"/>
    </xf>
    <xf numFmtId="0" fontId="34" fillId="0" borderId="0" xfId="2178" applyFont="1" applyAlignment="1">
      <alignment vertical="center" shrinkToFit="1"/>
    </xf>
    <xf numFmtId="0" fontId="34" fillId="387" borderId="115" xfId="2178" applyFont="1" applyFill="1" applyBorder="1" applyAlignment="1">
      <alignment horizontal="center" vertical="top" wrapText="1"/>
    </xf>
    <xf numFmtId="0" fontId="222" fillId="0" borderId="0" xfId="2178" applyFont="1" applyAlignment="1">
      <alignment horizontal="right" vertical="center" wrapText="1"/>
    </xf>
    <xf numFmtId="0" fontId="34" fillId="388" borderId="115" xfId="2178" applyFont="1" applyFill="1" applyBorder="1" applyAlignment="1">
      <alignment vertical="top" textRotation="255" wrapText="1" shrinkToFit="1"/>
    </xf>
    <xf numFmtId="0" fontId="9" fillId="382" borderId="0" xfId="2178" applyFont="1" applyFill="1" applyAlignment="1">
      <alignment vertical="top" textRotation="255"/>
    </xf>
    <xf numFmtId="0" fontId="34" fillId="148" borderId="0" xfId="2178" applyFont="1" applyFill="1" applyAlignment="1">
      <alignment horizontal="right"/>
    </xf>
    <xf numFmtId="0" fontId="223" fillId="387" borderId="116" xfId="2178" applyFont="1" applyFill="1" applyBorder="1" applyAlignment="1">
      <alignment horizontal="center" vertical="top" wrapText="1"/>
    </xf>
    <xf numFmtId="0" fontId="222" fillId="0" borderId="0" xfId="2178" applyFont="1" applyAlignment="1">
      <alignment horizontal="right" vertical="center"/>
    </xf>
    <xf numFmtId="215" fontId="34" fillId="152" borderId="117" xfId="23" applyNumberFormat="1" applyFont="1" applyFill="1" applyBorder="1" applyAlignment="1">
      <alignment horizontal="left" vertical="center"/>
    </xf>
    <xf numFmtId="215" fontId="34" fillId="152" borderId="118" xfId="23" applyNumberFormat="1" applyFont="1" applyFill="1" applyBorder="1" applyAlignment="1">
      <alignment horizontal="right" vertical="center"/>
    </xf>
    <xf numFmtId="0" fontId="34" fillId="348" borderId="79" xfId="2178" applyFont="1" applyFill="1" applyBorder="1" applyAlignment="1">
      <alignment horizontal="center" vertical="center"/>
    </xf>
    <xf numFmtId="0" fontId="203" fillId="385" borderId="0" xfId="3169" applyFont="1" applyFill="1" applyAlignment="1">
      <alignment vertical="center"/>
    </xf>
    <xf numFmtId="49" fontId="203" fillId="385" borderId="0" xfId="3169" applyNumberFormat="1" applyFont="1" applyFill="1" applyAlignment="1">
      <alignment vertical="center"/>
    </xf>
    <xf numFmtId="0" fontId="142" fillId="385" borderId="0" xfId="3169" applyFont="1" applyFill="1" applyAlignment="1">
      <alignment horizontal="center" vertical="center"/>
    </xf>
    <xf numFmtId="0" fontId="224" fillId="0" borderId="0" xfId="2178" applyFont="1">
      <alignment vertical="center"/>
    </xf>
    <xf numFmtId="0" fontId="157" fillId="0" borderId="0" xfId="2178" applyFont="1">
      <alignment vertical="center"/>
    </xf>
    <xf numFmtId="49" fontId="9" fillId="0" borderId="0" xfId="2178" applyNumberFormat="1" applyFont="1">
      <alignment vertical="center"/>
    </xf>
    <xf numFmtId="0" fontId="195" fillId="0" borderId="0" xfId="3169" applyFont="1" applyAlignment="1">
      <alignment horizontal="center" vertical="center"/>
    </xf>
    <xf numFmtId="0" fontId="9" fillId="0" borderId="0" xfId="3169" applyFont="1" applyAlignment="1">
      <alignment horizontal="center" vertical="center"/>
    </xf>
    <xf numFmtId="230" fontId="215" fillId="0" borderId="0" xfId="2178" applyNumberFormat="1" applyFont="1" applyAlignment="1">
      <alignment horizontal="left" vertical="center"/>
    </xf>
    <xf numFmtId="0" fontId="9" fillId="0" borderId="0" xfId="2178" applyFont="1" applyAlignment="1">
      <alignment vertical="top" textRotation="255" wrapText="1" shrinkToFit="1"/>
    </xf>
    <xf numFmtId="230" fontId="225" fillId="0" borderId="0" xfId="2178" applyNumberFormat="1" applyFont="1" applyAlignment="1">
      <alignment horizontal="left" vertical="center"/>
    </xf>
    <xf numFmtId="0" fontId="216" fillId="389" borderId="9" xfId="2178" applyFont="1" applyFill="1" applyBorder="1">
      <alignment vertical="center"/>
    </xf>
    <xf numFmtId="0" fontId="219" fillId="0" borderId="0" xfId="2178" applyFont="1" applyAlignment="1">
      <alignment horizontal="left" vertical="center"/>
    </xf>
    <xf numFmtId="0" fontId="9" fillId="0" borderId="0" xfId="2178" applyFont="1" applyAlignment="1">
      <alignment horizontal="right" vertical="center"/>
    </xf>
    <xf numFmtId="231" fontId="215" fillId="0" borderId="0" xfId="2178" applyNumberFormat="1" applyFont="1">
      <alignment vertical="center"/>
    </xf>
    <xf numFmtId="0" fontId="34" fillId="0" borderId="119" xfId="2178" applyFont="1" applyBorder="1">
      <alignment vertical="center"/>
    </xf>
    <xf numFmtId="0" fontId="226" fillId="0" borderId="0" xfId="3169" applyFont="1" applyAlignment="1">
      <alignment horizontal="left" vertical="center"/>
    </xf>
    <xf numFmtId="0" fontId="227" fillId="0" borderId="0" xfId="3169" applyFont="1" applyAlignment="1">
      <alignment vertical="center"/>
    </xf>
    <xf numFmtId="0" fontId="227" fillId="0" borderId="0" xfId="3169" applyFont="1" applyAlignment="1">
      <alignment horizontal="center" vertical="center"/>
    </xf>
    <xf numFmtId="49" fontId="227" fillId="0" borderId="0" xfId="3169" applyNumberFormat="1" applyFont="1" applyAlignment="1">
      <alignment vertical="center"/>
    </xf>
    <xf numFmtId="0" fontId="227" fillId="0" borderId="0" xfId="2178" applyFont="1">
      <alignment vertical="center"/>
    </xf>
    <xf numFmtId="0" fontId="227" fillId="382" borderId="0" xfId="2178" applyFont="1" applyFill="1">
      <alignment vertical="center"/>
    </xf>
    <xf numFmtId="0" fontId="216" fillId="390" borderId="9" xfId="2178" applyFont="1" applyFill="1" applyBorder="1">
      <alignment vertical="center"/>
    </xf>
    <xf numFmtId="0" fontId="228" fillId="0" borderId="0" xfId="2178" applyFont="1">
      <alignment vertical="center"/>
    </xf>
    <xf numFmtId="0" fontId="34" fillId="0" borderId="120" xfId="2178" applyFont="1" applyBorder="1">
      <alignment vertical="center"/>
    </xf>
    <xf numFmtId="0" fontId="34" fillId="0" borderId="120" xfId="2178" applyFont="1" applyBorder="1" applyAlignment="1">
      <alignment vertical="center" wrapText="1"/>
    </xf>
    <xf numFmtId="0" fontId="34" fillId="0" borderId="120" xfId="2178" applyFont="1" applyBorder="1" applyAlignment="1">
      <alignment horizontal="center" vertical="center"/>
    </xf>
    <xf numFmtId="0" fontId="34" fillId="0" borderId="121" xfId="2178" applyFont="1" applyBorder="1" applyAlignment="1">
      <alignment horizontal="center" vertical="center"/>
    </xf>
    <xf numFmtId="215" fontId="34" fillId="147" borderId="118" xfId="23" applyNumberFormat="1" applyFont="1" applyFill="1" applyBorder="1" applyAlignment="1">
      <alignment horizontal="right" vertical="center"/>
    </xf>
    <xf numFmtId="0" fontId="219" fillId="148" borderId="0" xfId="2178" applyFont="1" applyFill="1" applyAlignment="1">
      <alignment horizontal="right"/>
    </xf>
    <xf numFmtId="215" fontId="34" fillId="147" borderId="117" xfId="23" applyNumberFormat="1" applyFont="1" applyFill="1" applyBorder="1" applyAlignment="1">
      <alignment horizontal="left" vertical="center"/>
    </xf>
    <xf numFmtId="215" fontId="34" fillId="139" borderId="117" xfId="23" applyNumberFormat="1" applyFont="1" applyFill="1" applyBorder="1" applyAlignment="1">
      <alignment horizontal="left" vertical="center"/>
    </xf>
    <xf numFmtId="0" fontId="216" fillId="139" borderId="9" xfId="2178" applyFont="1" applyFill="1" applyBorder="1" applyAlignment="1">
      <alignment horizontal="right" vertical="center"/>
    </xf>
    <xf numFmtId="0" fontId="203" fillId="146" borderId="0" xfId="2178" applyFont="1" applyFill="1" applyAlignment="1">
      <alignment horizontal="centerContinuous" vertical="center"/>
    </xf>
    <xf numFmtId="0" fontId="198" fillId="146" borderId="0" xfId="2178" applyFont="1" applyFill="1" applyAlignment="1">
      <alignment horizontal="centerContinuous" vertical="center"/>
    </xf>
    <xf numFmtId="0" fontId="34" fillId="146" borderId="0" xfId="2178" applyFont="1" applyFill="1" applyAlignment="1">
      <alignment horizontal="centerContinuous" vertical="center"/>
    </xf>
    <xf numFmtId="0" fontId="34" fillId="391" borderId="0" xfId="3169" applyFont="1" applyFill="1" applyAlignment="1">
      <alignment vertical="center"/>
    </xf>
    <xf numFmtId="227" fontId="198" fillId="391" borderId="0" xfId="3169" applyNumberFormat="1" applyFont="1" applyFill="1" applyAlignment="1">
      <alignment horizontal="center" vertical="center"/>
    </xf>
    <xf numFmtId="0" fontId="198" fillId="391" borderId="0" xfId="3169" applyFont="1" applyFill="1" applyAlignment="1">
      <alignment vertical="center"/>
    </xf>
    <xf numFmtId="49" fontId="198" fillId="391" borderId="0" xfId="3169" applyNumberFormat="1" applyFont="1" applyFill="1" applyAlignment="1">
      <alignment vertical="center"/>
    </xf>
    <xf numFmtId="0" fontId="205" fillId="391" borderId="0" xfId="3169" applyFont="1" applyFill="1" applyAlignment="1">
      <alignment horizontal="center" vertical="center"/>
    </xf>
    <xf numFmtId="0" fontId="211" fillId="391" borderId="0" xfId="3169" applyFont="1" applyFill="1" applyAlignment="1">
      <alignment horizontal="right" vertical="center"/>
    </xf>
    <xf numFmtId="0" fontId="214" fillId="0" borderId="6" xfId="2178" applyFont="1" applyBorder="1">
      <alignment vertical="center"/>
    </xf>
    <xf numFmtId="0" fontId="215" fillId="0" borderId="6" xfId="2178" applyFont="1" applyBorder="1" applyAlignment="1">
      <alignment horizontal="right" vertical="center"/>
    </xf>
    <xf numFmtId="0" fontId="34" fillId="0" borderId="6" xfId="3169" applyFont="1" applyBorder="1" applyAlignment="1">
      <alignment horizontal="right" vertical="center"/>
    </xf>
    <xf numFmtId="0" fontId="127" fillId="0" borderId="6" xfId="2178" applyFont="1" applyBorder="1">
      <alignment vertical="center"/>
    </xf>
    <xf numFmtId="0" fontId="34" fillId="0" borderId="6" xfId="2178" applyFont="1" applyBorder="1">
      <alignment vertical="center"/>
    </xf>
    <xf numFmtId="0" fontId="34" fillId="0" borderId="6" xfId="2178" applyFont="1" applyBorder="1" applyAlignment="1">
      <alignment horizontal="left" vertical="center"/>
    </xf>
    <xf numFmtId="0" fontId="34" fillId="0" borderId="122" xfId="2178" applyFont="1" applyBorder="1" applyAlignment="1">
      <alignment horizontal="left" vertical="center"/>
    </xf>
    <xf numFmtId="0" fontId="230" fillId="0" borderId="0" xfId="2178" applyFont="1" applyAlignment="1">
      <alignment horizontal="left" vertical="center"/>
    </xf>
    <xf numFmtId="0" fontId="231" fillId="0" borderId="0" xfId="2178" applyFont="1" applyAlignment="1">
      <alignment horizontal="left" vertical="center"/>
    </xf>
    <xf numFmtId="0" fontId="34" fillId="0" borderId="123" xfId="2178" applyFont="1" applyBorder="1" applyAlignment="1">
      <alignment horizontal="left" vertical="center"/>
    </xf>
    <xf numFmtId="0" fontId="214" fillId="0" borderId="4" xfId="2178" applyFont="1" applyBorder="1">
      <alignment vertical="center"/>
    </xf>
    <xf numFmtId="0" fontId="215" fillId="0" borderId="4" xfId="2178" applyFont="1" applyBorder="1" applyAlignment="1">
      <alignment horizontal="right" vertical="center"/>
    </xf>
    <xf numFmtId="0" fontId="34" fillId="0" borderId="4" xfId="3169" applyFont="1" applyBorder="1" applyAlignment="1">
      <alignment horizontal="right" vertical="center"/>
    </xf>
    <xf numFmtId="0" fontId="127" fillId="0" borderId="4" xfId="2178" applyFont="1" applyBorder="1">
      <alignment vertical="center"/>
    </xf>
    <xf numFmtId="0" fontId="34" fillId="0" borderId="4" xfId="2178" applyFont="1" applyBorder="1">
      <alignment vertical="center"/>
    </xf>
    <xf numFmtId="0" fontId="34" fillId="0" borderId="4" xfId="2178" applyFont="1" applyBorder="1" applyAlignment="1">
      <alignment horizontal="left" vertical="center"/>
    </xf>
    <xf numFmtId="0" fontId="34" fillId="0" borderId="124" xfId="2178" applyFont="1" applyBorder="1" applyAlignment="1">
      <alignment horizontal="left" vertical="center"/>
    </xf>
    <xf numFmtId="0" fontId="221" fillId="0" borderId="0" xfId="2178" applyFont="1">
      <alignment vertical="center"/>
    </xf>
    <xf numFmtId="232" fontId="34" fillId="0" borderId="0" xfId="23" applyNumberFormat="1" applyFont="1" applyAlignment="1">
      <alignment horizontal="right" vertical="center"/>
    </xf>
    <xf numFmtId="0" fontId="216" fillId="0" borderId="125" xfId="2178" applyFont="1" applyBorder="1">
      <alignment vertical="center"/>
    </xf>
    <xf numFmtId="0" fontId="216" fillId="0" borderId="15" xfId="2178" applyFont="1" applyBorder="1">
      <alignment vertical="center"/>
    </xf>
    <xf numFmtId="0" fontId="216" fillId="0" borderId="9" xfId="2178" applyFont="1" applyBorder="1">
      <alignment vertical="center"/>
    </xf>
    <xf numFmtId="0" fontId="232" fillId="0" borderId="126" xfId="2178" applyFont="1" applyBorder="1" applyAlignment="1">
      <alignment horizontal="left" wrapText="1"/>
    </xf>
    <xf numFmtId="0" fontId="233" fillId="0" borderId="0" xfId="2178" applyFont="1" applyAlignment="1">
      <alignment horizontal="right" vertical="center"/>
    </xf>
    <xf numFmtId="0" fontId="233" fillId="0" borderId="0" xfId="2178" applyFont="1">
      <alignment vertical="center"/>
    </xf>
    <xf numFmtId="215" fontId="34" fillId="152" borderId="127" xfId="23" applyNumberFormat="1" applyFont="1" applyFill="1" applyBorder="1" applyAlignment="1">
      <alignment horizontal="right" vertical="center" wrapText="1"/>
    </xf>
    <xf numFmtId="0" fontId="216" fillId="0" borderId="0" xfId="2178" applyFont="1">
      <alignment vertical="center"/>
    </xf>
    <xf numFmtId="0" fontId="216" fillId="0" borderId="128" xfId="2178" applyFont="1" applyBorder="1">
      <alignment vertical="center"/>
    </xf>
    <xf numFmtId="0" fontId="216" fillId="0" borderId="129" xfId="2178" applyFont="1" applyBorder="1">
      <alignment vertical="center"/>
    </xf>
    <xf numFmtId="230" fontId="215" fillId="0" borderId="129" xfId="2178" applyNumberFormat="1" applyFont="1" applyBorder="1" applyAlignment="1">
      <alignment horizontal="left" vertical="center"/>
    </xf>
    <xf numFmtId="0" fontId="127" fillId="0" borderId="129" xfId="2178" applyFont="1" applyBorder="1">
      <alignment vertical="center"/>
    </xf>
    <xf numFmtId="0" fontId="9" fillId="0" borderId="129" xfId="2178" applyFont="1" applyBorder="1">
      <alignment vertical="center"/>
    </xf>
    <xf numFmtId="0" fontId="9" fillId="0" borderId="129" xfId="2178" applyFont="1" applyBorder="1" applyAlignment="1">
      <alignment vertical="top" textRotation="255" wrapText="1" shrinkToFit="1"/>
    </xf>
    <xf numFmtId="0" fontId="195" fillId="0" borderId="129" xfId="3169" applyFont="1" applyBorder="1" applyAlignment="1">
      <alignment horizontal="center" vertical="center"/>
    </xf>
    <xf numFmtId="0" fontId="195" fillId="0" borderId="130" xfId="3169" applyFont="1" applyBorder="1" applyAlignment="1">
      <alignment horizontal="center" vertical="center"/>
    </xf>
    <xf numFmtId="0" fontId="216" fillId="0" borderId="131" xfId="2178" applyFont="1" applyBorder="1">
      <alignment vertical="center"/>
    </xf>
    <xf numFmtId="0" fontId="195" fillId="0" borderId="132" xfId="3169" applyFont="1" applyBorder="1" applyAlignment="1">
      <alignment horizontal="center" vertical="center"/>
    </xf>
    <xf numFmtId="0" fontId="216" fillId="0" borderId="133" xfId="2178" applyFont="1" applyBorder="1">
      <alignment vertical="center"/>
    </xf>
    <xf numFmtId="0" fontId="216" fillId="0" borderId="119" xfId="2178" applyFont="1" applyBorder="1">
      <alignment vertical="center"/>
    </xf>
    <xf numFmtId="230" fontId="215" fillId="0" borderId="119" xfId="2178" applyNumberFormat="1" applyFont="1" applyBorder="1" applyAlignment="1">
      <alignment horizontal="left" vertical="center"/>
    </xf>
    <xf numFmtId="0" fontId="127" fillId="0" borderId="119" xfId="2178" applyFont="1" applyBorder="1">
      <alignment vertical="center"/>
    </xf>
    <xf numFmtId="0" fontId="9" fillId="0" borderId="119" xfId="2178" applyFont="1" applyBorder="1">
      <alignment vertical="center"/>
    </xf>
    <xf numFmtId="0" fontId="9" fillId="0" borderId="119" xfId="2178" applyFont="1" applyBorder="1" applyAlignment="1">
      <alignment vertical="top" textRotation="255" wrapText="1" shrinkToFit="1"/>
    </xf>
    <xf numFmtId="0" fontId="195" fillId="0" borderId="119" xfId="3169" applyFont="1" applyBorder="1" applyAlignment="1">
      <alignment horizontal="center" vertical="center"/>
    </xf>
    <xf numFmtId="0" fontId="195" fillId="0" borderId="134" xfId="3169" applyFont="1" applyBorder="1" applyAlignment="1">
      <alignment horizontal="center" vertical="center"/>
    </xf>
    <xf numFmtId="215" fontId="34" fillId="152" borderId="127" xfId="23" applyNumberFormat="1" applyFont="1" applyFill="1" applyBorder="1" applyAlignment="1">
      <alignment horizontal="left" vertical="center"/>
    </xf>
    <xf numFmtId="221" fontId="204" fillId="383" borderId="15" xfId="2178" applyNumberFormat="1" applyFont="1" applyFill="1" applyBorder="1" applyAlignment="1">
      <alignment horizontal="left" vertical="center"/>
    </xf>
    <xf numFmtId="222" fontId="204" fillId="383" borderId="15" xfId="2178" applyNumberFormat="1" applyFont="1" applyFill="1" applyBorder="1" applyAlignment="1">
      <alignment horizontal="left" vertical="center"/>
    </xf>
    <xf numFmtId="224" fontId="204" fillId="383" borderId="12" xfId="2178" applyNumberFormat="1" applyFont="1" applyFill="1" applyBorder="1" applyAlignment="1">
      <alignment horizontal="left" vertical="center"/>
    </xf>
    <xf numFmtId="225" fontId="204" fillId="383" borderId="12" xfId="2178" applyNumberFormat="1" applyFont="1" applyFill="1" applyBorder="1" applyAlignment="1">
      <alignment horizontal="left" vertical="center"/>
    </xf>
    <xf numFmtId="215" fontId="34" fillId="152" borderId="127" xfId="23" applyNumberFormat="1" applyFont="1" applyFill="1" applyBorder="1" applyAlignment="1">
      <alignment horizontal="left" vertical="center" wrapText="1"/>
    </xf>
    <xf numFmtId="49" fontId="20" fillId="149" borderId="29" xfId="5" applyNumberFormat="1" applyFont="1" applyFill="1" applyBorder="1" applyAlignment="1">
      <alignment vertical="center" wrapText="1"/>
    </xf>
    <xf numFmtId="49" fontId="21" fillId="149" borderId="30" xfId="5" applyNumberFormat="1" applyFont="1" applyFill="1" applyBorder="1" applyAlignment="1">
      <alignment vertical="center" wrapText="1"/>
    </xf>
    <xf numFmtId="49" fontId="21" fillId="149" borderId="31" xfId="5" applyNumberFormat="1" applyFont="1" applyFill="1" applyBorder="1" applyAlignment="1">
      <alignment vertical="center" wrapText="1"/>
    </xf>
    <xf numFmtId="49" fontId="10" fillId="149" borderId="34" xfId="5" applyNumberFormat="1" applyFill="1" applyBorder="1" applyAlignment="1">
      <alignment horizontal="left" vertical="top" wrapText="1"/>
    </xf>
    <xf numFmtId="49" fontId="10" fillId="149" borderId="40" xfId="5" applyNumberFormat="1" applyFill="1" applyBorder="1" applyAlignment="1">
      <alignment horizontal="left" vertical="top" wrapText="1"/>
    </xf>
    <xf numFmtId="49" fontId="10" fillId="149" borderId="52" xfId="5" applyNumberFormat="1" applyFill="1" applyBorder="1" applyAlignment="1">
      <alignment horizontal="left" vertical="top" wrapText="1"/>
    </xf>
    <xf numFmtId="9" fontId="22" fillId="0" borderId="0" xfId="9" applyFont="1" applyBorder="1" applyAlignment="1">
      <alignment horizontal="center" vertical="center"/>
    </xf>
    <xf numFmtId="9" fontId="22" fillId="0" borderId="66" xfId="9" applyFont="1" applyBorder="1" applyAlignment="1">
      <alignment horizontal="center" vertical="center"/>
    </xf>
    <xf numFmtId="2" fontId="22" fillId="0" borderId="61" xfId="0" applyNumberFormat="1" applyFont="1" applyBorder="1" applyAlignment="1">
      <alignment horizontal="center" vertical="center"/>
    </xf>
    <xf numFmtId="2" fontId="22" fillId="0" borderId="65" xfId="0" applyNumberFormat="1" applyFont="1" applyBorder="1" applyAlignment="1">
      <alignment horizontal="center" vertical="center"/>
    </xf>
    <xf numFmtId="2" fontId="22" fillId="0" borderId="0" xfId="0" applyNumberFormat="1" applyFont="1" applyBorder="1" applyAlignment="1">
      <alignment horizontal="center" vertical="center"/>
    </xf>
    <xf numFmtId="2" fontId="22" fillId="0" borderId="66" xfId="0" applyNumberFormat="1" applyFont="1" applyBorder="1" applyAlignment="1">
      <alignment horizontal="center" vertical="center"/>
    </xf>
    <xf numFmtId="2" fontId="22" fillId="0" borderId="62" xfId="0" applyNumberFormat="1" applyFont="1" applyBorder="1" applyAlignment="1">
      <alignment horizontal="center" vertical="center"/>
    </xf>
    <xf numFmtId="2" fontId="22" fillId="0" borderId="67" xfId="0" applyNumberFormat="1" applyFont="1" applyBorder="1" applyAlignment="1">
      <alignment horizontal="center" vertical="center"/>
    </xf>
    <xf numFmtId="9" fontId="22" fillId="0" borderId="61" xfId="9" applyFont="1" applyBorder="1" applyAlignment="1">
      <alignment horizontal="center" vertical="center"/>
    </xf>
    <xf numFmtId="9" fontId="22" fillId="0" borderId="65" xfId="9" applyFont="1" applyBorder="1" applyAlignment="1">
      <alignment horizontal="center" vertical="center"/>
    </xf>
    <xf numFmtId="9" fontId="22" fillId="0" borderId="62" xfId="9" applyFont="1" applyBorder="1" applyAlignment="1">
      <alignment horizontal="center" vertical="center"/>
    </xf>
    <xf numFmtId="9" fontId="22" fillId="0" borderId="67" xfId="9" applyFont="1" applyBorder="1" applyAlignment="1">
      <alignment horizontal="center" vertical="center"/>
    </xf>
    <xf numFmtId="9" fontId="22" fillId="0" borderId="61" xfId="9" applyNumberFormat="1" applyFont="1" applyBorder="1" applyAlignment="1">
      <alignment horizontal="center" vertical="center"/>
    </xf>
    <xf numFmtId="9" fontId="22" fillId="0" borderId="65" xfId="9" applyNumberFormat="1" applyFont="1" applyBorder="1" applyAlignment="1">
      <alignment horizontal="center" vertical="center"/>
    </xf>
    <xf numFmtId="211" fontId="22" fillId="0" borderId="0" xfId="9" applyNumberFormat="1" applyFont="1" applyBorder="1" applyAlignment="1">
      <alignment horizontal="center" vertical="center"/>
    </xf>
    <xf numFmtId="211" fontId="22" fillId="0" borderId="66" xfId="9" applyNumberFormat="1" applyFont="1" applyBorder="1" applyAlignment="1">
      <alignment horizontal="center" vertical="center"/>
    </xf>
    <xf numFmtId="211" fontId="22" fillId="0" borderId="62" xfId="9" applyNumberFormat="1" applyFont="1" applyBorder="1" applyAlignment="1">
      <alignment horizontal="center" vertical="center"/>
    </xf>
    <xf numFmtId="211" fontId="22" fillId="0" borderId="67" xfId="9" applyNumberFormat="1" applyFont="1" applyBorder="1" applyAlignment="1">
      <alignment horizontal="center" vertical="center"/>
    </xf>
    <xf numFmtId="211" fontId="22" fillId="0" borderId="61" xfId="9" applyNumberFormat="1" applyFont="1" applyBorder="1" applyAlignment="1">
      <alignment horizontal="center" vertical="center"/>
    </xf>
    <xf numFmtId="211" fontId="22" fillId="0" borderId="65" xfId="9" applyNumberFormat="1" applyFont="1" applyBorder="1" applyAlignment="1">
      <alignment horizontal="center" vertical="center"/>
    </xf>
    <xf numFmtId="0" fontId="27" fillId="0" borderId="0" xfId="0" applyFont="1" applyAlignment="1">
      <alignment vertical="center"/>
    </xf>
  </cellXfs>
  <cellStyles count="3170">
    <cellStyle name="20% - Accent1" xfId="29"/>
    <cellStyle name="20% - Accent2" xfId="30"/>
    <cellStyle name="20% - Accent3" xfId="31"/>
    <cellStyle name="20% - Accent4" xfId="32"/>
    <cellStyle name="20% - Accent5" xfId="33"/>
    <cellStyle name="20% - Accent6" xfId="34"/>
    <cellStyle name="20% - アクセント 1" xfId="35"/>
    <cellStyle name="20% - アクセント 1 2" xfId="36"/>
    <cellStyle name="20% - アクセント 1 2 2" xfId="37"/>
    <cellStyle name="20% - アクセント 1 2 3" xfId="38"/>
    <cellStyle name="20% - アクセント 1 3" xfId="39"/>
    <cellStyle name="20% - アクセント 1 4" xfId="40"/>
    <cellStyle name="20% - アクセント 2" xfId="41"/>
    <cellStyle name="20% - アクセント 2 2" xfId="42"/>
    <cellStyle name="20% - アクセント 2 2 2" xfId="43"/>
    <cellStyle name="20% - アクセント 2 2 3" xfId="44"/>
    <cellStyle name="20% - アクセント 2 3" xfId="45"/>
    <cellStyle name="20% - アクセント 2 4" xfId="46"/>
    <cellStyle name="20% - アクセント 3" xfId="47"/>
    <cellStyle name="20% - アクセント 3 2" xfId="48"/>
    <cellStyle name="20% - アクセント 3 2 2" xfId="49"/>
    <cellStyle name="20% - アクセント 3 2 3" xfId="50"/>
    <cellStyle name="20% - アクセント 3 3" xfId="51"/>
    <cellStyle name="20% - アクセント 3 4" xfId="52"/>
    <cellStyle name="20% - アクセント 4" xfId="53"/>
    <cellStyle name="20% - アクセント 4 2" xfId="54"/>
    <cellStyle name="20% - アクセント 4 2 2" xfId="55"/>
    <cellStyle name="20% - アクセント 4 2 3" xfId="56"/>
    <cellStyle name="20% - アクセント 4 3" xfId="57"/>
    <cellStyle name="20% - アクセント 4 4" xfId="58"/>
    <cellStyle name="20% - アクセント 5" xfId="59"/>
    <cellStyle name="20% - アクセント 5 2" xfId="60"/>
    <cellStyle name="20% - アクセント 5 2 2" xfId="61"/>
    <cellStyle name="20% - アクセント 5 2 3" xfId="62"/>
    <cellStyle name="20% - アクセント 5 3" xfId="63"/>
    <cellStyle name="20% - アクセント 5 4" xfId="64"/>
    <cellStyle name="20% - アクセント 6" xfId="65"/>
    <cellStyle name="20% - アクセント 6 2" xfId="66"/>
    <cellStyle name="20% - アクセント 6 2 2" xfId="67"/>
    <cellStyle name="20% - アクセント 6 2 3" xfId="68"/>
    <cellStyle name="20% - アクセント 6 3" xfId="69"/>
    <cellStyle name="20% - アクセント 6 4" xfId="70"/>
    <cellStyle name="20% - 강조색1" xfId="71"/>
    <cellStyle name="20% - 강조색2" xfId="72"/>
    <cellStyle name="20% - 강조색3" xfId="73"/>
    <cellStyle name="20% - 강조색4" xfId="74"/>
    <cellStyle name="20% - 강조색5" xfId="75"/>
    <cellStyle name="20% - 강조색6" xfId="76"/>
    <cellStyle name="20% - 輔色1" xfId="119"/>
    <cellStyle name="20% - 輔色1 2" xfId="120"/>
    <cellStyle name="20% - 輔色2" xfId="121"/>
    <cellStyle name="20% - 輔色2 2" xfId="122"/>
    <cellStyle name="20% - 輔色3" xfId="123"/>
    <cellStyle name="20% - 輔色3 2" xfId="124"/>
    <cellStyle name="20% - 輔色4" xfId="125"/>
    <cellStyle name="20% - 輔色4 2" xfId="126"/>
    <cellStyle name="20% - 輔色5" xfId="127"/>
    <cellStyle name="20% - 輔色5 2" xfId="128"/>
    <cellStyle name="20% - 輔色6" xfId="129"/>
    <cellStyle name="20% - 輔色6 2" xfId="130"/>
    <cellStyle name="20% - 强调文字颜色 1 2" xfId="77"/>
    <cellStyle name="20% - 强调文字颜色 1 2 2" xfId="78"/>
    <cellStyle name="20% - 强调文字颜色 1 2 2 2" xfId="79"/>
    <cellStyle name="20% - 强调文字颜色 1 2 3" xfId="80"/>
    <cellStyle name="20% - 强调文字颜色 1 2 4" xfId="81"/>
    <cellStyle name="20% - 强调文字颜色 1 3" xfId="82"/>
    <cellStyle name="20% - 强调文字颜色 1 3 2" xfId="83"/>
    <cellStyle name="20% - 强调文字颜色 2 2" xfId="84"/>
    <cellStyle name="20% - 强调文字颜色 2 2 2" xfId="85"/>
    <cellStyle name="20% - 强调文字颜色 2 2 2 2" xfId="86"/>
    <cellStyle name="20% - 强调文字颜色 2 2 3" xfId="87"/>
    <cellStyle name="20% - 强调文字颜色 2 2 4" xfId="88"/>
    <cellStyle name="20% - 强调文字颜色 2 3" xfId="89"/>
    <cellStyle name="20% - 强调文字颜色 2 3 2" xfId="90"/>
    <cellStyle name="20% - 强调文字颜色 3 2" xfId="91"/>
    <cellStyle name="20% - 强调文字颜色 3 2 2" xfId="92"/>
    <cellStyle name="20% - 强调文字颜色 3 2 2 2" xfId="93"/>
    <cellStyle name="20% - 强调文字颜色 3 2 3" xfId="94"/>
    <cellStyle name="20% - 强调文字颜色 3 2 4" xfId="95"/>
    <cellStyle name="20% - 强调文字颜色 3 3" xfId="96"/>
    <cellStyle name="20% - 强调文字颜色 3 3 2" xfId="97"/>
    <cellStyle name="20% - 强调文字颜色 4 2" xfId="98"/>
    <cellStyle name="20% - 强调文字颜色 4 2 2" xfId="99"/>
    <cellStyle name="20% - 强调文字颜色 4 2 2 2" xfId="100"/>
    <cellStyle name="20% - 强调文字颜色 4 2 3" xfId="101"/>
    <cellStyle name="20% - 强调文字颜色 4 2 4" xfId="102"/>
    <cellStyle name="20% - 强调文字颜色 4 3" xfId="103"/>
    <cellStyle name="20% - 强调文字颜色 4 3 2" xfId="104"/>
    <cellStyle name="20% - 强调文字颜色 5 2" xfId="105"/>
    <cellStyle name="20% - 强调文字颜色 5 2 2" xfId="106"/>
    <cellStyle name="20% - 强调文字颜色 5 2 2 2" xfId="107"/>
    <cellStyle name="20% - 强调文字颜色 5 2 3" xfId="108"/>
    <cellStyle name="20% - 强调文字颜色 5 2 4" xfId="109"/>
    <cellStyle name="20% - 强调文字颜色 5 3" xfId="110"/>
    <cellStyle name="20% - 强调文字颜色 5 3 2" xfId="111"/>
    <cellStyle name="20% - 强调文字颜色 6 2" xfId="112"/>
    <cellStyle name="20% - 强调文字颜色 6 2 2" xfId="113"/>
    <cellStyle name="20% - 强调文字颜色 6 2 2 2" xfId="114"/>
    <cellStyle name="20% - 强调文字颜色 6 2 3" xfId="115"/>
    <cellStyle name="20% - 强调文字颜色 6 2 4" xfId="116"/>
    <cellStyle name="20% - 强调文字颜色 6 3" xfId="117"/>
    <cellStyle name="20% - 强调文字颜色 6 3 2" xfId="118"/>
    <cellStyle name="40% - Accent1" xfId="131"/>
    <cellStyle name="40% - Accent2" xfId="132"/>
    <cellStyle name="40% - Accent3" xfId="133"/>
    <cellStyle name="40% - Accent4" xfId="134"/>
    <cellStyle name="40% - Accent5" xfId="135"/>
    <cellStyle name="40% - Accent6" xfId="136"/>
    <cellStyle name="40% - アクセント 1" xfId="137"/>
    <cellStyle name="40% - アクセント 1 2" xfId="138"/>
    <cellStyle name="40% - アクセント 1 2 2" xfId="139"/>
    <cellStyle name="40% - アクセント 1 2 3" xfId="140"/>
    <cellStyle name="40% - アクセント 1 3" xfId="141"/>
    <cellStyle name="40% - アクセント 1 4" xfId="142"/>
    <cellStyle name="40% - アクセント 2" xfId="143"/>
    <cellStyle name="40% - アクセント 2 2" xfId="144"/>
    <cellStyle name="40% - アクセント 2 2 2" xfId="145"/>
    <cellStyle name="40% - アクセント 2 2 3" xfId="146"/>
    <cellStyle name="40% - アクセント 2 3" xfId="147"/>
    <cellStyle name="40% - アクセント 2 4" xfId="148"/>
    <cellStyle name="40% - アクセント 3" xfId="149"/>
    <cellStyle name="40% - アクセント 3 2" xfId="150"/>
    <cellStyle name="40% - アクセント 3 2 2" xfId="151"/>
    <cellStyle name="40% - アクセント 3 2 3" xfId="152"/>
    <cellStyle name="40% - アクセント 3 3" xfId="153"/>
    <cellStyle name="40% - アクセント 3 4" xfId="154"/>
    <cellStyle name="40% - アクセント 4" xfId="155"/>
    <cellStyle name="40% - アクセント 4 2" xfId="156"/>
    <cellStyle name="40% - アクセント 4 2 2" xfId="157"/>
    <cellStyle name="40% - アクセント 4 2 3" xfId="158"/>
    <cellStyle name="40% - アクセント 4 3" xfId="159"/>
    <cellStyle name="40% - アクセント 4 4" xfId="160"/>
    <cellStyle name="40% - アクセント 5" xfId="161"/>
    <cellStyle name="40% - アクセント 5 2" xfId="162"/>
    <cellStyle name="40% - アクセント 5 2 2" xfId="163"/>
    <cellStyle name="40% - アクセント 5 2 3" xfId="164"/>
    <cellStyle name="40% - アクセント 5 3" xfId="165"/>
    <cellStyle name="40% - アクセント 5 4" xfId="166"/>
    <cellStyle name="40% - アクセント 6" xfId="167"/>
    <cellStyle name="40% - アクセント 6 2" xfId="168"/>
    <cellStyle name="40% - アクセント 6 2 2" xfId="169"/>
    <cellStyle name="40% - アクセント 6 2 3" xfId="170"/>
    <cellStyle name="40% - アクセント 6 3" xfId="171"/>
    <cellStyle name="40% - アクセント 6 4" xfId="172"/>
    <cellStyle name="40% - 강조색1" xfId="173"/>
    <cellStyle name="40% - 강조색2" xfId="174"/>
    <cellStyle name="40% - 강조색3" xfId="175"/>
    <cellStyle name="40% - 강조색4" xfId="176"/>
    <cellStyle name="40% - 강조색5" xfId="177"/>
    <cellStyle name="40% - 강조색6" xfId="178"/>
    <cellStyle name="40% - 輔色1" xfId="221"/>
    <cellStyle name="40% - 輔色1 2" xfId="222"/>
    <cellStyle name="40% - 輔色2" xfId="223"/>
    <cellStyle name="40% - 輔色2 2" xfId="224"/>
    <cellStyle name="40% - 輔色3" xfId="225"/>
    <cellStyle name="40% - 輔色3 2" xfId="226"/>
    <cellStyle name="40% - 輔色4" xfId="227"/>
    <cellStyle name="40% - 輔色4 2" xfId="228"/>
    <cellStyle name="40% - 輔色5" xfId="229"/>
    <cellStyle name="40% - 輔色5 2" xfId="230"/>
    <cellStyle name="40% - 輔色6" xfId="231"/>
    <cellStyle name="40% - 輔色6 2" xfId="232"/>
    <cellStyle name="40% - 强调文字颜色 1 2" xfId="179"/>
    <cellStyle name="40% - 强调文字颜色 1 2 2" xfId="180"/>
    <cellStyle name="40% - 强调文字颜色 1 2 2 2" xfId="181"/>
    <cellStyle name="40% - 强调文字颜色 1 2 3" xfId="182"/>
    <cellStyle name="40% - 强调文字颜色 1 2 4" xfId="183"/>
    <cellStyle name="40% - 强调文字颜色 1 3" xfId="184"/>
    <cellStyle name="40% - 强调文字颜色 1 3 2" xfId="185"/>
    <cellStyle name="40% - 强调文字颜色 2 2" xfId="186"/>
    <cellStyle name="40% - 强调文字颜色 2 2 2" xfId="187"/>
    <cellStyle name="40% - 强调文字颜色 2 2 2 2" xfId="188"/>
    <cellStyle name="40% - 强调文字颜色 2 2 3" xfId="189"/>
    <cellStyle name="40% - 强调文字颜色 2 2 4" xfId="190"/>
    <cellStyle name="40% - 强调文字颜色 2 3" xfId="191"/>
    <cellStyle name="40% - 强调文字颜色 2 3 2" xfId="192"/>
    <cellStyle name="40% - 强调文字颜色 3 2" xfId="193"/>
    <cellStyle name="40% - 强调文字颜色 3 2 2" xfId="194"/>
    <cellStyle name="40% - 强调文字颜色 3 2 2 2" xfId="195"/>
    <cellStyle name="40% - 强调文字颜色 3 2 3" xfId="196"/>
    <cellStyle name="40% - 强调文字颜色 3 2 4" xfId="197"/>
    <cellStyle name="40% - 强调文字颜色 3 3" xfId="198"/>
    <cellStyle name="40% - 强调文字颜色 3 3 2" xfId="199"/>
    <cellStyle name="40% - 强调文字颜色 4 2" xfId="200"/>
    <cellStyle name="40% - 强调文字颜色 4 2 2" xfId="201"/>
    <cellStyle name="40% - 强调文字颜色 4 2 2 2" xfId="202"/>
    <cellStyle name="40% - 强调文字颜色 4 2 3" xfId="203"/>
    <cellStyle name="40% - 强调文字颜色 4 2 4" xfId="204"/>
    <cellStyle name="40% - 强调文字颜色 4 3" xfId="205"/>
    <cellStyle name="40% - 强调文字颜色 4 3 2" xfId="206"/>
    <cellStyle name="40% - 强调文字颜色 5 2" xfId="207"/>
    <cellStyle name="40% - 强调文字颜色 5 2 2" xfId="208"/>
    <cellStyle name="40% - 强调文字颜色 5 2 2 2" xfId="209"/>
    <cellStyle name="40% - 强调文字颜色 5 2 3" xfId="210"/>
    <cellStyle name="40% - 强调文字颜色 5 2 4" xfId="211"/>
    <cellStyle name="40% - 强调文字颜色 5 3" xfId="212"/>
    <cellStyle name="40% - 强调文字颜色 5 3 2" xfId="213"/>
    <cellStyle name="40% - 强调文字颜色 6 2" xfId="214"/>
    <cellStyle name="40% - 强调文字颜色 6 2 2" xfId="215"/>
    <cellStyle name="40% - 强调文字颜色 6 2 2 2" xfId="216"/>
    <cellStyle name="40% - 强调文字颜色 6 2 3" xfId="217"/>
    <cellStyle name="40% - 强调文字颜色 6 2 4" xfId="218"/>
    <cellStyle name="40% - 强调文字颜色 6 3" xfId="219"/>
    <cellStyle name="40% - 强调文字颜色 6 3 2" xfId="220"/>
    <cellStyle name="60% - Accent1" xfId="233"/>
    <cellStyle name="60% - Accent2" xfId="234"/>
    <cellStyle name="60% - Accent3" xfId="235"/>
    <cellStyle name="60% - Accent4" xfId="236"/>
    <cellStyle name="60% - Accent5" xfId="237"/>
    <cellStyle name="60% - Accent6" xfId="238"/>
    <cellStyle name="60% - アクセント 1" xfId="239"/>
    <cellStyle name="60% - アクセント 1 2" xfId="240"/>
    <cellStyle name="60% - アクセント 1 2 2" xfId="241"/>
    <cellStyle name="60% - アクセント 1 2 3" xfId="242"/>
    <cellStyle name="60% - アクセント 1 3" xfId="243"/>
    <cellStyle name="60% - アクセント 1 4" xfId="244"/>
    <cellStyle name="60% - アクセント 2" xfId="245"/>
    <cellStyle name="60% - アクセント 2 2" xfId="246"/>
    <cellStyle name="60% - アクセント 2 2 2" xfId="247"/>
    <cellStyle name="60% - アクセント 2 2 3" xfId="248"/>
    <cellStyle name="60% - アクセント 2 3" xfId="249"/>
    <cellStyle name="60% - アクセント 2 4" xfId="250"/>
    <cellStyle name="60% - アクセント 3" xfId="251"/>
    <cellStyle name="60% - アクセント 3 2" xfId="252"/>
    <cellStyle name="60% - アクセント 3 2 2" xfId="253"/>
    <cellStyle name="60% - アクセント 3 2 3" xfId="254"/>
    <cellStyle name="60% - アクセント 3 3" xfId="255"/>
    <cellStyle name="60% - アクセント 3 4" xfId="256"/>
    <cellStyle name="60% - アクセント 4" xfId="257"/>
    <cellStyle name="60% - アクセント 4 2" xfId="258"/>
    <cellStyle name="60% - アクセント 4 2 2" xfId="259"/>
    <cellStyle name="60% - アクセント 4 2 3" xfId="260"/>
    <cellStyle name="60% - アクセント 4 3" xfId="261"/>
    <cellStyle name="60% - アクセント 4 4" xfId="262"/>
    <cellStyle name="60% - アクセント 5" xfId="263"/>
    <cellStyle name="60% - アクセント 5 2" xfId="264"/>
    <cellStyle name="60% - アクセント 5 2 2" xfId="265"/>
    <cellStyle name="60% - アクセント 5 2 3" xfId="266"/>
    <cellStyle name="60% - アクセント 5 3" xfId="267"/>
    <cellStyle name="60% - アクセント 5 4" xfId="268"/>
    <cellStyle name="60% - アクセント 6" xfId="269"/>
    <cellStyle name="60% - アクセント 6 2" xfId="270"/>
    <cellStyle name="60% - アクセント 6 2 2" xfId="271"/>
    <cellStyle name="60% - アクセント 6 2 3" xfId="272"/>
    <cellStyle name="60% - アクセント 6 3" xfId="273"/>
    <cellStyle name="60% - アクセント 6 4" xfId="274"/>
    <cellStyle name="60% - 강조색1" xfId="275"/>
    <cellStyle name="60% - 강조색2" xfId="276"/>
    <cellStyle name="60% - 강조색3" xfId="277"/>
    <cellStyle name="60% - 강조색4" xfId="278"/>
    <cellStyle name="60% - 강조색5" xfId="279"/>
    <cellStyle name="60% - 강조색6" xfId="280"/>
    <cellStyle name="60% - 輔色1" xfId="323"/>
    <cellStyle name="60% - 輔色1 2" xfId="324"/>
    <cellStyle name="60% - 輔色2" xfId="325"/>
    <cellStyle name="60% - 輔色2 2" xfId="326"/>
    <cellStyle name="60% - 輔色3" xfId="327"/>
    <cellStyle name="60% - 輔色3 2" xfId="328"/>
    <cellStyle name="60% - 輔色4" xfId="329"/>
    <cellStyle name="60% - 輔色4 2" xfId="330"/>
    <cellStyle name="60% - 輔色5" xfId="331"/>
    <cellStyle name="60% - 輔色5 2" xfId="332"/>
    <cellStyle name="60% - 輔色6" xfId="333"/>
    <cellStyle name="60% - 輔色6 2" xfId="334"/>
    <cellStyle name="60% - 强调文字颜色 1 2" xfId="281"/>
    <cellStyle name="60% - 强调文字颜色 1 2 2" xfId="282"/>
    <cellStyle name="60% - 强调文字颜色 1 2 2 2" xfId="283"/>
    <cellStyle name="60% - 强调文字颜色 1 2 3" xfId="284"/>
    <cellStyle name="60% - 强调文字颜色 1 2 4" xfId="285"/>
    <cellStyle name="60% - 强调文字颜色 1 3" xfId="286"/>
    <cellStyle name="60% - 强调文字颜色 1 3 2" xfId="287"/>
    <cellStyle name="60% - 强调文字颜色 2 2" xfId="288"/>
    <cellStyle name="60% - 强调文字颜色 2 2 2" xfId="289"/>
    <cellStyle name="60% - 强调文字颜色 2 2 2 2" xfId="290"/>
    <cellStyle name="60% - 强调文字颜色 2 2 3" xfId="291"/>
    <cellStyle name="60% - 强调文字颜色 2 2 4" xfId="292"/>
    <cellStyle name="60% - 强调文字颜色 2 3" xfId="293"/>
    <cellStyle name="60% - 强调文字颜色 2 3 2" xfId="294"/>
    <cellStyle name="60% - 强调文字颜色 3 2" xfId="295"/>
    <cellStyle name="60% - 强调文字颜色 3 2 2" xfId="296"/>
    <cellStyle name="60% - 强调文字颜色 3 2 2 2" xfId="297"/>
    <cellStyle name="60% - 强调文字颜色 3 2 3" xfId="298"/>
    <cellStyle name="60% - 强调文字颜色 3 2 4" xfId="299"/>
    <cellStyle name="60% - 强调文字颜色 3 3" xfId="300"/>
    <cellStyle name="60% - 强调文字颜色 3 3 2" xfId="301"/>
    <cellStyle name="60% - 强调文字颜色 4 2" xfId="302"/>
    <cellStyle name="60% - 强调文字颜色 4 2 2" xfId="303"/>
    <cellStyle name="60% - 强调文字颜色 4 2 2 2" xfId="304"/>
    <cellStyle name="60% - 强调文字颜色 4 2 3" xfId="305"/>
    <cellStyle name="60% - 强调文字颜色 4 2 4" xfId="306"/>
    <cellStyle name="60% - 强调文字颜色 4 3" xfId="307"/>
    <cellStyle name="60% - 强调文字颜色 4 3 2" xfId="308"/>
    <cellStyle name="60% - 强调文字颜色 5 2" xfId="309"/>
    <cellStyle name="60% - 强调文字颜色 5 2 2" xfId="310"/>
    <cellStyle name="60% - 强调文字颜色 5 2 2 2" xfId="311"/>
    <cellStyle name="60% - 强调文字颜色 5 2 3" xfId="312"/>
    <cellStyle name="60% - 强调文字颜色 5 2 4" xfId="313"/>
    <cellStyle name="60% - 强调文字颜色 5 3" xfId="314"/>
    <cellStyle name="60% - 强调文字颜色 5 3 2" xfId="315"/>
    <cellStyle name="60% - 强调文字颜色 6 2" xfId="316"/>
    <cellStyle name="60% - 强调文字颜色 6 2 2" xfId="317"/>
    <cellStyle name="60% - 强调文字颜色 6 2 2 2" xfId="318"/>
    <cellStyle name="60% - 强调文字颜色 6 2 3" xfId="319"/>
    <cellStyle name="60% - 强调文字颜色 6 2 4" xfId="320"/>
    <cellStyle name="60% - 强调文字颜色 6 3" xfId="321"/>
    <cellStyle name="60% - 强调文字颜色 6 3 2" xfId="322"/>
    <cellStyle name="Accent1" xfId="335"/>
    <cellStyle name="Accent2" xfId="336"/>
    <cellStyle name="Accent3" xfId="337"/>
    <cellStyle name="Accent4" xfId="338"/>
    <cellStyle name="Accent5" xfId="339"/>
    <cellStyle name="Accent6" xfId="340"/>
    <cellStyle name="Bad" xfId="341"/>
    <cellStyle name="Calculation" xfId="342"/>
    <cellStyle name="Check Cell" xfId="343"/>
    <cellStyle name="Comma [0]_laroux" xfId="344"/>
    <cellStyle name="Comma_laroux" xfId="345"/>
    <cellStyle name="Currency [0]_laroux" xfId="346"/>
    <cellStyle name="Currency_laroux" xfId="347"/>
    <cellStyle name="Explanatory Text" xfId="348"/>
    <cellStyle name="Good" xfId="349"/>
    <cellStyle name="Heading 1" xfId="350"/>
    <cellStyle name="Heading 2" xfId="351"/>
    <cellStyle name="Heading 3" xfId="352"/>
    <cellStyle name="Heading 4" xfId="353"/>
    <cellStyle name="Input" xfId="354"/>
    <cellStyle name="Linked Cell" xfId="355"/>
    <cellStyle name="Neutral" xfId="356"/>
    <cellStyle name="Normal" xfId="357"/>
    <cellStyle name="Normal 2" xfId="358"/>
    <cellStyle name="Normal 2 2" xfId="359"/>
    <cellStyle name="Normal 2 3" xfId="360"/>
    <cellStyle name="Normal_Certs Q2" xfId="361"/>
    <cellStyle name="Output" xfId="362"/>
    <cellStyle name="sv" xfId="22"/>
    <cellStyle name="Title" xfId="363"/>
    <cellStyle name="Total" xfId="364"/>
    <cellStyle name="Warning Text" xfId="365"/>
    <cellStyle name="アクセント 1" xfId="366"/>
    <cellStyle name="アクセント 1 2" xfId="367"/>
    <cellStyle name="アクセント 1 2 2" xfId="368"/>
    <cellStyle name="アクセント 1 2 3" xfId="369"/>
    <cellStyle name="アクセント 1 3" xfId="370"/>
    <cellStyle name="アクセント 1 4" xfId="371"/>
    <cellStyle name="アクセント 2" xfId="372"/>
    <cellStyle name="アクセント 2 2" xfId="373"/>
    <cellStyle name="アクセント 2 2 2" xfId="374"/>
    <cellStyle name="アクセント 2 2 3" xfId="375"/>
    <cellStyle name="アクセント 2 3" xfId="376"/>
    <cellStyle name="アクセント 2 4" xfId="377"/>
    <cellStyle name="アクセント 3" xfId="378"/>
    <cellStyle name="アクセント 3 2" xfId="379"/>
    <cellStyle name="アクセント 3 2 2" xfId="380"/>
    <cellStyle name="アクセント 3 2 3" xfId="381"/>
    <cellStyle name="アクセント 3 3" xfId="382"/>
    <cellStyle name="アクセント 3 4" xfId="383"/>
    <cellStyle name="アクセント 4" xfId="384"/>
    <cellStyle name="アクセント 4 2" xfId="385"/>
    <cellStyle name="アクセント 4 2 2" xfId="386"/>
    <cellStyle name="アクセント 4 2 3" xfId="387"/>
    <cellStyle name="アクセント 4 3" xfId="388"/>
    <cellStyle name="アクセント 4 4" xfId="389"/>
    <cellStyle name="アクセント 5" xfId="390"/>
    <cellStyle name="アクセント 5 2" xfId="391"/>
    <cellStyle name="アクセント 5 2 2" xfId="392"/>
    <cellStyle name="アクセント 5 2 3" xfId="393"/>
    <cellStyle name="アクセント 5 3" xfId="394"/>
    <cellStyle name="アクセント 5 4" xfId="395"/>
    <cellStyle name="アクセント 6" xfId="396"/>
    <cellStyle name="アクセント 6 2" xfId="397"/>
    <cellStyle name="アクセント 6 2 2" xfId="398"/>
    <cellStyle name="アクセント 6 2 3" xfId="399"/>
    <cellStyle name="アクセント 6 3" xfId="400"/>
    <cellStyle name="アクセント 6 4" xfId="401"/>
    <cellStyle name="タイトル" xfId="402"/>
    <cellStyle name="タイトル 2" xfId="403"/>
    <cellStyle name="タイトル 2 2" xfId="404"/>
    <cellStyle name="タイトル 2 3" xfId="405"/>
    <cellStyle name="タイトル 3" xfId="406"/>
    <cellStyle name="タイトル 4" xfId="407"/>
    <cellStyle name="チェック セル" xfId="408"/>
    <cellStyle name="チェック セル 2" xfId="409"/>
    <cellStyle name="チェック セル 2 2" xfId="410"/>
    <cellStyle name="チェック セル 2 3" xfId="411"/>
    <cellStyle name="チェック セル 3" xfId="412"/>
    <cellStyle name="チェック セル 4" xfId="413"/>
    <cellStyle name="どちらでもない" xfId="414"/>
    <cellStyle name="どちらでもない 2" xfId="415"/>
    <cellStyle name="どちらでもない 2 2" xfId="416"/>
    <cellStyle name="どちらでもない 2 3" xfId="417"/>
    <cellStyle name="どちらでもない 3" xfId="418"/>
    <cellStyle name="どちらでもない 4" xfId="419"/>
    <cellStyle name="パーセント 2" xfId="420"/>
    <cellStyle name="パーセント 2 2" xfId="421"/>
    <cellStyle name="パーセント 2 2 2" xfId="422"/>
    <cellStyle name="パーセント 2 2 3" xfId="423"/>
    <cellStyle name="パーセント 2 3" xfId="424"/>
    <cellStyle name="パーセント 2 4" xfId="425"/>
    <cellStyle name="パーセント 2 5" xfId="426"/>
    <cellStyle name="ハイパーリンク 2" xfId="427"/>
    <cellStyle name="ハイパーリンク 2 2" xfId="428"/>
    <cellStyle name="ハイパーリンク 2 2 2" xfId="429"/>
    <cellStyle name="ハイパーリンク 2 3" xfId="430"/>
    <cellStyle name="ハイパーリンク 3" xfId="431"/>
    <cellStyle name="ハイパーリンク 3 2" xfId="432"/>
    <cellStyle name="ハイパーリンク 3 2 2" xfId="433"/>
    <cellStyle name="ハイパーリンク 3 3" xfId="434"/>
    <cellStyle name="ハイパーリンク 4" xfId="435"/>
    <cellStyle name="ハイパーリンク 4 2" xfId="436"/>
    <cellStyle name="ハイパーリンク 4 3" xfId="437"/>
    <cellStyle name="メモ" xfId="438"/>
    <cellStyle name="メモ 2" xfId="439"/>
    <cellStyle name="メモ 2 2" xfId="440"/>
    <cellStyle name="メモ 2 2 2" xfId="441"/>
    <cellStyle name="メモ 2 3" xfId="442"/>
    <cellStyle name="メモ 3" xfId="443"/>
    <cellStyle name="メモ 3 2" xfId="444"/>
    <cellStyle name="メモ 3 3" xfId="445"/>
    <cellStyle name="メモ 4" xfId="446"/>
    <cellStyle name="メモ 4 2" xfId="447"/>
    <cellStyle name="メモ 5" xfId="448"/>
    <cellStyle name="リンク セル" xfId="449"/>
    <cellStyle name="リンク セル 2" xfId="450"/>
    <cellStyle name="リンク セル 2 2" xfId="451"/>
    <cellStyle name="リンク セル 2 2 2" xfId="452"/>
    <cellStyle name="リンク セル 2 3" xfId="453"/>
    <cellStyle name="リンク セル 2 3 2" xfId="454"/>
    <cellStyle name="リンク セル 3" xfId="455"/>
    <cellStyle name="リンク セル 3 2" xfId="456"/>
    <cellStyle name="リンク セル 3 3" xfId="457"/>
    <cellStyle name="リンク セル 4" xfId="458"/>
    <cellStyle name="リンク セル 5" xfId="459"/>
    <cellStyle name="リンク セル 6" xfId="460"/>
    <cellStyle name="강조색1" xfId="461"/>
    <cellStyle name="강조색2" xfId="462"/>
    <cellStyle name="강조색3" xfId="463"/>
    <cellStyle name="강조색4" xfId="464"/>
    <cellStyle name="강조색5" xfId="465"/>
    <cellStyle name="강조색6" xfId="466"/>
    <cellStyle name="百分比" xfId="9" builtinId="5"/>
    <cellStyle name="百分比 2" xfId="2886"/>
    <cellStyle name="百分比 2 2" xfId="2887"/>
    <cellStyle name="百分比 2 2 2" xfId="2888"/>
    <cellStyle name="百分比 2 3" xfId="2889"/>
    <cellStyle name="百分比 2 3 2" xfId="2890"/>
    <cellStyle name="百分比 2 4" xfId="2891"/>
    <cellStyle name="百分比 3" xfId="2892"/>
    <cellStyle name="百分比 3 2" xfId="2893"/>
    <cellStyle name="百分比 3 2 2" xfId="2894"/>
    <cellStyle name="百分比 3 3" xfId="2895"/>
    <cellStyle name="百分比 3 3 2" xfId="2896"/>
    <cellStyle name="百分比 4" xfId="2897"/>
    <cellStyle name="百分比 5" xfId="2898"/>
    <cellStyle name="百分比 6" xfId="2899"/>
    <cellStyle name="百分比 6 2" xfId="2900"/>
    <cellStyle name="百分比 6 3" xfId="2901"/>
    <cellStyle name="百分比 7" xfId="2902"/>
    <cellStyle name="百分比 8" xfId="2903"/>
    <cellStyle name="備註" xfId="502"/>
    <cellStyle name="備註 2" xfId="503"/>
    <cellStyle name="備註 3" xfId="504"/>
    <cellStyle name="備註 4" xfId="505"/>
    <cellStyle name="标题 1 2" xfId="2738"/>
    <cellStyle name="标题 1 2 2" xfId="2739"/>
    <cellStyle name="标题 1 2 2 2" xfId="2740"/>
    <cellStyle name="标题 1 2 3" xfId="2741"/>
    <cellStyle name="标题 1 2 4" xfId="2742"/>
    <cellStyle name="标题 1 3" xfId="2743"/>
    <cellStyle name="标题 1 3 2" xfId="2744"/>
    <cellStyle name="标题 2 2" xfId="2745"/>
    <cellStyle name="标题 2 2 2" xfId="2746"/>
    <cellStyle name="标题 2 2 2 2" xfId="2747"/>
    <cellStyle name="标题 2 2 3" xfId="2748"/>
    <cellStyle name="标题 2 2 4" xfId="2749"/>
    <cellStyle name="标题 2 3" xfId="2750"/>
    <cellStyle name="标题 2 3 2" xfId="2751"/>
    <cellStyle name="标题 3 2" xfId="2752"/>
    <cellStyle name="标题 3 2 2" xfId="2753"/>
    <cellStyle name="标题 3 2 2 2" xfId="2754"/>
    <cellStyle name="标题 3 2 3" xfId="2755"/>
    <cellStyle name="标题 3 2 4" xfId="2756"/>
    <cellStyle name="标题 3 3" xfId="2757"/>
    <cellStyle name="标题 3 3 2" xfId="2758"/>
    <cellStyle name="标题 4 2" xfId="2759"/>
    <cellStyle name="标题 4 2 2" xfId="2760"/>
    <cellStyle name="标题 4 2 2 2" xfId="2761"/>
    <cellStyle name="标题 4 2 3" xfId="2762"/>
    <cellStyle name="标题 4 2 4" xfId="2763"/>
    <cellStyle name="标题 4 3" xfId="2764"/>
    <cellStyle name="标题 4 3 2" xfId="2765"/>
    <cellStyle name="标题 5" xfId="2766"/>
    <cellStyle name="标题 5 2" xfId="2767"/>
    <cellStyle name="标题 5 3" xfId="2768"/>
    <cellStyle name="标题 6" xfId="2769"/>
    <cellStyle name="标题 6 2" xfId="2770"/>
    <cellStyle name="標題" xfId="2816"/>
    <cellStyle name="標題 1" xfId="2817"/>
    <cellStyle name="標題 1 2" xfId="2818"/>
    <cellStyle name="標題 2" xfId="2819"/>
    <cellStyle name="標題 2 2" xfId="2820"/>
    <cellStyle name="標題 3" xfId="2821"/>
    <cellStyle name="標題 3 2" xfId="2822"/>
    <cellStyle name="標題 4" xfId="2823"/>
    <cellStyle name="標題 4 2" xfId="2824"/>
    <cellStyle name="標題 5" xfId="2825"/>
    <cellStyle name="標題_Raw" xfId="2826"/>
    <cellStyle name="標準 2" xfId="2778"/>
    <cellStyle name="標準 2 2" xfId="2779"/>
    <cellStyle name="標準 2 2 2" xfId="2780"/>
    <cellStyle name="標準 2 2 2 2" xfId="2781"/>
    <cellStyle name="標準 2 2 3" xfId="2782"/>
    <cellStyle name="標準 2 2 3 2" xfId="2783"/>
    <cellStyle name="標準 2 3" xfId="2784"/>
    <cellStyle name="標準 2 3 2" xfId="2785"/>
    <cellStyle name="標準 2 3 3" xfId="2786"/>
    <cellStyle name="標準 2 4" xfId="2787"/>
    <cellStyle name="標準 2 4 2" xfId="2788"/>
    <cellStyle name="標準 2 5" xfId="2789"/>
    <cellStyle name="標準 2 5 2" xfId="2790"/>
    <cellStyle name="標準 2_作業ファイル_zhongjie" xfId="2791"/>
    <cellStyle name="標準 3" xfId="2792"/>
    <cellStyle name="標準 3 2" xfId="2793"/>
    <cellStyle name="標準 3 2 2" xfId="2794"/>
    <cellStyle name="標準 3 3" xfId="2795"/>
    <cellStyle name="標準 3 3 2" xfId="2796"/>
    <cellStyle name="標準 3 4" xfId="2797"/>
    <cellStyle name="標準 3 4 2" xfId="2798"/>
    <cellStyle name="標準 4" xfId="2799"/>
    <cellStyle name="標準 4 2" xfId="2800"/>
    <cellStyle name="標準 4 2 2" xfId="2801"/>
    <cellStyle name="標準 4 3" xfId="2802"/>
    <cellStyle name="標準 4 4" xfId="2803"/>
    <cellStyle name="標準 5" xfId="2804"/>
    <cellStyle name="標準 5 2" xfId="2805"/>
    <cellStyle name="標準 5 3" xfId="2806"/>
    <cellStyle name="標準 6" xfId="2807"/>
    <cellStyle name="標準 6 2" xfId="2808"/>
    <cellStyle name="標準 6 2 2" xfId="2809"/>
    <cellStyle name="標準 6 3" xfId="2810"/>
    <cellStyle name="標準 6 3 2" xfId="2811"/>
    <cellStyle name="標準 6 4" xfId="2812"/>
    <cellStyle name="標準 7" xfId="2813"/>
    <cellStyle name="標準 7 2" xfId="2814"/>
    <cellStyle name="標準_【日本版】調査票" xfId="2815"/>
    <cellStyle name="標準_■MRK_調査票テンプレート（090910）" xfId="3169"/>
    <cellStyle name="標準_調査票" xfId="23"/>
    <cellStyle name="경고문" xfId="467"/>
    <cellStyle name="계산" xfId="468"/>
    <cellStyle name="差 2" xfId="1329"/>
    <cellStyle name="差 2 2" xfId="1330"/>
    <cellStyle name="差 2 2 2" xfId="1331"/>
    <cellStyle name="差 2 3" xfId="1332"/>
    <cellStyle name="差 2 4" xfId="1333"/>
    <cellStyle name="差 3" xfId="1334"/>
    <cellStyle name="差 3 2" xfId="1335"/>
    <cellStyle name="差_％" xfId="1336"/>
    <cellStyle name="差_2.1细 (2)" xfId="1337"/>
    <cellStyle name="差_2.1细 (2) 2" xfId="1338"/>
    <cellStyle name="差_2.1细 (2)_Sheet1" xfId="1339"/>
    <cellStyle name="差_2.1细 (2)_Sheet1 2" xfId="1340"/>
    <cellStyle name="差_2.1细 (2)_全体" xfId="1341"/>
    <cellStyle name="差_2.1细 (2)_全体 (2)" xfId="1342"/>
    <cellStyle name="差_2.1细 (2)_全体 (2) 2" xfId="1343"/>
    <cellStyle name="差_2.1细 (2)_全体 2" xfId="1344"/>
    <cellStyle name="差_2.1细 (2)_全体D" xfId="1345"/>
    <cellStyle name="差_2.1细 (2)_全体D 2" xfId="1346"/>
    <cellStyle name="差_4849_Survey" xfId="1347"/>
    <cellStyle name="差_4849_Survey 2" xfId="1348"/>
    <cellStyle name="差_8D" xfId="1349"/>
    <cellStyle name="差_8D 2" xfId="1350"/>
    <cellStyle name="差_A1" xfId="1351"/>
    <cellStyle name="差_A1 2" xfId="1352"/>
    <cellStyle name="差_A1_1" xfId="1353"/>
    <cellStyle name="差_A1_1 2" xfId="1354"/>
    <cellStyle name="差_A1_1_全体D" xfId="1355"/>
    <cellStyle name="差_A1_1_全体D 2" xfId="1356"/>
    <cellStyle name="差_A1_A3" xfId="1357"/>
    <cellStyle name="差_A1_A3 2" xfId="1358"/>
    <cellStyle name="差_A1_A3_全体D" xfId="1359"/>
    <cellStyle name="差_A1_A3_全体D 2" xfId="1360"/>
    <cellStyle name="差_A1_Sheet1" xfId="1361"/>
    <cellStyle name="差_A1_Sheet1 2" xfId="1362"/>
    <cellStyle name="差_A1_全体" xfId="1363"/>
    <cellStyle name="差_A1_全体 (2)" xfId="1364"/>
    <cellStyle name="差_A1_全体 (2) 2" xfId="1365"/>
    <cellStyle name="差_A1_全体 2" xfId="1366"/>
    <cellStyle name="差_A1_全体D" xfId="1367"/>
    <cellStyle name="差_A1_全体D 2" xfId="1368"/>
    <cellStyle name="差_A10" xfId="1369"/>
    <cellStyle name="差_A10 2" xfId="1370"/>
    <cellStyle name="差_A10_全体D" xfId="1371"/>
    <cellStyle name="差_A10_全体D 2" xfId="1372"/>
    <cellStyle name="差_A2佳能" xfId="1381"/>
    <cellStyle name="差_A2佳能 2" xfId="1382"/>
    <cellStyle name="差_A2佳能_全体D" xfId="1383"/>
    <cellStyle name="差_A2佳能_全体D 2" xfId="1384"/>
    <cellStyle name="差_A2精" xfId="1397"/>
    <cellStyle name="差_A2精 2" xfId="1398"/>
    <cellStyle name="差_A2精_全体D" xfId="1399"/>
    <cellStyle name="差_A2精_全体D 2" xfId="1400"/>
    <cellStyle name="差_A2卡" xfId="1385"/>
    <cellStyle name="差_A2卡 2" xfId="1386"/>
    <cellStyle name="差_A2卡_全体D" xfId="1387"/>
    <cellStyle name="差_A2卡_全体D 2" xfId="1388"/>
    <cellStyle name="差_A2三" xfId="1373"/>
    <cellStyle name="差_A2三 (2)" xfId="1374"/>
    <cellStyle name="差_A2三 (2) 2" xfId="1375"/>
    <cellStyle name="差_A2三 (2)_全体D" xfId="1376"/>
    <cellStyle name="差_A2三 (2)_全体D 2" xfId="1377"/>
    <cellStyle name="差_A2三 2" xfId="1378"/>
    <cellStyle name="差_A2三_全体D" xfId="1379"/>
    <cellStyle name="差_A2三_全体D 2" xfId="1380"/>
    <cellStyle name="差_A2松" xfId="1393"/>
    <cellStyle name="差_A2松 2" xfId="1394"/>
    <cellStyle name="差_A2松_全体D" xfId="1395"/>
    <cellStyle name="差_A2松_全体D 2" xfId="1396"/>
    <cellStyle name="差_A2索" xfId="1401"/>
    <cellStyle name="差_A2索 2" xfId="1402"/>
    <cellStyle name="差_A2索_全体D" xfId="1403"/>
    <cellStyle name="差_A2索_全体D 2" xfId="1404"/>
    <cellStyle name="差_A2西" xfId="1405"/>
    <cellStyle name="差_A2西 2" xfId="1406"/>
    <cellStyle name="差_A2西_全体D" xfId="1407"/>
    <cellStyle name="差_A2西_全体D 2" xfId="1408"/>
    <cellStyle name="差_A2夏" xfId="1389"/>
    <cellStyle name="差_A2夏 2" xfId="1390"/>
    <cellStyle name="差_A2夏_全体D" xfId="1391"/>
    <cellStyle name="差_A2夏_全体D 2" xfId="1392"/>
    <cellStyle name="差_A3" xfId="1409"/>
    <cellStyle name="差_A4-2b" xfId="1410"/>
    <cellStyle name="差_A4-2b 2" xfId="1411"/>
    <cellStyle name="差_A4-2b_Sheet1" xfId="1412"/>
    <cellStyle name="差_A4-2b_Sheet1 2" xfId="1413"/>
    <cellStyle name="差_A4-2b_全体" xfId="1414"/>
    <cellStyle name="差_A4-2b_全体 (2)" xfId="1415"/>
    <cellStyle name="差_A4-2b_全体 (2) 2" xfId="1416"/>
    <cellStyle name="差_A4-2b_全体 2" xfId="1417"/>
    <cellStyle name="差_A4-2b_全体D" xfId="1418"/>
    <cellStyle name="差_A4-2b_全体D 2" xfId="1419"/>
    <cellStyle name="差_A45" xfId="1420"/>
    <cellStyle name="差_A45 2" xfId="1421"/>
    <cellStyle name="差_A45_全体D" xfId="1422"/>
    <cellStyle name="差_A45_全体D 2" xfId="1423"/>
    <cellStyle name="差_A52细" xfId="1424"/>
    <cellStyle name="差_A6-5" xfId="1425"/>
    <cellStyle name="差_A6-5 2" xfId="1426"/>
    <cellStyle name="差_A6-5_Sheet1" xfId="1427"/>
    <cellStyle name="差_A6-5_Sheet1 2" xfId="1428"/>
    <cellStyle name="差_A6-5_全体" xfId="1429"/>
    <cellStyle name="差_A6-5_全体 (2)" xfId="1430"/>
    <cellStyle name="差_A6-5_全体 (2) 2" xfId="1431"/>
    <cellStyle name="差_A6-5_全体 2" xfId="1432"/>
    <cellStyle name="差_A6-5_全体D" xfId="1433"/>
    <cellStyle name="差_A6-5_全体D 2" xfId="1434"/>
    <cellStyle name="差_A8 (2)" xfId="1435"/>
    <cellStyle name="差_A8 (2) 2" xfId="1436"/>
    <cellStyle name="差_A8 (2)_Raw" xfId="1437"/>
    <cellStyle name="差_A8 (2)_Raw 2" xfId="1438"/>
    <cellStyle name="差_A8 (2)_Raw_全体D" xfId="1443"/>
    <cellStyle name="差_A8 (2)_Raw_全体D 2" xfId="1444"/>
    <cellStyle name="差_A8 (2)_Raw_作業_BridgeStone_4292_20121022" xfId="1439"/>
    <cellStyle name="差_A8 (2)_Raw_作業_BridgeStone_4292_20121022 2" xfId="1440"/>
    <cellStyle name="差_A8 (2)_Raw_作業_BridgeStone_4292_20121022_全体D" xfId="1441"/>
    <cellStyle name="差_A8 (2)_Raw_作業_BridgeStone_4292_20121022_全体D 2" xfId="1442"/>
    <cellStyle name="差_A8 (2)_全体D" xfId="1449"/>
    <cellStyle name="差_A8 (2)_全体D 2" xfId="1450"/>
    <cellStyle name="差_A8 (2)_作業_BridgeStone_4292_20121022" xfId="1445"/>
    <cellStyle name="差_A8 (2)_作業_BridgeStone_4292_20121022 2" xfId="1446"/>
    <cellStyle name="差_A8 (2)_作業_BridgeStone_4292_20121022_全体D" xfId="1447"/>
    <cellStyle name="差_A8 (2)_作業_BridgeStone_4292_20121022_全体D 2" xfId="1448"/>
    <cellStyle name="差_A9 (2)" xfId="1451"/>
    <cellStyle name="差_BD" xfId="1452"/>
    <cellStyle name="差_BD 2" xfId="1453"/>
    <cellStyle name="差_BD 2 2" xfId="1454"/>
    <cellStyle name="差_BD 3" xfId="1455"/>
    <cellStyle name="差_Book2" xfId="1456"/>
    <cellStyle name="差_Book2 2" xfId="1457"/>
    <cellStyle name="差_Book2_全体D" xfId="1458"/>
    <cellStyle name="差_Book2_全体D 2" xfId="1459"/>
    <cellStyle name="差_Book21" xfId="1460"/>
    <cellStyle name="差_Book21 2" xfId="1461"/>
    <cellStyle name="差_Book21_全体D" xfId="1462"/>
    <cellStyle name="差_Book21_全体D 2" xfId="1463"/>
    <cellStyle name="差_Book6" xfId="1464"/>
    <cellStyle name="差_COPY-最终报告用 2段累积图" xfId="1465"/>
    <cellStyle name="差_COPY-最终报告用 2段累积图 2" xfId="1466"/>
    <cellStyle name="差_COPY-最终报告用 2段累积图_全体D" xfId="1467"/>
    <cellStyle name="差_COPY-最终报告用 2段累积图_全体D 2" xfId="1468"/>
    <cellStyle name="差_COPY-最终报告用 exl-2010-" xfId="1469"/>
    <cellStyle name="差_COPY-最终报告用 exl-2010- 2" xfId="1470"/>
    <cellStyle name="差_COPY-最终报告用 exl-2010-_全体D" xfId="1471"/>
    <cellStyle name="差_COPY-最终报告用 exl-2010-_全体D 2" xfId="1472"/>
    <cellStyle name="差_FS" xfId="1473"/>
    <cellStyle name="差_FS 2" xfId="1474"/>
    <cellStyle name="差_Ma③" xfId="1475"/>
    <cellStyle name="差_Ma③ 2" xfId="1476"/>
    <cellStyle name="差_Ma③_全体D" xfId="1477"/>
    <cellStyle name="差_Ma③_全体D 2" xfId="1478"/>
    <cellStyle name="差_Proc" xfId="1479"/>
    <cellStyle name="差_Proc 2" xfId="1480"/>
    <cellStyle name="差_Proc_1" xfId="1481"/>
    <cellStyle name="差_Proc_1 2" xfId="1482"/>
    <cellStyle name="差_Proc_Proc" xfId="1483"/>
    <cellStyle name="差_Proc_Proc 2" xfId="1484"/>
    <cellStyle name="差_Q12" xfId="1485"/>
    <cellStyle name="差_Q12 (2)" xfId="1486"/>
    <cellStyle name="差_Q12 (2) 2" xfId="1487"/>
    <cellStyle name="差_Q12 (2)_全体D" xfId="1488"/>
    <cellStyle name="差_Q12 (2)_全体D 2" xfId="1489"/>
    <cellStyle name="差_Q14" xfId="1490"/>
    <cellStyle name="差_Q15" xfId="1491"/>
    <cellStyle name="差_Q18" xfId="1492"/>
    <cellStyle name="差_Q5-1细分" xfId="1493"/>
    <cellStyle name="差_Q5-1细分 2" xfId="1494"/>
    <cellStyle name="差_Q5-1细分_全体D" xfId="1495"/>
    <cellStyle name="差_Q5-1细分_全体D 2" xfId="1496"/>
    <cellStyle name="差_Q5-2细分" xfId="1497"/>
    <cellStyle name="差_Q5-2细分 2" xfId="1498"/>
    <cellStyle name="差_Q5-2细分_全体D" xfId="1499"/>
    <cellStyle name="差_Q5-2细分_全体D 2" xfId="1500"/>
    <cellStyle name="差_Q6" xfId="1501"/>
    <cellStyle name="差_Q6 2" xfId="1502"/>
    <cellStyle name="差_Q6_全体D" xfId="1503"/>
    <cellStyle name="差_Q6_全体D 2" xfId="1504"/>
    <cellStyle name="差_Q6-1-2子" xfId="1505"/>
    <cellStyle name="差_Q6-1-2子 2" xfId="1506"/>
    <cellStyle name="差_Q6-1-2子_Sheet1" xfId="1507"/>
    <cellStyle name="差_Q6-1-2子_Sheet1 2" xfId="1508"/>
    <cellStyle name="差_Q6-1-2子_全体" xfId="1509"/>
    <cellStyle name="差_Q6-1-2子_全体 (2)" xfId="1510"/>
    <cellStyle name="差_Q6-1-2子_全体 (2) 2" xfId="1511"/>
    <cellStyle name="差_Q6-1-2子_全体 2" xfId="1512"/>
    <cellStyle name="差_Q6-1-2子_全体D" xfId="1513"/>
    <cellStyle name="差_Q6-1-2子_全体D 2" xfId="1514"/>
    <cellStyle name="差_Q6-1子" xfId="1515"/>
    <cellStyle name="差_Q6-1子 2" xfId="1516"/>
    <cellStyle name="差_Q6-1子_Sheet1" xfId="1517"/>
    <cellStyle name="差_Q6-1子_Sheet1 2" xfId="1518"/>
    <cellStyle name="差_Q6-1子_全体" xfId="1519"/>
    <cellStyle name="差_Q6-1子_全体 (2)" xfId="1520"/>
    <cellStyle name="差_Q6-1子_全体 (2) 2" xfId="1521"/>
    <cellStyle name="差_Q6-1子_全体 2" xfId="1522"/>
    <cellStyle name="差_Q6-1子_全体D" xfId="1523"/>
    <cellStyle name="差_Q6-1子_全体D 2" xfId="1524"/>
    <cellStyle name="差_Q6-2子" xfId="1525"/>
    <cellStyle name="差_Q6-2子 2" xfId="1526"/>
    <cellStyle name="差_Q6-2子_Sheet1" xfId="1527"/>
    <cellStyle name="差_Q6-2子_Sheet1 2" xfId="1528"/>
    <cellStyle name="差_Q6-2子_全体" xfId="1529"/>
    <cellStyle name="差_Q6-2子_全体 (2)" xfId="1530"/>
    <cellStyle name="差_Q6-2子_全体 (2) 2" xfId="1531"/>
    <cellStyle name="差_Q6-2子_全体 2" xfId="1532"/>
    <cellStyle name="差_Q6-2子_全体D" xfId="1533"/>
    <cellStyle name="差_Q6-2子_全体D 2" xfId="1534"/>
    <cellStyle name="差_Q6-5①" xfId="1535"/>
    <cellStyle name="差_Q6-5① 2" xfId="1536"/>
    <cellStyle name="差_Q6-5①_Sheet1" xfId="1537"/>
    <cellStyle name="差_Q6-5①_Sheet1 2" xfId="1538"/>
    <cellStyle name="差_Q6-5①_全体" xfId="1539"/>
    <cellStyle name="差_Q6-5①_全体 (2)" xfId="1540"/>
    <cellStyle name="差_Q6-5①_全体 (2) 2" xfId="1541"/>
    <cellStyle name="差_Q6-5①_全体 2" xfId="1542"/>
    <cellStyle name="差_Q6-5①_全体D" xfId="1543"/>
    <cellStyle name="差_Q6-5①_全体D 2" xfId="1544"/>
    <cellStyle name="差_Q6细" xfId="1545"/>
    <cellStyle name="差_Q6细 2" xfId="1546"/>
    <cellStyle name="差_Q6细_全体D" xfId="1547"/>
    <cellStyle name="差_Q6细_全体D 2" xfId="1548"/>
    <cellStyle name="差_Q7-0" xfId="1549"/>
    <cellStyle name="差_Q7-0 2" xfId="1550"/>
    <cellStyle name="差_Q7-0_Sheet1" xfId="1551"/>
    <cellStyle name="差_Q7-0_Sheet1 2" xfId="1552"/>
    <cellStyle name="差_Q7-0_全体" xfId="1553"/>
    <cellStyle name="差_Q7-0_全体 (2)" xfId="1554"/>
    <cellStyle name="差_Q7-0_全体 (2) 2" xfId="1555"/>
    <cellStyle name="差_Q7-0_全体 2" xfId="1556"/>
    <cellStyle name="差_Q7-0_全体D" xfId="1557"/>
    <cellStyle name="差_Q7-0_全体D 2" xfId="1558"/>
    <cellStyle name="差_QN_女性_ch" xfId="1559"/>
    <cellStyle name="差_Q手" xfId="1560"/>
    <cellStyle name="差_Q手 2" xfId="1561"/>
    <cellStyle name="差_Q手_Sheet1" xfId="1562"/>
    <cellStyle name="差_Q手_Sheet1 2" xfId="1563"/>
    <cellStyle name="差_Q手_全体" xfId="1564"/>
    <cellStyle name="差_Q手_全体 (2)" xfId="1565"/>
    <cellStyle name="差_Q手_全体 (2) 2" xfId="1566"/>
    <cellStyle name="差_Q手_全体 2" xfId="1567"/>
    <cellStyle name="差_Q手_全体D" xfId="1568"/>
    <cellStyle name="差_Q手_全体D 2" xfId="1569"/>
    <cellStyle name="差_Raw" xfId="13"/>
    <cellStyle name="差_Raw 2" xfId="1570"/>
    <cellStyle name="差_Raw 3" xfId="1571"/>
    <cellStyle name="差_Raw_1" xfId="1572"/>
    <cellStyle name="差_Raw_1 2" xfId="1573"/>
    <cellStyle name="差_Raw_1 3" xfId="1574"/>
    <cellStyle name="差_Raw_1 4" xfId="1575"/>
    <cellStyle name="差_Raw_1_Raw" xfId="1576"/>
    <cellStyle name="差_Raw_1_Raw 2" xfId="1577"/>
    <cellStyle name="差_Raw_1_Raw 3" xfId="1578"/>
    <cellStyle name="差_Raw_1_Raw 4" xfId="1579"/>
    <cellStyle name="差_Raw_1_Raw_1" xfId="1580"/>
    <cellStyle name="差_Raw_1_Raw_1 2" xfId="1581"/>
    <cellStyle name="差_Raw_1_Raw_1 3" xfId="1582"/>
    <cellStyle name="差_Raw_1_Raw_1 4" xfId="1583"/>
    <cellStyle name="差_Raw_1_Raw_1_Raw" xfId="1584"/>
    <cellStyle name="差_Raw_1_Raw_1_Raw 2" xfId="1585"/>
    <cellStyle name="差_Raw_1_Raw_Raw" xfId="1586"/>
    <cellStyle name="差_Raw_1_Raw_Raw 2" xfId="1587"/>
    <cellStyle name="差_Raw_1_Raw_Raw 3" xfId="1588"/>
    <cellStyle name="差_Raw_1_Raw_Raw 4" xfId="1589"/>
    <cellStyle name="差_Raw_1_Raw_Raw_Raw" xfId="1590"/>
    <cellStyle name="差_Raw_1_Raw_Raw_Raw 2" xfId="1591"/>
    <cellStyle name="差_Raw_1_类认使意 (2)" xfId="1604"/>
    <cellStyle name="差_Raw_1_类认使意 (2) 2" xfId="1605"/>
    <cellStyle name="差_Raw_1_类认使意 (2)_全体D" xfId="1606"/>
    <cellStyle name="差_Raw_1_类认使意 (2)_全体D 2" xfId="1607"/>
    <cellStyle name="差_Raw_1_取认使意 (2)" xfId="1596"/>
    <cellStyle name="差_Raw_1_取认使意 (2) 2" xfId="1597"/>
    <cellStyle name="差_Raw_1_取认使意 (2)_全体D" xfId="1598"/>
    <cellStyle name="差_Raw_1_取认使意 (2)_全体D 2" xfId="1599"/>
    <cellStyle name="差_Raw_1_收入-jp" xfId="1600"/>
    <cellStyle name="差_Raw_1_收入-jp 2" xfId="1601"/>
    <cellStyle name="差_Raw_1_收入-jp_全体D" xfId="1602"/>
    <cellStyle name="差_Raw_1_收入-jp_全体D 2" xfId="1603"/>
    <cellStyle name="差_Raw_1_作業_BridgeStone_4292_20121022" xfId="1592"/>
    <cellStyle name="差_Raw_1_作業_BridgeStone_4292_20121022 2" xfId="1593"/>
    <cellStyle name="差_Raw_1_作業_BridgeStone_4292_20121022_全体D" xfId="1594"/>
    <cellStyle name="差_Raw_1_作業_BridgeStone_4292_20121022_全体D 2" xfId="1595"/>
    <cellStyle name="差_Raw_2" xfId="1608"/>
    <cellStyle name="差_Raw_2 2" xfId="1609"/>
    <cellStyle name="差_Raw_2 3" xfId="1610"/>
    <cellStyle name="差_Raw_2 4" xfId="1611"/>
    <cellStyle name="差_Raw_2_Raw" xfId="1612"/>
    <cellStyle name="差_Raw_2_Raw 2" xfId="1613"/>
    <cellStyle name="差_Raw_Raw" xfId="1614"/>
    <cellStyle name="差_Raw_Raw 2" xfId="1615"/>
    <cellStyle name="差_Raw_Raw 3" xfId="1616"/>
    <cellStyle name="差_Raw_Raw 4" xfId="1617"/>
    <cellStyle name="差_Raw_Raw_Raw" xfId="1618"/>
    <cellStyle name="差_Raw_Raw_Raw 2" xfId="1619"/>
    <cellStyle name="差_Raw_Raw_类认使意 (2)" xfId="1632"/>
    <cellStyle name="差_Raw_Raw_类认使意 (2) 2" xfId="1633"/>
    <cellStyle name="差_Raw_Raw_类认使意 (2)_全体D" xfId="1634"/>
    <cellStyle name="差_Raw_Raw_类认使意 (2)_全体D 2" xfId="1635"/>
    <cellStyle name="差_Raw_Raw_取认使意 (2)" xfId="1624"/>
    <cellStyle name="差_Raw_Raw_取认使意 (2) 2" xfId="1625"/>
    <cellStyle name="差_Raw_Raw_取认使意 (2)_全体D" xfId="1626"/>
    <cellStyle name="差_Raw_Raw_取认使意 (2)_全体D 2" xfId="1627"/>
    <cellStyle name="差_Raw_Raw_收入-jp" xfId="1628"/>
    <cellStyle name="差_Raw_Raw_收入-jp 2" xfId="1629"/>
    <cellStyle name="差_Raw_Raw_收入-jp_全体D" xfId="1630"/>
    <cellStyle name="差_Raw_Raw_收入-jp_全体D 2" xfId="1631"/>
    <cellStyle name="差_Raw_Raw_作業_BridgeStone_4292_20121022" xfId="1620"/>
    <cellStyle name="差_Raw_Raw_作業_BridgeStone_4292_20121022 2" xfId="1621"/>
    <cellStyle name="差_Raw_Raw_作業_BridgeStone_4292_20121022_全体D" xfId="1622"/>
    <cellStyle name="差_Raw_Raw_作業_BridgeStone_4292_20121022_全体D 2" xfId="1623"/>
    <cellStyle name="差_Raw_类认使意 (2)" xfId="1648"/>
    <cellStyle name="差_Raw_类认使意 (2) 2" xfId="1649"/>
    <cellStyle name="差_Raw_类认使意 (2)_全体D" xfId="1650"/>
    <cellStyle name="差_Raw_类认使意 (2)_全体D 2" xfId="1651"/>
    <cellStyle name="差_Raw_取认使意 (2)" xfId="1640"/>
    <cellStyle name="差_Raw_取认使意 (2) 2" xfId="1641"/>
    <cellStyle name="差_Raw_取认使意 (2)_全体D" xfId="1642"/>
    <cellStyle name="差_Raw_取认使意 (2)_全体D 2" xfId="1643"/>
    <cellStyle name="差_Raw_收入-jp" xfId="1644"/>
    <cellStyle name="差_Raw_收入-jp 2" xfId="1645"/>
    <cellStyle name="差_Raw_收入-jp_全体D" xfId="1646"/>
    <cellStyle name="差_Raw_收入-jp_全体D 2" xfId="1647"/>
    <cellStyle name="差_Raw_作業_BridgeStone_4292_20121022" xfId="1636"/>
    <cellStyle name="差_Raw_作業_BridgeStone_4292_20121022 2" xfId="1637"/>
    <cellStyle name="差_Raw_作業_BridgeStone_4292_20121022_全体D" xfId="1638"/>
    <cellStyle name="差_Raw_作業_BridgeStone_4292_20121022_全体D 2" xfId="1639"/>
    <cellStyle name="差_Raw-1000ss" xfId="1652"/>
    <cellStyle name="差_Raw-1000ss 2" xfId="1653"/>
    <cellStyle name="差_Raw-114ss" xfId="1654"/>
    <cellStyle name="差_Raw-114ss 2" xfId="1655"/>
    <cellStyle name="差_Raw-114ss_Raw" xfId="1656"/>
    <cellStyle name="差_Raw-114ss_Raw 2" xfId="1657"/>
    <cellStyle name="差_Raw-114ss_Raw_1" xfId="1658"/>
    <cellStyle name="差_Raw-114ss_Raw_1 2" xfId="1659"/>
    <cellStyle name="差_Raw-114ss_Raw_1_全体D" xfId="1664"/>
    <cellStyle name="差_Raw-114ss_Raw_1_全体D 2" xfId="1665"/>
    <cellStyle name="差_Raw-114ss_Raw_1_作業_BridgeStone_4292_20121022" xfId="1660"/>
    <cellStyle name="差_Raw-114ss_Raw_1_作業_BridgeStone_4292_20121022 2" xfId="1661"/>
    <cellStyle name="差_Raw-114ss_Raw_1_作業_BridgeStone_4292_20121022_全体D" xfId="1662"/>
    <cellStyle name="差_Raw-114ss_Raw_1_作業_BridgeStone_4292_20121022_全体D 2" xfId="1663"/>
    <cellStyle name="差_Raw-114ss_Raw_Raw" xfId="1666"/>
    <cellStyle name="差_Raw-114ss_Raw_Raw 2" xfId="1667"/>
    <cellStyle name="差_Raw-114ss_Raw_Raw_全体D" xfId="1672"/>
    <cellStyle name="差_Raw-114ss_Raw_Raw_全体D 2" xfId="1673"/>
    <cellStyle name="差_Raw-114ss_Raw_Raw_作業_BridgeStone_4292_20121022" xfId="1668"/>
    <cellStyle name="差_Raw-114ss_Raw_Raw_作業_BridgeStone_4292_20121022 2" xfId="1669"/>
    <cellStyle name="差_Raw-114ss_Raw_Raw_作業_BridgeStone_4292_20121022_全体D" xfId="1670"/>
    <cellStyle name="差_Raw-114ss_Raw_Raw_作業_BridgeStone_4292_20121022_全体D 2" xfId="1671"/>
    <cellStyle name="差_Raw-114ss_Raw_全体D" xfId="1678"/>
    <cellStyle name="差_Raw-114ss_Raw_全体D 2" xfId="1679"/>
    <cellStyle name="差_Raw-114ss_Raw_作業_BridgeStone_4292_20121022" xfId="1674"/>
    <cellStyle name="差_Raw-114ss_Raw_作業_BridgeStone_4292_20121022 2" xfId="1675"/>
    <cellStyle name="差_Raw-114ss_Raw_作業_BridgeStone_4292_20121022_全体D" xfId="1676"/>
    <cellStyle name="差_Raw-114ss_Raw_作業_BridgeStone_4292_20121022_全体D 2" xfId="1677"/>
    <cellStyle name="差_Raw-114ss_全体D" xfId="1680"/>
    <cellStyle name="差_Raw-114ss_全体D 2" xfId="1681"/>
    <cellStyle name="差_S7" xfId="1682"/>
    <cellStyle name="差_S7 2" xfId="1683"/>
    <cellStyle name="差_S7_全体D" xfId="1684"/>
    <cellStyle name="差_S7_全体D 2" xfId="1685"/>
    <cellStyle name="差_Sheet1" xfId="1686"/>
    <cellStyle name="差_Sheet1 2" xfId="1687"/>
    <cellStyle name="差_Sheet1_1" xfId="1688"/>
    <cellStyle name="差_Sheet1_1 2" xfId="1689"/>
    <cellStyle name="差_Sheet1_1_Book2" xfId="1690"/>
    <cellStyle name="差_Sheet1_1_Book2 2" xfId="1691"/>
    <cellStyle name="差_Sheet1_1_Book2_全体D" xfId="1692"/>
    <cellStyle name="差_Sheet1_1_Book2_全体D 2" xfId="1693"/>
    <cellStyle name="差_Sheet1_1_Book21" xfId="1694"/>
    <cellStyle name="差_Sheet1_1_Book21 2" xfId="1695"/>
    <cellStyle name="差_Sheet1_1_Book21_全体D" xfId="1696"/>
    <cellStyle name="差_Sheet1_1_Book21_全体D 2" xfId="1697"/>
    <cellStyle name="差_Sheet1_1_COPY-最终报告用 2段累积图" xfId="1698"/>
    <cellStyle name="差_Sheet1_1_COPY-最终报告用 2段累积图 2" xfId="1699"/>
    <cellStyle name="差_Sheet1_1_COPY-最终报告用 2段累积图_全体D" xfId="1700"/>
    <cellStyle name="差_Sheet1_1_COPY-最终报告用 2段累积图_全体D 2" xfId="1701"/>
    <cellStyle name="差_Sheet1_1_COPY-最终报告用 exl-2010-" xfId="1702"/>
    <cellStyle name="差_Sheet1_1_COPY-最终报告用 exl-2010- 2" xfId="1703"/>
    <cellStyle name="差_Sheet1_1_COPY-最终报告用 exl-2010-_全体D" xfId="1704"/>
    <cellStyle name="差_Sheet1_1_COPY-最终报告用 exl-2010-_全体D 2" xfId="1705"/>
    <cellStyle name="差_Sheet1_1_Sheet1" xfId="1706"/>
    <cellStyle name="差_Sheet1_1_Sheet1 2" xfId="1707"/>
    <cellStyle name="差_Sheet1_1_Sheet1_全体D" xfId="1708"/>
    <cellStyle name="差_Sheet1_1_Sheet1_全体D 2" xfId="1709"/>
    <cellStyle name="差_Sheet1_1_保有-细分" xfId="1710"/>
    <cellStyle name="差_Sheet1_1_保有-细分 2" xfId="1711"/>
    <cellStyle name="差_Sheet1_1_保有-细分_全体D" xfId="1712"/>
    <cellStyle name="差_Sheet1_1_保有-细分_全体D 2" xfId="1713"/>
    <cellStyle name="差_Sheet1_1_全体" xfId="1714"/>
    <cellStyle name="差_Sheet1_1_全体 (2)" xfId="1715"/>
    <cellStyle name="差_Sheet1_1_全体 (2) 2" xfId="1716"/>
    <cellStyle name="差_Sheet1_1_全体 2" xfId="1717"/>
    <cellStyle name="差_Sheet1_1_全体D" xfId="1718"/>
    <cellStyle name="差_Sheet1_1_全体D 2" xfId="1719"/>
    <cellStyle name="差_Sheet1_2" xfId="1720"/>
    <cellStyle name="差_Sheet1_3" xfId="1721"/>
    <cellStyle name="差_Sheet1_3 2" xfId="1722"/>
    <cellStyle name="差_Sheet1_3喜" xfId="1723"/>
    <cellStyle name="差_Sheet1_3喜_Sheet1" xfId="1724"/>
    <cellStyle name="差_Sheet1_3喜_Sheet1 2" xfId="1725"/>
    <cellStyle name="差_Sheet1_3喜_Sheet1 3" xfId="1726"/>
    <cellStyle name="差_Sheet1_A3" xfId="1727"/>
    <cellStyle name="差_Sheet1_A3 2" xfId="1728"/>
    <cellStyle name="差_Sheet1_A3_全体D" xfId="1729"/>
    <cellStyle name="差_Sheet1_A3_全体D 2" xfId="1730"/>
    <cellStyle name="差_Sheet1_S7" xfId="1731"/>
    <cellStyle name="差_Sheet1_S7 2" xfId="1732"/>
    <cellStyle name="差_Sheet1_S7_全体D" xfId="1733"/>
    <cellStyle name="差_Sheet1_S7_全体D 2" xfId="1734"/>
    <cellStyle name="差_Sheet1_Sheet1" xfId="1735"/>
    <cellStyle name="差_Sheet1_Sheet1 2" xfId="1736"/>
    <cellStyle name="差_Sheet1_Sheet1_1" xfId="1737"/>
    <cellStyle name="差_Sheet1_Sheet1_1 2" xfId="1738"/>
    <cellStyle name="差_Sheet1_Sheet1_Book2" xfId="1739"/>
    <cellStyle name="差_Sheet1_Sheet1_Book2 2" xfId="1740"/>
    <cellStyle name="差_Sheet1_Sheet1_Book2_全体D" xfId="1741"/>
    <cellStyle name="差_Sheet1_Sheet1_Book2_全体D 2" xfId="1742"/>
    <cellStyle name="差_Sheet1_Sheet1_Book21" xfId="1743"/>
    <cellStyle name="差_Sheet1_Sheet1_Book21 2" xfId="1744"/>
    <cellStyle name="差_Sheet1_Sheet1_Book21_全体D" xfId="1745"/>
    <cellStyle name="差_Sheet1_Sheet1_Book21_全体D 2" xfId="1746"/>
    <cellStyle name="差_Sheet1_Sheet1_COPY-最终报告用 2段累积图" xfId="1747"/>
    <cellStyle name="差_Sheet1_Sheet1_COPY-最终报告用 2段累积图 2" xfId="1748"/>
    <cellStyle name="差_Sheet1_Sheet1_COPY-最终报告用 2段累积图_全体D" xfId="1749"/>
    <cellStyle name="差_Sheet1_Sheet1_COPY-最终报告用 2段累积图_全体D 2" xfId="1750"/>
    <cellStyle name="差_Sheet1_Sheet1_COPY-最终报告用 exl-2010-" xfId="1751"/>
    <cellStyle name="差_Sheet1_Sheet1_COPY-最终报告用 exl-2010- 2" xfId="1752"/>
    <cellStyle name="差_Sheet1_Sheet1_COPY-最终报告用 exl-2010-_全体D" xfId="1753"/>
    <cellStyle name="差_Sheet1_Sheet1_COPY-最终报告用 exl-2010-_全体D 2" xfId="1754"/>
    <cellStyle name="差_Sheet1_Sheet1_Sheet1" xfId="1755"/>
    <cellStyle name="差_Sheet1_Sheet1_Sheet1 2" xfId="1756"/>
    <cellStyle name="差_Sheet1_Sheet1_Sheet1_全体D" xfId="1757"/>
    <cellStyle name="差_Sheet1_Sheet1_Sheet1_全体D 2" xfId="1758"/>
    <cellStyle name="差_Sheet1_Sheet1_保有-细分" xfId="1759"/>
    <cellStyle name="差_Sheet1_Sheet1_保有-细分 2" xfId="1760"/>
    <cellStyle name="差_Sheet1_Sheet1_保有-细分_全体D" xfId="1761"/>
    <cellStyle name="差_Sheet1_Sheet1_保有-细分_全体D 2" xfId="1762"/>
    <cellStyle name="差_Sheet1_Sheet1_全体" xfId="1763"/>
    <cellStyle name="差_Sheet1_Sheet1_全体 (2)" xfId="1764"/>
    <cellStyle name="差_Sheet1_Sheet1_全体 (2) 2" xfId="1765"/>
    <cellStyle name="差_Sheet1_Sheet1_全体 2" xfId="1766"/>
    <cellStyle name="差_Sheet1_Sheet1_全体D" xfId="1767"/>
    <cellStyle name="差_Sheet1_Sheet1_全体D 2" xfId="1768"/>
    <cellStyle name="差_Sheet1_类认使意 (2)" xfId="1777"/>
    <cellStyle name="差_Sheet1_类认使意 (2) 2" xfId="1778"/>
    <cellStyle name="差_Sheet1_类认使意 (2)_全体D" xfId="1779"/>
    <cellStyle name="差_Sheet1_类认使意 (2)_全体D 2" xfId="1780"/>
    <cellStyle name="差_Sheet1_取全体" xfId="1771"/>
    <cellStyle name="差_Sheet1_取全体 2" xfId="1772"/>
    <cellStyle name="差_Sheet1_取全体_Sheet2" xfId="1773"/>
    <cellStyle name="差_Sheet1_取全体_Sheet2 2" xfId="1774"/>
    <cellStyle name="差_Sheet1_取全体_全体D" xfId="1775"/>
    <cellStyle name="差_Sheet1_取全体_全体D 2" xfId="1776"/>
    <cellStyle name="差_Sheet1_全体 (2)" xfId="1769"/>
    <cellStyle name="差_Sheet1_全体 (2) 2" xfId="1770"/>
    <cellStyle name="差_Sheet2" xfId="1781"/>
    <cellStyle name="差_Sheet2 2" xfId="1782"/>
    <cellStyle name="差_Sheet2_1" xfId="1783"/>
    <cellStyle name="差_Sheet2_1 2" xfId="1784"/>
    <cellStyle name="差_Sheet2_1_Sheet1" xfId="1785"/>
    <cellStyle name="差_Sheet2_1_Sheet1 2" xfId="1786"/>
    <cellStyle name="差_Sheet2_1_全体" xfId="1787"/>
    <cellStyle name="差_Sheet2_1_全体 (2)" xfId="1788"/>
    <cellStyle name="差_Sheet2_1_全体 (2) 2" xfId="1789"/>
    <cellStyle name="差_Sheet2_1_全体 2" xfId="1790"/>
    <cellStyle name="差_Sheet2_1_全体D" xfId="1791"/>
    <cellStyle name="差_Sheet2_1_全体D 2" xfId="1792"/>
    <cellStyle name="差_Sheet2_Book2" xfId="1793"/>
    <cellStyle name="差_Sheet2_Book2 2" xfId="1794"/>
    <cellStyle name="差_Sheet2_Book2_全体D" xfId="1795"/>
    <cellStyle name="差_Sheet2_Book2_全体D 2" xfId="1796"/>
    <cellStyle name="差_Sheet2_Book21" xfId="1797"/>
    <cellStyle name="差_Sheet2_Book21 2" xfId="1798"/>
    <cellStyle name="差_Sheet2_Book21_全体D" xfId="1799"/>
    <cellStyle name="差_Sheet2_Book21_全体D 2" xfId="1800"/>
    <cellStyle name="差_Sheet2_COPY-最终报告用 2段累积图" xfId="1801"/>
    <cellStyle name="差_Sheet2_COPY-最终报告用 2段累积图 2" xfId="1802"/>
    <cellStyle name="差_Sheet2_COPY-最终报告用 2段累积图_全体D" xfId="1803"/>
    <cellStyle name="差_Sheet2_COPY-最终报告用 2段累积图_全体D 2" xfId="1804"/>
    <cellStyle name="差_Sheet2_COPY-最终报告用 exl-2010-" xfId="1805"/>
    <cellStyle name="差_Sheet2_COPY-最终报告用 exl-2010- 2" xfId="1806"/>
    <cellStyle name="差_Sheet2_COPY-最终报告用 exl-2010-_全体D" xfId="1807"/>
    <cellStyle name="差_Sheet2_COPY-最终报告用 exl-2010-_全体D 2" xfId="1808"/>
    <cellStyle name="差_Sheet2_Sheet1" xfId="1809"/>
    <cellStyle name="差_Sheet2_Sheet1 2" xfId="1810"/>
    <cellStyle name="差_Sheet2_Sheet1_全体D" xfId="1811"/>
    <cellStyle name="差_Sheet2_Sheet1_全体D 2" xfId="1812"/>
    <cellStyle name="差_Sheet2_保有-细分" xfId="1813"/>
    <cellStyle name="差_Sheet2_保有-细分 2" xfId="1814"/>
    <cellStyle name="差_Sheet2_保有-细分_全体D" xfId="1815"/>
    <cellStyle name="差_Sheet2_保有-细分_全体D 2" xfId="1816"/>
    <cellStyle name="差_Sheet2_类认使意 (2)" xfId="1819"/>
    <cellStyle name="差_Sheet2_类认使意 (2) 2" xfId="1820"/>
    <cellStyle name="差_Sheet2_类认使意 (2)_全体D" xfId="1821"/>
    <cellStyle name="差_Sheet2_类认使意 (2)_全体D 2" xfId="1822"/>
    <cellStyle name="差_Sheet2_全体 (2)" xfId="1817"/>
    <cellStyle name="差_Sheet2_全体 (2) 2" xfId="1818"/>
    <cellStyle name="差_Sheet3" xfId="1823"/>
    <cellStyle name="差_Sheet3 2" xfId="1824"/>
    <cellStyle name="差_Sheet3_A3" xfId="1825"/>
    <cellStyle name="差_Sheet3_A3 2" xfId="1826"/>
    <cellStyle name="差_Sheet3_A3_全体D" xfId="1827"/>
    <cellStyle name="差_Sheet3_A3_全体D 2" xfId="1828"/>
    <cellStyle name="差_Sheet3_Sheet1" xfId="1829"/>
    <cellStyle name="差_Sheet3_Sheet1 2" xfId="1830"/>
    <cellStyle name="差_Sheet3_Sheet1_1" xfId="1831"/>
    <cellStyle name="差_Sheet3_Sheet1_1 2" xfId="1832"/>
    <cellStyle name="差_Sheet3_Sheet1_Book2" xfId="1833"/>
    <cellStyle name="差_Sheet3_Sheet1_Book2 2" xfId="1834"/>
    <cellStyle name="差_Sheet3_Sheet1_Book2_全体D" xfId="1835"/>
    <cellStyle name="差_Sheet3_Sheet1_Book2_全体D 2" xfId="1836"/>
    <cellStyle name="差_Sheet3_Sheet1_Book21" xfId="1837"/>
    <cellStyle name="差_Sheet3_Sheet1_Book21 2" xfId="1838"/>
    <cellStyle name="差_Sheet3_Sheet1_Book21_全体D" xfId="1839"/>
    <cellStyle name="差_Sheet3_Sheet1_Book21_全体D 2" xfId="1840"/>
    <cellStyle name="差_Sheet3_Sheet1_COPY-最终报告用 2段累积图" xfId="1841"/>
    <cellStyle name="差_Sheet3_Sheet1_COPY-最终报告用 2段累积图 2" xfId="1842"/>
    <cellStyle name="差_Sheet3_Sheet1_COPY-最终报告用 2段累积图_全体D" xfId="1843"/>
    <cellStyle name="差_Sheet3_Sheet1_COPY-最终报告用 2段累积图_全体D 2" xfId="1844"/>
    <cellStyle name="差_Sheet3_Sheet1_COPY-最终报告用 exl-2010-" xfId="1845"/>
    <cellStyle name="差_Sheet3_Sheet1_COPY-最终报告用 exl-2010- 2" xfId="1846"/>
    <cellStyle name="差_Sheet3_Sheet1_COPY-最终报告用 exl-2010-_全体D" xfId="1847"/>
    <cellStyle name="差_Sheet3_Sheet1_COPY-最终报告用 exl-2010-_全体D 2" xfId="1848"/>
    <cellStyle name="差_Sheet3_Sheet1_Sheet1" xfId="1849"/>
    <cellStyle name="差_Sheet3_Sheet1_Sheet1 2" xfId="1850"/>
    <cellStyle name="差_Sheet3_Sheet1_Sheet1_全体D" xfId="1851"/>
    <cellStyle name="差_Sheet3_Sheet1_Sheet1_全体D 2" xfId="1852"/>
    <cellStyle name="差_Sheet3_Sheet1_保有-细分" xfId="1853"/>
    <cellStyle name="差_Sheet3_Sheet1_保有-细分 2" xfId="1854"/>
    <cellStyle name="差_Sheet3_Sheet1_保有-细分_全体D" xfId="1855"/>
    <cellStyle name="差_Sheet3_Sheet1_保有-细分_全体D 2" xfId="1856"/>
    <cellStyle name="差_Sheet3_Sheet1_全体" xfId="1857"/>
    <cellStyle name="差_Sheet3_Sheet1_全体 (2)" xfId="1858"/>
    <cellStyle name="差_Sheet3_Sheet1_全体 (2) 2" xfId="1859"/>
    <cellStyle name="差_Sheet3_Sheet1_全体 2" xfId="1860"/>
    <cellStyle name="差_Sheet3_Sheet1_全体D" xfId="1861"/>
    <cellStyle name="差_Sheet3_Sheet1_全体D 2" xfId="1862"/>
    <cellStyle name="差_Sheet3_类认使意 (2)" xfId="1865"/>
    <cellStyle name="差_Sheet3_类认使意 (2) 2" xfId="1866"/>
    <cellStyle name="差_Sheet3_类认使意 (2)_全体D" xfId="1867"/>
    <cellStyle name="差_Sheet3_类认使意 (2)_全体D 2" xfId="1868"/>
    <cellStyle name="差_Sheet3_全体 (2)" xfId="1863"/>
    <cellStyle name="差_Sheet3_全体 (2) 2" xfId="1864"/>
    <cellStyle name="差_Sheet4" xfId="1869"/>
    <cellStyle name="差_Sheet4 2" xfId="1870"/>
    <cellStyle name="差_Sheet4_全体D" xfId="1871"/>
    <cellStyle name="差_Sheet4_全体D 2" xfId="1872"/>
    <cellStyle name="差_Sheet5" xfId="1873"/>
    <cellStyle name="差_Sheet5 (2)" xfId="1874"/>
    <cellStyle name="差_Sheet5 (2) 2" xfId="1875"/>
    <cellStyle name="差_Sheet5 (2)_Sheet1" xfId="1876"/>
    <cellStyle name="差_Sheet5 (2)_Sheet1 2" xfId="1877"/>
    <cellStyle name="差_Sheet5 (2)_全体" xfId="1878"/>
    <cellStyle name="差_Sheet5 (2)_全体 (2)" xfId="1879"/>
    <cellStyle name="差_Sheet5 (2)_全体 (2) 2" xfId="1880"/>
    <cellStyle name="差_Sheet5 (2)_全体 2" xfId="1881"/>
    <cellStyle name="差_Sheet5 (2)_全体D" xfId="1882"/>
    <cellStyle name="差_Sheet5 (2)_全体D 2" xfId="1883"/>
    <cellStyle name="差_Sheet5 2" xfId="1884"/>
    <cellStyle name="差_Sheet5_Sheet1" xfId="1885"/>
    <cellStyle name="差_Sheet5_Sheet1 2" xfId="1886"/>
    <cellStyle name="差_Sheet5_全体" xfId="1887"/>
    <cellStyle name="差_Sheet5_全体 (2)" xfId="1888"/>
    <cellStyle name="差_Sheet5_全体 (2) 2" xfId="1889"/>
    <cellStyle name="差_Sheet5_全体 2" xfId="1890"/>
    <cellStyle name="差_Sheet5_全体D" xfId="1891"/>
    <cellStyle name="差_Sheet5_全体D 2" xfId="1892"/>
    <cellStyle name="差_Sheet8" xfId="1893"/>
    <cellStyle name="差_Sheet8 2" xfId="1894"/>
    <cellStyle name="差_Timeline-2012" xfId="1895"/>
    <cellStyle name="差_TR问卷20120928_fin" xfId="1896"/>
    <cellStyle name="差_TR问卷20120928_fin_Sheet1" xfId="1897"/>
    <cellStyle name="差_TR问卷20120928_fin_Sheet1 2" xfId="1898"/>
    <cellStyle name="差_TR问卷20120928_fin_Sheet1 3" xfId="1899"/>
    <cellStyle name="差_TR问卷20120928_fin_Sheet1_FS" xfId="1900"/>
    <cellStyle name="差_TR问卷20120928_fin_Sheet1_FS_Sheet1" xfId="1901"/>
    <cellStyle name="差_TR问卷20120928_fin_Sheet1_FS_Sheet1 2" xfId="1902"/>
    <cellStyle name="差_TR问卷20120928_fin_Sheet1_FS_Sheet1 3" xfId="1903"/>
    <cellStyle name="差_Ver4.2" xfId="1904"/>
    <cellStyle name="差_W1" xfId="1905"/>
    <cellStyle name="差_W11合" xfId="1906"/>
    <cellStyle name="差_w23②" xfId="1907"/>
    <cellStyle name="差_w23② 2" xfId="1908"/>
    <cellStyle name="差_w23②_全体D" xfId="1909"/>
    <cellStyle name="差_w23②_全体D 2" xfId="1910"/>
    <cellStyle name="差_W3" xfId="1911"/>
    <cellStyle name="差_W3-4" xfId="1912"/>
    <cellStyle name="差_W4" xfId="1913"/>
    <cellStyle name="差_W8" xfId="1914"/>
    <cellStyle name="差_W9" xfId="1915"/>
    <cellStyle name="差_保有&amp;购买" xfId="1920"/>
    <cellStyle name="差_保有&amp;购买 2" xfId="1921"/>
    <cellStyle name="差_保有&amp;购买_Sheet1" xfId="1922"/>
    <cellStyle name="差_保有&amp;购买_Sheet1 2" xfId="1923"/>
    <cellStyle name="差_保有&amp;购买_Sheet1_1" xfId="1924"/>
    <cellStyle name="差_保有&amp;购买_Sheet1_1 2" xfId="1925"/>
    <cellStyle name="差_保有&amp;购买_Sheet1_Book2" xfId="1926"/>
    <cellStyle name="差_保有&amp;购买_Sheet1_Book2 2" xfId="1927"/>
    <cellStyle name="差_保有&amp;购买_Sheet1_Book2_全体D" xfId="1928"/>
    <cellStyle name="差_保有&amp;购买_Sheet1_Book2_全体D 2" xfId="1929"/>
    <cellStyle name="差_保有&amp;购买_Sheet1_Book21" xfId="1930"/>
    <cellStyle name="差_保有&amp;购买_Sheet1_Book21 2" xfId="1931"/>
    <cellStyle name="差_保有&amp;购买_Sheet1_Book21_全体D" xfId="1932"/>
    <cellStyle name="差_保有&amp;购买_Sheet1_Book21_全体D 2" xfId="1933"/>
    <cellStyle name="差_保有&amp;购买_Sheet1_COPY-最终报告用 2段累积图" xfId="1934"/>
    <cellStyle name="差_保有&amp;购买_Sheet1_COPY-最终报告用 2段累积图 2" xfId="1935"/>
    <cellStyle name="差_保有&amp;购买_Sheet1_COPY-最终报告用 2段累积图_全体D" xfId="1936"/>
    <cellStyle name="差_保有&amp;购买_Sheet1_COPY-最终报告用 2段累积图_全体D 2" xfId="1937"/>
    <cellStyle name="差_保有&amp;购买_Sheet1_COPY-最终报告用 exl-2010-" xfId="1938"/>
    <cellStyle name="差_保有&amp;购买_Sheet1_COPY-最终报告用 exl-2010- 2" xfId="1939"/>
    <cellStyle name="差_保有&amp;购买_Sheet1_COPY-最终报告用 exl-2010-_全体D" xfId="1940"/>
    <cellStyle name="差_保有&amp;购买_Sheet1_COPY-最终报告用 exl-2010-_全体D 2" xfId="1941"/>
    <cellStyle name="差_保有&amp;购买_Sheet1_Sheet1" xfId="1942"/>
    <cellStyle name="差_保有&amp;购买_Sheet1_Sheet1 2" xfId="1943"/>
    <cellStyle name="差_保有&amp;购买_Sheet1_Sheet1_全体D" xfId="1944"/>
    <cellStyle name="差_保有&amp;购买_Sheet1_Sheet1_全体D 2" xfId="1945"/>
    <cellStyle name="差_保有&amp;购买_Sheet1_保有-细分" xfId="1946"/>
    <cellStyle name="差_保有&amp;购买_Sheet1_保有-细分 2" xfId="1947"/>
    <cellStyle name="差_保有&amp;购买_Sheet1_保有-细分_全体D" xfId="1948"/>
    <cellStyle name="差_保有&amp;购买_Sheet1_保有-细分_全体D 2" xfId="1949"/>
    <cellStyle name="差_保有&amp;购买_Sheet1_全体" xfId="1950"/>
    <cellStyle name="差_保有&amp;购买_Sheet1_全体 (2)" xfId="1951"/>
    <cellStyle name="差_保有&amp;购买_Sheet1_全体 (2) 2" xfId="1952"/>
    <cellStyle name="差_保有&amp;购买_Sheet1_全体 2" xfId="1953"/>
    <cellStyle name="差_保有&amp;购买_Sheet1_全体D" xfId="1954"/>
    <cellStyle name="差_保有&amp;购买_Sheet1_全体D 2" xfId="1955"/>
    <cellStyle name="差_保有&amp;购买_全体" xfId="1956"/>
    <cellStyle name="差_保有&amp;购买_全体 (2)" xfId="1957"/>
    <cellStyle name="差_保有&amp;购买_全体 (2) 2" xfId="1958"/>
    <cellStyle name="差_保有&amp;购买_全体 2" xfId="1959"/>
    <cellStyle name="差_保有&amp;购买_全体D" xfId="1960"/>
    <cellStyle name="差_保有&amp;购买_全体D 2" xfId="1961"/>
    <cellStyle name="差_保有-细分" xfId="1962"/>
    <cellStyle name="差_保有-细分 2" xfId="1963"/>
    <cellStyle name="差_保有-细分_全体D" xfId="1964"/>
    <cellStyle name="差_保有-细分_全体D 2" xfId="1965"/>
    <cellStyle name="差_報告書_4292_ECOPIA_20120926" xfId="1990"/>
    <cellStyle name="差_報告書_4292_ECOPIA_20120926 2" xfId="1991"/>
    <cellStyle name="差_報告書_4292_ECOPIA_20120926_Sheet1" xfId="1992"/>
    <cellStyle name="差_報告書_4292_ECOPIA_20120926_Sheet1 2" xfId="1993"/>
    <cellStyle name="差_報告書_4292_ECOPIA_20120926_全体" xfId="1994"/>
    <cellStyle name="差_報告書_4292_ECOPIA_20120926_全体 (2)" xfId="1995"/>
    <cellStyle name="差_報告書_4292_ECOPIA_20120926_全体 (2) 2" xfId="1996"/>
    <cellStyle name="差_報告書_4292_ECOPIA_20120926_全体 2" xfId="1997"/>
    <cellStyle name="差_報告書_4292_ECOPIA_20120926_全体D" xfId="1998"/>
    <cellStyle name="差_報告書_4292_ECOPIA_20120926_全体D 2" xfId="1999"/>
    <cellStyle name="差_割付" xfId="1979"/>
    <cellStyle name="差_汇认知总" xfId="2018"/>
    <cellStyle name="差_类认使意" xfId="2022"/>
    <cellStyle name="差_类认使意 (2)" xfId="2023"/>
    <cellStyle name="差_类认使意 (2) 2" xfId="2024"/>
    <cellStyle name="差_类认使意 (2)_全体D" xfId="2025"/>
    <cellStyle name="差_类认使意 (2)_全体D 2" xfId="2026"/>
    <cellStyle name="差_类认使意 2" xfId="2027"/>
    <cellStyle name="差_取全体" xfId="1980"/>
    <cellStyle name="差_取全体 2" xfId="1981"/>
    <cellStyle name="差_取全体_Sheet2" xfId="1982"/>
    <cellStyle name="差_取全体_Sheet2 2" xfId="1983"/>
    <cellStyle name="差_取全体_全体D" xfId="1984"/>
    <cellStyle name="差_取全体_全体D 2" xfId="1985"/>
    <cellStyle name="差_取认使意 (2)" xfId="1986"/>
    <cellStyle name="差_取认使意 (2) 2" xfId="1987"/>
    <cellStyle name="差_取认使意 (2)_全体D" xfId="1988"/>
    <cellStyle name="差_取认使意 (2)_全体D 2" xfId="1989"/>
    <cellStyle name="差_全体" xfId="1966"/>
    <cellStyle name="差_全体 (2)" xfId="1967"/>
    <cellStyle name="差_全体 (2) 2" xfId="1968"/>
    <cellStyle name="差_全体 (2) 3" xfId="1969"/>
    <cellStyle name="差_全体 2" xfId="1970"/>
    <cellStyle name="差_全体 3" xfId="1971"/>
    <cellStyle name="差_全体 4" xfId="1972"/>
    <cellStyle name="差_全体 5" xfId="1973"/>
    <cellStyle name="差_全体 6" xfId="1974"/>
    <cellStyle name="差_全体 7" xfId="1975"/>
    <cellStyle name="差_全体 8" xfId="1976"/>
    <cellStyle name="差_全体D" xfId="1977"/>
    <cellStyle name="差_全体D 2" xfId="1978"/>
    <cellStyle name="差_收入-ch" xfId="2000"/>
    <cellStyle name="差_收入-ch 2" xfId="2001"/>
    <cellStyle name="差_收入-ch_类认使意 (2)" xfId="2008"/>
    <cellStyle name="差_收入-ch_类认使意 (2) 2" xfId="2009"/>
    <cellStyle name="差_收入-ch_类认使意 (2)_全体D" xfId="2010"/>
    <cellStyle name="差_收入-ch_类认使意 (2)_全体D 2" xfId="2011"/>
    <cellStyle name="差_收入-ch_取全体" xfId="2002"/>
    <cellStyle name="差_收入-ch_取全体 2" xfId="2003"/>
    <cellStyle name="差_收入-ch_取全体_Sheet2" xfId="2004"/>
    <cellStyle name="差_收入-ch_取全体_Sheet2 2" xfId="2005"/>
    <cellStyle name="差_收入-ch_取全体_全体D" xfId="2006"/>
    <cellStyle name="差_收入-ch_取全体_全体D 2" xfId="2007"/>
    <cellStyle name="差_收入-jp" xfId="2012"/>
    <cellStyle name="差_收入-jp 2" xfId="2013"/>
    <cellStyle name="差_收入-jp_1" xfId="2014"/>
    <cellStyle name="差_收入-jp_1 2" xfId="2015"/>
    <cellStyle name="差_收入-jp_全体D" xfId="2016"/>
    <cellStyle name="差_收入-jp_全体D 2" xfId="2017"/>
    <cellStyle name="差_汤达人（杯装碗装）" xfId="2019"/>
    <cellStyle name="差_问卷Ver1.0_ch" xfId="2029"/>
    <cellStyle name="差_问卷Ver1.0_ch 2" xfId="2030"/>
    <cellStyle name="差_问卷Ver1.0_ch_全体 (2)" xfId="2031"/>
    <cellStyle name="差_问卷Ver1.0_ch_全体 (2) 2" xfId="2032"/>
    <cellStyle name="差_问卷Ver-最终版" xfId="2033"/>
    <cellStyle name="差_问卷Ver-最终版 2" xfId="2034"/>
    <cellStyle name="差_问卷Ver-最终版_全体 (2)" xfId="2035"/>
    <cellStyle name="差_问卷Ver-最终版_全体 (2) 2" xfId="2036"/>
    <cellStyle name="差_相关" xfId="2020"/>
    <cellStyle name="差_相关 2" xfId="2021"/>
    <cellStyle name="差_转换率" xfId="2028"/>
    <cellStyle name="差_作業_PRETZ_4800_Ver1.1" xfId="1916"/>
    <cellStyle name="差_作業_PRETZ_4800_Ver1.1 2" xfId="1917"/>
    <cellStyle name="差_作業_PRETZ後測_4868_Ver1.0" xfId="1918"/>
    <cellStyle name="差_作業_PRETZ後測_4868_Ver1.0 2" xfId="1919"/>
    <cellStyle name="常规" xfId="0" builtinId="0"/>
    <cellStyle name="常规 10" xfId="24"/>
    <cellStyle name="常规 10 2" xfId="2037"/>
    <cellStyle name="常规 10 2 2" xfId="2038"/>
    <cellStyle name="常规 10 2 2 2" xfId="2039"/>
    <cellStyle name="常规 10 2 3" xfId="2040"/>
    <cellStyle name="常规 10 3" xfId="2041"/>
    <cellStyle name="常规 10 3 2" xfId="2042"/>
    <cellStyle name="常规 10 4" xfId="2043"/>
    <cellStyle name="常规 10 5" xfId="2044"/>
    <cellStyle name="常规 10 6" xfId="2045"/>
    <cellStyle name="常规 100" xfId="2046"/>
    <cellStyle name="常规 100 2" xfId="2047"/>
    <cellStyle name="常规 101" xfId="2048"/>
    <cellStyle name="常规 102" xfId="2049"/>
    <cellStyle name="常规 103" xfId="2050"/>
    <cellStyle name="常规 104" xfId="2051"/>
    <cellStyle name="常规 105" xfId="2052"/>
    <cellStyle name="常规 106" xfId="2053"/>
    <cellStyle name="常规 107" xfId="2054"/>
    <cellStyle name="常规 108" xfId="2055"/>
    <cellStyle name="常规 109" xfId="2056"/>
    <cellStyle name="常规 11" xfId="28"/>
    <cellStyle name="常规 11 2" xfId="2057"/>
    <cellStyle name="常规 11 2 2" xfId="2058"/>
    <cellStyle name="常规 11 3" xfId="2059"/>
    <cellStyle name="常规 11 4" xfId="2060"/>
    <cellStyle name="常规 110" xfId="2061"/>
    <cellStyle name="常规 111" xfId="2062"/>
    <cellStyle name="常规 112" xfId="7"/>
    <cellStyle name="常规 113" xfId="2063"/>
    <cellStyle name="常规 114" xfId="27"/>
    <cellStyle name="常规 12" xfId="2064"/>
    <cellStyle name="常规 12 2" xfId="2065"/>
    <cellStyle name="常规 12 2 2" xfId="2066"/>
    <cellStyle name="常规 12 2 2 2" xfId="2067"/>
    <cellStyle name="常规 12 2 3" xfId="2068"/>
    <cellStyle name="常规 12 2 4" xfId="2069"/>
    <cellStyle name="常规 12 2 5" xfId="2070"/>
    <cellStyle name="常规 12 3" xfId="2071"/>
    <cellStyle name="常规 12 3 2" xfId="2072"/>
    <cellStyle name="常规 12 3 3" xfId="2073"/>
    <cellStyle name="常规 12 4" xfId="2074"/>
    <cellStyle name="常规 12 5" xfId="2075"/>
    <cellStyle name="常规 12 6" xfId="2076"/>
    <cellStyle name="常规 12 7" xfId="2077"/>
    <cellStyle name="常规 13" xfId="2078"/>
    <cellStyle name="常规 13 2" xfId="2079"/>
    <cellStyle name="常规 13 2 2" xfId="2080"/>
    <cellStyle name="常规 13 2 3" xfId="2081"/>
    <cellStyle name="常规 13 3" xfId="2082"/>
    <cellStyle name="常规 13 4" xfId="2083"/>
    <cellStyle name="常规 13 5" xfId="2084"/>
    <cellStyle name="常规 13 6" xfId="2085"/>
    <cellStyle name="常规 13 7" xfId="2086"/>
    <cellStyle name="常规 14" xfId="2087"/>
    <cellStyle name="常规 14 2" xfId="2088"/>
    <cellStyle name="常规 14 2 2" xfId="2089"/>
    <cellStyle name="常规 14 2 3" xfId="2090"/>
    <cellStyle name="常规 14 2 4" xfId="2091"/>
    <cellStyle name="常规 14 3" xfId="2092"/>
    <cellStyle name="常规 14 4" xfId="2093"/>
    <cellStyle name="常规 14 5" xfId="2094"/>
    <cellStyle name="常规 14 6" xfId="2095"/>
    <cellStyle name="常规 14 7" xfId="2096"/>
    <cellStyle name="常规 15" xfId="2097"/>
    <cellStyle name="常规 15 2" xfId="2098"/>
    <cellStyle name="常规 15 2 2" xfId="2099"/>
    <cellStyle name="常规 15 2 3" xfId="2100"/>
    <cellStyle name="常规 15 3" xfId="2101"/>
    <cellStyle name="常规 15 4" xfId="2102"/>
    <cellStyle name="常规 15 5" xfId="2103"/>
    <cellStyle name="常规 16" xfId="2104"/>
    <cellStyle name="常规 16 2" xfId="2105"/>
    <cellStyle name="常规 16 2 2" xfId="2106"/>
    <cellStyle name="常规 16 2 3" xfId="2107"/>
    <cellStyle name="常规 16 3" xfId="2108"/>
    <cellStyle name="常规 16 4" xfId="2109"/>
    <cellStyle name="常规 16 5" xfId="2110"/>
    <cellStyle name="常规 17" xfId="2111"/>
    <cellStyle name="常规 17 2" xfId="2112"/>
    <cellStyle name="常规 17 2 2" xfId="2113"/>
    <cellStyle name="常规 17 2 2 2" xfId="2114"/>
    <cellStyle name="常规 17 2 3" xfId="2115"/>
    <cellStyle name="常规 17 2 4" xfId="2116"/>
    <cellStyle name="常规 17 2 5" xfId="2117"/>
    <cellStyle name="常规 17 3" xfId="2118"/>
    <cellStyle name="常规 17 3 2" xfId="2119"/>
    <cellStyle name="常规 17 3 3" xfId="2120"/>
    <cellStyle name="常规 17 4" xfId="2121"/>
    <cellStyle name="常规 17 5" xfId="2122"/>
    <cellStyle name="常规 17 6" xfId="2123"/>
    <cellStyle name="常规 18" xfId="2124"/>
    <cellStyle name="常规 18 2" xfId="2125"/>
    <cellStyle name="常规 18 2 2" xfId="2126"/>
    <cellStyle name="常规 18 2 3" xfId="2127"/>
    <cellStyle name="常规 18 3" xfId="2128"/>
    <cellStyle name="常规 18 4" xfId="2129"/>
    <cellStyle name="常规 18 5" xfId="2130"/>
    <cellStyle name="常规 19" xfId="4"/>
    <cellStyle name="常规 19 2" xfId="2131"/>
    <cellStyle name="常规 19 2 2" xfId="2132"/>
    <cellStyle name="常规 19 2 2 2" xfId="2133"/>
    <cellStyle name="常规 19 2 3" xfId="2134"/>
    <cellStyle name="常规 19 2 4" xfId="2135"/>
    <cellStyle name="常规 19 2 5" xfId="2136"/>
    <cellStyle name="常规 19 3" xfId="2137"/>
    <cellStyle name="常规 19 3 2" xfId="2138"/>
    <cellStyle name="常规 19 3 2 2" xfId="2139"/>
    <cellStyle name="常规 19 3 3" xfId="2140"/>
    <cellStyle name="常规 19 3 4" xfId="2141"/>
    <cellStyle name="常规 19 3 5" xfId="2142"/>
    <cellStyle name="常规 19 4" xfId="2143"/>
    <cellStyle name="常规 19 4 2" xfId="2144"/>
    <cellStyle name="常规 19 4 2 2" xfId="2145"/>
    <cellStyle name="常规 19 4 2 2 2" xfId="2146"/>
    <cellStyle name="常规 19 4 2 3" xfId="2147"/>
    <cellStyle name="常规 19 4 3" xfId="2148"/>
    <cellStyle name="常规 19 4 3 2" xfId="2149"/>
    <cellStyle name="常规 19 4 4" xfId="2150"/>
    <cellStyle name="常规 19 5" xfId="2151"/>
    <cellStyle name="常规 19 5 2" xfId="2152"/>
    <cellStyle name="常规 19 6" xfId="2153"/>
    <cellStyle name="常规 19 7" xfId="2154"/>
    <cellStyle name="常规 2" xfId="5"/>
    <cellStyle name="常规 2 10" xfId="2155"/>
    <cellStyle name="常规 2 11" xfId="2156"/>
    <cellStyle name="常规 2 12" xfId="2157"/>
    <cellStyle name="常规 2 13" xfId="2158"/>
    <cellStyle name="常规 2 14" xfId="2159"/>
    <cellStyle name="常规 2 15" xfId="2160"/>
    <cellStyle name="常规 2 16" xfId="2161"/>
    <cellStyle name="常规 2 2" xfId="14"/>
    <cellStyle name="常规 2 2 2" xfId="2162"/>
    <cellStyle name="常规 2 2 2 2" xfId="2163"/>
    <cellStyle name="常规 2 2 2 3" xfId="2164"/>
    <cellStyle name="常规 2 2 2 4" xfId="2165"/>
    <cellStyle name="常规 2 2 3" xfId="2166"/>
    <cellStyle name="常规 2 2 3 2" xfId="2167"/>
    <cellStyle name="常规 2 2 4" xfId="2168"/>
    <cellStyle name="常规 2 2 4 2" xfId="2169"/>
    <cellStyle name="常规 2 2 5" xfId="2170"/>
    <cellStyle name="常规 2 2 6" xfId="2171"/>
    <cellStyle name="常规 2 2 7" xfId="2172"/>
    <cellStyle name="常规 2 3" xfId="25"/>
    <cellStyle name="常规 2 3 2" xfId="2173"/>
    <cellStyle name="常规 2 3 3" xfId="2174"/>
    <cellStyle name="常规 2 3 4" xfId="2175"/>
    <cellStyle name="常规 2 3 5" xfId="2176"/>
    <cellStyle name="常规 2 4" xfId="2177"/>
    <cellStyle name="常规 2 4 2" xfId="2178"/>
    <cellStyle name="常规 2 4 3" xfId="2179"/>
    <cellStyle name="常规 2 4 4" xfId="2180"/>
    <cellStyle name="常规 2 4 5" xfId="2181"/>
    <cellStyle name="常规 2 5" xfId="2182"/>
    <cellStyle name="常规 2 5 2" xfId="2183"/>
    <cellStyle name="常规 2 5 2 2" xfId="2184"/>
    <cellStyle name="常规 2 5 2 2 2" xfId="2185"/>
    <cellStyle name="常规 2 5 2 3" xfId="2186"/>
    <cellStyle name="常规 2 5 2 4" xfId="2187"/>
    <cellStyle name="常规 2 5 2 5" xfId="2188"/>
    <cellStyle name="常规 2 5 3" xfId="2189"/>
    <cellStyle name="常规 2 5 3 2" xfId="2190"/>
    <cellStyle name="常规 2 5 3 2 2" xfId="2191"/>
    <cellStyle name="常规 2 5 3 3" xfId="2192"/>
    <cellStyle name="常规 2 5 4" xfId="2193"/>
    <cellStyle name="常规 2 5 4 2" xfId="2194"/>
    <cellStyle name="常规 2 5 4 2 2" xfId="2195"/>
    <cellStyle name="常规 2 5 4 2 2 2" xfId="2196"/>
    <cellStyle name="常规 2 5 4 2 3" xfId="2197"/>
    <cellStyle name="常规 2 5 4 2 3 2" xfId="2198"/>
    <cellStyle name="常规 2 5 4 2 4" xfId="2199"/>
    <cellStyle name="常规 2 5 4 2 4 2" xfId="2200"/>
    <cellStyle name="常规 2 5 4 2 5" xfId="2201"/>
    <cellStyle name="常规 2 5 4 3" xfId="2202"/>
    <cellStyle name="常规 2 5 4 3 2" xfId="2203"/>
    <cellStyle name="常规 2 5 4 4" xfId="2204"/>
    <cellStyle name="常规 2 5 4 4 2" xfId="2205"/>
    <cellStyle name="常规 2 5 4 5" xfId="2206"/>
    <cellStyle name="常规 2 5 4 5 2" xfId="2207"/>
    <cellStyle name="常规 2 5 4 6" xfId="2208"/>
    <cellStyle name="常规 2 5 4 6 2" xfId="2209"/>
    <cellStyle name="常规 2 5 4 7" xfId="2210"/>
    <cellStyle name="常规 2 5 5" xfId="2211"/>
    <cellStyle name="常规 2 5 5 2" xfId="2212"/>
    <cellStyle name="常规 2 5 6" xfId="2213"/>
    <cellStyle name="常规 2 5 7" xfId="2214"/>
    <cellStyle name="常规 2 5 8" xfId="2215"/>
    <cellStyle name="常规 2 6" xfId="2216"/>
    <cellStyle name="常规 2 6 2" xfId="2217"/>
    <cellStyle name="常规 2 6 3" xfId="2218"/>
    <cellStyle name="常规 2 6 4" xfId="2219"/>
    <cellStyle name="常规 2 7" xfId="2220"/>
    <cellStyle name="常规 2 7 2" xfId="2221"/>
    <cellStyle name="常规 2 7 3" xfId="2222"/>
    <cellStyle name="常规 2 8" xfId="2223"/>
    <cellStyle name="常规 2 8 2" xfId="2224"/>
    <cellStyle name="常规 2 9" xfId="2225"/>
    <cellStyle name="常规 2 9 2" xfId="2226"/>
    <cellStyle name="常规 2_17" xfId="2227"/>
    <cellStyle name="常规 20" xfId="2228"/>
    <cellStyle name="常规 20 2" xfId="2229"/>
    <cellStyle name="常规 20 2 2" xfId="2230"/>
    <cellStyle name="常规 20 2 2 2" xfId="2231"/>
    <cellStyle name="常规 20 2 3" xfId="2232"/>
    <cellStyle name="常规 20 2 4" xfId="2233"/>
    <cellStyle name="常规 20 2 5" xfId="2234"/>
    <cellStyle name="常规 20 3" xfId="2235"/>
    <cellStyle name="常规 20 3 2" xfId="2236"/>
    <cellStyle name="常规 20 3 2 2" xfId="2237"/>
    <cellStyle name="常规 20 3 3" xfId="2238"/>
    <cellStyle name="常规 20 4" xfId="2239"/>
    <cellStyle name="常规 20 4 2" xfId="2240"/>
    <cellStyle name="常规 20 4 3" xfId="2241"/>
    <cellStyle name="常规 20 4 4" xfId="2242"/>
    <cellStyle name="常规 20 5" xfId="2243"/>
    <cellStyle name="常规 20 6" xfId="2244"/>
    <cellStyle name="常规 20 7" xfId="2245"/>
    <cellStyle name="常规 21" xfId="2246"/>
    <cellStyle name="常规 21 2" xfId="2247"/>
    <cellStyle name="常规 21 2 2" xfId="2248"/>
    <cellStyle name="常规 21 2 2 2" xfId="2249"/>
    <cellStyle name="常规 21 2 3" xfId="2250"/>
    <cellStyle name="常规 21 2 4" xfId="2251"/>
    <cellStyle name="常规 21 2 5" xfId="2252"/>
    <cellStyle name="常规 21 3" xfId="2253"/>
    <cellStyle name="常规 21 3 2" xfId="2254"/>
    <cellStyle name="常规 21 3 2 2" xfId="2255"/>
    <cellStyle name="常规 21 3 3" xfId="2256"/>
    <cellStyle name="常规 21 3 4" xfId="2257"/>
    <cellStyle name="常规 21 3 5" xfId="2258"/>
    <cellStyle name="常规 21 4" xfId="2259"/>
    <cellStyle name="常规 21 4 2" xfId="2260"/>
    <cellStyle name="常规 21 4 2 2" xfId="2261"/>
    <cellStyle name="常规 21 4 3" xfId="2262"/>
    <cellStyle name="常规 21 4 4" xfId="2263"/>
    <cellStyle name="常规 21 4 5" xfId="2264"/>
    <cellStyle name="常规 21 5" xfId="2265"/>
    <cellStyle name="常规 21 5 2" xfId="2266"/>
    <cellStyle name="常规 21 6" xfId="2267"/>
    <cellStyle name="常规 21 7" xfId="2268"/>
    <cellStyle name="常规 21 8" xfId="2269"/>
    <cellStyle name="常规 22" xfId="2270"/>
    <cellStyle name="常规 22 2" xfId="2271"/>
    <cellStyle name="常规 22 2 2" xfId="2272"/>
    <cellStyle name="常规 22 3" xfId="2273"/>
    <cellStyle name="常规 22 4" xfId="2274"/>
    <cellStyle name="常规 22 5" xfId="2275"/>
    <cellStyle name="常规 23" xfId="2276"/>
    <cellStyle name="常规 23 2" xfId="2277"/>
    <cellStyle name="常规 23 2 2" xfId="2278"/>
    <cellStyle name="常规 23 3" xfId="2279"/>
    <cellStyle name="常规 23 4" xfId="2280"/>
    <cellStyle name="常规 23 5" xfId="2281"/>
    <cellStyle name="常规 24" xfId="2282"/>
    <cellStyle name="常规 24 2" xfId="2283"/>
    <cellStyle name="常规 24 2 2" xfId="2284"/>
    <cellStyle name="常规 24 3" xfId="2285"/>
    <cellStyle name="常规 24 4" xfId="2286"/>
    <cellStyle name="常规 24 5" xfId="2287"/>
    <cellStyle name="常规 25" xfId="2288"/>
    <cellStyle name="常规 25 2" xfId="2289"/>
    <cellStyle name="常规 25 2 2" xfId="2290"/>
    <cellStyle name="常规 25 3" xfId="2291"/>
    <cellStyle name="常规 25 4" xfId="2292"/>
    <cellStyle name="常规 25 5" xfId="2293"/>
    <cellStyle name="常规 26" xfId="2294"/>
    <cellStyle name="常规 26 2" xfId="2295"/>
    <cellStyle name="常规 26 3" xfId="2296"/>
    <cellStyle name="常规 27" xfId="2297"/>
    <cellStyle name="常规 27 2" xfId="2298"/>
    <cellStyle name="常规 27 2 2" xfId="2299"/>
    <cellStyle name="常规 27 3" xfId="2300"/>
    <cellStyle name="常规 27 4" xfId="2301"/>
    <cellStyle name="常规 28" xfId="15"/>
    <cellStyle name="常规 28 2" xfId="2302"/>
    <cellStyle name="常规 28 2 2" xfId="2303"/>
    <cellStyle name="常规 28 3" xfId="2304"/>
    <cellStyle name="常规 28 3 2" xfId="2305"/>
    <cellStyle name="常规 28 4" xfId="2306"/>
    <cellStyle name="常规 28 4 2" xfId="2307"/>
    <cellStyle name="常规 28 5" xfId="2308"/>
    <cellStyle name="常规 28 6" xfId="2309"/>
    <cellStyle name="常规 28 7" xfId="2310"/>
    <cellStyle name="常规 29" xfId="2311"/>
    <cellStyle name="常规 29 2" xfId="2312"/>
    <cellStyle name="常规 29 3" xfId="2313"/>
    <cellStyle name="常规 29 4" xfId="2314"/>
    <cellStyle name="常规 3" xfId="10"/>
    <cellStyle name="常规 3 10" xfId="8"/>
    <cellStyle name="常规 3 11" xfId="2315"/>
    <cellStyle name="常规 3 12" xfId="2316"/>
    <cellStyle name="常规 3 2" xfId="16"/>
    <cellStyle name="常规 3 2 2" xfId="2317"/>
    <cellStyle name="常规 3 2 2 2" xfId="2318"/>
    <cellStyle name="常规 3 2 3" xfId="2319"/>
    <cellStyle name="常规 3 2 3 2" xfId="2320"/>
    <cellStyle name="常规 3 2 4" xfId="2321"/>
    <cellStyle name="常规 3 2 5" xfId="2322"/>
    <cellStyle name="常规 3 2 6" xfId="2323"/>
    <cellStyle name="常规 3 2 7" xfId="2324"/>
    <cellStyle name="常规 3 3" xfId="26"/>
    <cellStyle name="常规 3 3 2" xfId="2325"/>
    <cellStyle name="常规 3 3 3" xfId="2326"/>
    <cellStyle name="常规 3 3 4" xfId="2327"/>
    <cellStyle name="常规 3 3 5" xfId="2328"/>
    <cellStyle name="常规 3 4" xfId="2329"/>
    <cellStyle name="常规 3 4 2" xfId="2330"/>
    <cellStyle name="常规 3 4 3" xfId="2331"/>
    <cellStyle name="常规 3 5" xfId="2332"/>
    <cellStyle name="常规 3 6" xfId="2333"/>
    <cellStyle name="常规 3 7" xfId="2334"/>
    <cellStyle name="常规 3 8" xfId="2335"/>
    <cellStyle name="常规 3 9" xfId="2336"/>
    <cellStyle name="常规 3_8" xfId="2337"/>
    <cellStyle name="常规 30" xfId="2338"/>
    <cellStyle name="常规 30 2" xfId="2339"/>
    <cellStyle name="常规 31" xfId="2340"/>
    <cellStyle name="常规 31 2" xfId="2341"/>
    <cellStyle name="常规 32" xfId="2342"/>
    <cellStyle name="常规 32 2" xfId="2343"/>
    <cellStyle name="常规 33" xfId="2344"/>
    <cellStyle name="常规 33 2" xfId="2345"/>
    <cellStyle name="常规 34" xfId="2346"/>
    <cellStyle name="常规 34 2" xfId="2347"/>
    <cellStyle name="常规 35" xfId="2348"/>
    <cellStyle name="常规 35 2" xfId="2349"/>
    <cellStyle name="常规 36" xfId="2350"/>
    <cellStyle name="常规 36 2" xfId="2351"/>
    <cellStyle name="常规 37" xfId="2352"/>
    <cellStyle name="常规 37 2" xfId="2353"/>
    <cellStyle name="常规 38" xfId="2354"/>
    <cellStyle name="常规 38 2" xfId="2355"/>
    <cellStyle name="常规 39" xfId="2356"/>
    <cellStyle name="常规 39 2" xfId="2357"/>
    <cellStyle name="常规 4" xfId="17"/>
    <cellStyle name="常规 4 10" xfId="2358"/>
    <cellStyle name="常规 4 11" xfId="2359"/>
    <cellStyle name="常规 4 2" xfId="2360"/>
    <cellStyle name="常规 4 2 2" xfId="2361"/>
    <cellStyle name="常规 4 2 2 2" xfId="2362"/>
    <cellStyle name="常规 4 2 2 2 2" xfId="2363"/>
    <cellStyle name="常规 4 2 2 3" xfId="2364"/>
    <cellStyle name="常规 4 2 2 4" xfId="2365"/>
    <cellStyle name="常规 4 2 2 5" xfId="2366"/>
    <cellStyle name="常规 4 2 3" xfId="2367"/>
    <cellStyle name="常规 4 2 3 2" xfId="2368"/>
    <cellStyle name="常规 4 2 4" xfId="2369"/>
    <cellStyle name="常规 4 2 5" xfId="2370"/>
    <cellStyle name="常规 4 2 6" xfId="2371"/>
    <cellStyle name="常规 4 3" xfId="2372"/>
    <cellStyle name="常规 4 3 2" xfId="2373"/>
    <cellStyle name="常规 4 4" xfId="2374"/>
    <cellStyle name="常规 4 4 2" xfId="2375"/>
    <cellStyle name="常规 4 4 3" xfId="2376"/>
    <cellStyle name="常规 4 5" xfId="2377"/>
    <cellStyle name="常规 4 5 2" xfId="2378"/>
    <cellStyle name="常规 4 6" xfId="2379"/>
    <cellStyle name="常规 4 7" xfId="2380"/>
    <cellStyle name="常规 4 8" xfId="2381"/>
    <cellStyle name="常规 4 9" xfId="2382"/>
    <cellStyle name="常规 40" xfId="2383"/>
    <cellStyle name="常规 40 2" xfId="2384"/>
    <cellStyle name="常规 41" xfId="2385"/>
    <cellStyle name="常规 41 2" xfId="2386"/>
    <cellStyle name="常规 42" xfId="2387"/>
    <cellStyle name="常规 42 2" xfId="2388"/>
    <cellStyle name="常规 43" xfId="2389"/>
    <cellStyle name="常规 43 2" xfId="2390"/>
    <cellStyle name="常规 44" xfId="2391"/>
    <cellStyle name="常规 44 2" xfId="2392"/>
    <cellStyle name="常规 45" xfId="2393"/>
    <cellStyle name="常规 45 2" xfId="2394"/>
    <cellStyle name="常规 46" xfId="2395"/>
    <cellStyle name="常规 46 2" xfId="2396"/>
    <cellStyle name="常规 47" xfId="2397"/>
    <cellStyle name="常规 47 2" xfId="2398"/>
    <cellStyle name="常规 48" xfId="2399"/>
    <cellStyle name="常规 48 2" xfId="2400"/>
    <cellStyle name="常规 49" xfId="2401"/>
    <cellStyle name="常规 49 2" xfId="2402"/>
    <cellStyle name="常规 5" xfId="18"/>
    <cellStyle name="常规 5 10" xfId="2"/>
    <cellStyle name="常规 5 2" xfId="2403"/>
    <cellStyle name="常规 5 2 2" xfId="2404"/>
    <cellStyle name="常规 5 2 2 2" xfId="2405"/>
    <cellStyle name="常规 5 2 3" xfId="2406"/>
    <cellStyle name="常规 5 2 4" xfId="2407"/>
    <cellStyle name="常规 5 2 5" xfId="2408"/>
    <cellStyle name="常规 5 2 6" xfId="2409"/>
    <cellStyle name="常规 5 2 7" xfId="2410"/>
    <cellStyle name="常规 5 3" xfId="2411"/>
    <cellStyle name="常规 5 3 2" xfId="2412"/>
    <cellStyle name="常规 5 4" xfId="2413"/>
    <cellStyle name="常规 5 4 2" xfId="2414"/>
    <cellStyle name="常规 5 5" xfId="2415"/>
    <cellStyle name="常规 5 5 2" xfId="2416"/>
    <cellStyle name="常规 5 6" xfId="2417"/>
    <cellStyle name="常规 5 7" xfId="2418"/>
    <cellStyle name="常规 5 8" xfId="2419"/>
    <cellStyle name="常规 5 9" xfId="2420"/>
    <cellStyle name="常规 50" xfId="2421"/>
    <cellStyle name="常规 50 2" xfId="2422"/>
    <cellStyle name="常规 51" xfId="2423"/>
    <cellStyle name="常规 51 2" xfId="2424"/>
    <cellStyle name="常规 52" xfId="2425"/>
    <cellStyle name="常规 52 2" xfId="2426"/>
    <cellStyle name="常规 53" xfId="2427"/>
    <cellStyle name="常规 53 2" xfId="2428"/>
    <cellStyle name="常规 54" xfId="2429"/>
    <cellStyle name="常规 54 2" xfId="2430"/>
    <cellStyle name="常规 54 2 2" xfId="2431"/>
    <cellStyle name="常规 54 3" xfId="2432"/>
    <cellStyle name="常规 55" xfId="2433"/>
    <cellStyle name="常规 55 2" xfId="2434"/>
    <cellStyle name="常规 56" xfId="2435"/>
    <cellStyle name="常规 56 2" xfId="2436"/>
    <cellStyle name="常规 57" xfId="2437"/>
    <cellStyle name="常规 57 2" xfId="2438"/>
    <cellStyle name="常规 57 3" xfId="2439"/>
    <cellStyle name="常规 58" xfId="2440"/>
    <cellStyle name="常规 58 2" xfId="2441"/>
    <cellStyle name="常规 58 3" xfId="2442"/>
    <cellStyle name="常规 59" xfId="2443"/>
    <cellStyle name="常规 59 2" xfId="2444"/>
    <cellStyle name="常规 59 3" xfId="2445"/>
    <cellStyle name="常规 6" xfId="19"/>
    <cellStyle name="常规 6 2" xfId="2446"/>
    <cellStyle name="常规 6 2 2" xfId="2447"/>
    <cellStyle name="常规 6 2 2 2" xfId="2448"/>
    <cellStyle name="常规 6 2 3" xfId="2449"/>
    <cellStyle name="常规 6 2 4" xfId="2450"/>
    <cellStyle name="常规 6 2 5" xfId="2451"/>
    <cellStyle name="常规 6 3" xfId="2452"/>
    <cellStyle name="常规 6 3 2" xfId="2453"/>
    <cellStyle name="常规 6 3 3" xfId="2454"/>
    <cellStyle name="常规 6 4" xfId="2455"/>
    <cellStyle name="常规 6 4 2" xfId="2456"/>
    <cellStyle name="常规 6 5" xfId="2457"/>
    <cellStyle name="常规 6 5 2" xfId="2458"/>
    <cellStyle name="常规 6 6" xfId="2459"/>
    <cellStyle name="常规 6 7" xfId="2460"/>
    <cellStyle name="常规 6 8" xfId="2461"/>
    <cellStyle name="常规 6 9" xfId="2462"/>
    <cellStyle name="常规 60" xfId="2463"/>
    <cellStyle name="常规 60 2" xfId="2464"/>
    <cellStyle name="常规 61" xfId="2465"/>
    <cellStyle name="常规 61 2" xfId="2466"/>
    <cellStyle name="常规 62" xfId="2467"/>
    <cellStyle name="常规 63" xfId="2468"/>
    <cellStyle name="常规 64" xfId="2469"/>
    <cellStyle name="常规 65" xfId="2470"/>
    <cellStyle name="常规 66" xfId="2471"/>
    <cellStyle name="常规 67" xfId="2472"/>
    <cellStyle name="常规 68" xfId="2473"/>
    <cellStyle name="常规 69" xfId="2474"/>
    <cellStyle name="常规 69 2" xfId="2475"/>
    <cellStyle name="常规 69 2 2" xfId="2476"/>
    <cellStyle name="常规 69 3" xfId="2477"/>
    <cellStyle name="常规 7" xfId="20"/>
    <cellStyle name="常规 7 2" xfId="2478"/>
    <cellStyle name="常规 7 2 2" xfId="2479"/>
    <cellStyle name="常规 7 2 2 2" xfId="2480"/>
    <cellStyle name="常规 7 2 2 2 2" xfId="2481"/>
    <cellStyle name="常规 7 2 2 3" xfId="2482"/>
    <cellStyle name="常规 7 2 3" xfId="2483"/>
    <cellStyle name="常规 7 2 3 2" xfId="2484"/>
    <cellStyle name="常规 7 2 4" xfId="2485"/>
    <cellStyle name="常规 7 2 5" xfId="2486"/>
    <cellStyle name="常规 7 3" xfId="2487"/>
    <cellStyle name="常规 7 3 2" xfId="2488"/>
    <cellStyle name="常规 7 3 3" xfId="2489"/>
    <cellStyle name="常规 7 4" xfId="2490"/>
    <cellStyle name="常规 7 4 2" xfId="2491"/>
    <cellStyle name="常规 7 5" xfId="2492"/>
    <cellStyle name="常规 7 5 2" xfId="2493"/>
    <cellStyle name="常规 7 6" xfId="2494"/>
    <cellStyle name="常规 7 7" xfId="2495"/>
    <cellStyle name="常规 7 8" xfId="2496"/>
    <cellStyle name="常规 70" xfId="2497"/>
    <cellStyle name="常规 70 2" xfId="2498"/>
    <cellStyle name="常规 70 2 2" xfId="2499"/>
    <cellStyle name="常规 70 3" xfId="2500"/>
    <cellStyle name="常规 71" xfId="2501"/>
    <cellStyle name="常规 71 2" xfId="2502"/>
    <cellStyle name="常规 71 2 2" xfId="2503"/>
    <cellStyle name="常规 71 3" xfId="2504"/>
    <cellStyle name="常规 72" xfId="2505"/>
    <cellStyle name="常规 72 2" xfId="2506"/>
    <cellStyle name="常规 72 2 2" xfId="2507"/>
    <cellStyle name="常规 72 3" xfId="2508"/>
    <cellStyle name="常规 73" xfId="2509"/>
    <cellStyle name="常规 73 2" xfId="2510"/>
    <cellStyle name="常规 73 2 2" xfId="2511"/>
    <cellStyle name="常规 73 3" xfId="2512"/>
    <cellStyle name="常规 74" xfId="2513"/>
    <cellStyle name="常规 74 2" xfId="2514"/>
    <cellStyle name="常规 74 3" xfId="2515"/>
    <cellStyle name="常规 74 4" xfId="2516"/>
    <cellStyle name="常规 74 5" xfId="2517"/>
    <cellStyle name="常规 75" xfId="2518"/>
    <cellStyle name="常规 75 2" xfId="2519"/>
    <cellStyle name="常规 75 2 2" xfId="2520"/>
    <cellStyle name="常规 75 2 3" xfId="2521"/>
    <cellStyle name="常规 75 3" xfId="2522"/>
    <cellStyle name="常规 75 4" xfId="2523"/>
    <cellStyle name="常规 76" xfId="2524"/>
    <cellStyle name="常规 76 2" xfId="2525"/>
    <cellStyle name="常规 76 3" xfId="2526"/>
    <cellStyle name="常规 77" xfId="2527"/>
    <cellStyle name="常规 77 2" xfId="2528"/>
    <cellStyle name="常规 78" xfId="2529"/>
    <cellStyle name="常规 78 2" xfId="2530"/>
    <cellStyle name="常规 79" xfId="2531"/>
    <cellStyle name="常规 79 2" xfId="2532"/>
    <cellStyle name="常规 8" xfId="11"/>
    <cellStyle name="常规 8 2" xfId="2533"/>
    <cellStyle name="常规 8 2 2" xfId="2534"/>
    <cellStyle name="常规 8 2 2 2" xfId="2535"/>
    <cellStyle name="常规 8 2 2 2 2" xfId="2536"/>
    <cellStyle name="常规 8 2 2 3" xfId="2537"/>
    <cellStyle name="常规 8 2 2 4" xfId="2538"/>
    <cellStyle name="常规 8 2 2 5" xfId="2539"/>
    <cellStyle name="常规 8 2 3" xfId="2540"/>
    <cellStyle name="常规 8 2 3 2" xfId="2541"/>
    <cellStyle name="常规 8 2 4" xfId="2542"/>
    <cellStyle name="常规 8 2 5" xfId="2543"/>
    <cellStyle name="常规 8 2 6" xfId="2544"/>
    <cellStyle name="常规 8 3" xfId="2545"/>
    <cellStyle name="常规 8 3 2" xfId="2546"/>
    <cellStyle name="常规 8 3 2 2" xfId="2547"/>
    <cellStyle name="常规 8 3 3" xfId="2548"/>
    <cellStyle name="常规 8 3 4" xfId="2549"/>
    <cellStyle name="常规 8 3 5" xfId="2550"/>
    <cellStyle name="常规 8 4" xfId="2551"/>
    <cellStyle name="常规 8 4 2" xfId="2552"/>
    <cellStyle name="常规 8 5" xfId="2553"/>
    <cellStyle name="常规 8 6" xfId="2554"/>
    <cellStyle name="常规 8 7" xfId="2555"/>
    <cellStyle name="常规 8 8" xfId="2556"/>
    <cellStyle name="常规 80" xfId="2557"/>
    <cellStyle name="常规 80 2" xfId="2558"/>
    <cellStyle name="常规 81" xfId="2559"/>
    <cellStyle name="常规 81 2" xfId="2560"/>
    <cellStyle name="常规 81 3" xfId="2561"/>
    <cellStyle name="常规 82" xfId="2562"/>
    <cellStyle name="常规 82 2" xfId="2563"/>
    <cellStyle name="常规 82 3" xfId="2564"/>
    <cellStyle name="常规 82 4" xfId="2565"/>
    <cellStyle name="常规 83" xfId="2566"/>
    <cellStyle name="常规 83 2" xfId="2567"/>
    <cellStyle name="常规 83 3" xfId="2568"/>
    <cellStyle name="常规 83 4" xfId="2569"/>
    <cellStyle name="常规 84" xfId="2570"/>
    <cellStyle name="常规 84 2" xfId="2571"/>
    <cellStyle name="常规 84 3" xfId="2572"/>
    <cellStyle name="常规 84 4" xfId="2573"/>
    <cellStyle name="常规 85" xfId="2574"/>
    <cellStyle name="常规 85 2" xfId="2575"/>
    <cellStyle name="常规 85 3" xfId="2576"/>
    <cellStyle name="常规 85 4" xfId="2577"/>
    <cellStyle name="常规 86" xfId="2578"/>
    <cellStyle name="常规 86 2" xfId="2579"/>
    <cellStyle name="常规 86 3" xfId="2580"/>
    <cellStyle name="常规 86 4" xfId="2581"/>
    <cellStyle name="常规 87" xfId="2582"/>
    <cellStyle name="常规 87 2" xfId="2583"/>
    <cellStyle name="常规 88" xfId="2584"/>
    <cellStyle name="常规 88 2" xfId="2585"/>
    <cellStyle name="常规 89" xfId="2586"/>
    <cellStyle name="常规 89 2" xfId="2587"/>
    <cellStyle name="常规 9" xfId="21"/>
    <cellStyle name="常规 9 10" xfId="2588"/>
    <cellStyle name="常规 9 2" xfId="2589"/>
    <cellStyle name="常规 9 2 2" xfId="2590"/>
    <cellStyle name="常规 9 2 2 2" xfId="2591"/>
    <cellStyle name="常规 9 2 2 2 2" xfId="2592"/>
    <cellStyle name="常规 9 2 2 3" xfId="2593"/>
    <cellStyle name="常规 9 2 2 4" xfId="2594"/>
    <cellStyle name="常规 9 2 2 5" xfId="2595"/>
    <cellStyle name="常规 9 2 3" xfId="2596"/>
    <cellStyle name="常规 9 2 3 2" xfId="2597"/>
    <cellStyle name="常规 9 2 4" xfId="2598"/>
    <cellStyle name="常规 9 2 5" xfId="2599"/>
    <cellStyle name="常规 9 2 6" xfId="2600"/>
    <cellStyle name="常规 9 3" xfId="2601"/>
    <cellStyle name="常规 9 3 2" xfId="2602"/>
    <cellStyle name="常规 9 3 2 2" xfId="2603"/>
    <cellStyle name="常规 9 3 2 2 2" xfId="2604"/>
    <cellStyle name="常规 9 3 2 3" xfId="2605"/>
    <cellStyle name="常规 9 3 2 4" xfId="2606"/>
    <cellStyle name="常规 9 3 2 5" xfId="2607"/>
    <cellStyle name="常规 9 3 3" xfId="2608"/>
    <cellStyle name="常规 9 3 3 2" xfId="2609"/>
    <cellStyle name="常规 9 3 4" xfId="2610"/>
    <cellStyle name="常规 9 3 5" xfId="2611"/>
    <cellStyle name="常规 9 3 6" xfId="2612"/>
    <cellStyle name="常规 9 4" xfId="2613"/>
    <cellStyle name="常规 9 4 2" xfId="2614"/>
    <cellStyle name="常规 9 4 2 2" xfId="2615"/>
    <cellStyle name="常规 9 4 2 2 2" xfId="2616"/>
    <cellStyle name="常规 9 4 2 2 2 2" xfId="2617"/>
    <cellStyle name="常规 9 4 2 2 2 2 2" xfId="2618"/>
    <cellStyle name="常规 9 4 2 2 2 2 2 2" xfId="2619"/>
    <cellStyle name="常规 9 4 2 2 2 2 3" xfId="2620"/>
    <cellStyle name="常规 9 4 2 2 2 2 4" xfId="2621"/>
    <cellStyle name="常规 9 4 2 2 2 2 5" xfId="2622"/>
    <cellStyle name="常规 9 4 2 2 2 3" xfId="2623"/>
    <cellStyle name="常规 9 4 2 2 2 3 2" xfId="2624"/>
    <cellStyle name="常规 9 4 2 2 2 4" xfId="2625"/>
    <cellStyle name="常规 9 4 2 2 2 5" xfId="2626"/>
    <cellStyle name="常规 9 4 2 2 2 6" xfId="2627"/>
    <cellStyle name="常规 9 4 2 2 3" xfId="2628"/>
    <cellStyle name="常规 9 4 2 2 3 2" xfId="2629"/>
    <cellStyle name="常规 9 4 2 2 4" xfId="2630"/>
    <cellStyle name="常规 9 4 2 2 5" xfId="2631"/>
    <cellStyle name="常规 9 4 2 2 6" xfId="2632"/>
    <cellStyle name="常规 9 4 2 3" xfId="2633"/>
    <cellStyle name="常规 9 4 2 3 2" xfId="2634"/>
    <cellStyle name="常规 9 4 2 4" xfId="2635"/>
    <cellStyle name="常规 9 4 2 5" xfId="2636"/>
    <cellStyle name="常规 9 4 2 6" xfId="2637"/>
    <cellStyle name="常规 9 4 3" xfId="2638"/>
    <cellStyle name="常规 9 4 3 2" xfId="2639"/>
    <cellStyle name="常规 9 4 4" xfId="2640"/>
    <cellStyle name="常规 9 4 5" xfId="2641"/>
    <cellStyle name="常规 9 4 6" xfId="2642"/>
    <cellStyle name="常规 9 5" xfId="2643"/>
    <cellStyle name="常规 9 5 2" xfId="2644"/>
    <cellStyle name="常规 9 5 2 2" xfId="2645"/>
    <cellStyle name="常规 9 5 3" xfId="2646"/>
    <cellStyle name="常规 9 5 4" xfId="2647"/>
    <cellStyle name="常规 9 5 5" xfId="2648"/>
    <cellStyle name="常规 9 6" xfId="2649"/>
    <cellStyle name="常规 9 6 2" xfId="2650"/>
    <cellStyle name="常规 9 6 2 2" xfId="2651"/>
    <cellStyle name="常规 9 6 2 2 2" xfId="2652"/>
    <cellStyle name="常规 9 6 2 2 2 2" xfId="2653"/>
    <cellStyle name="常规 9 6 2 2 2 2 2" xfId="2654"/>
    <cellStyle name="常规 9 6 2 2 2 3" xfId="2655"/>
    <cellStyle name="常规 9 6 2 2 2 4" xfId="2656"/>
    <cellStyle name="常规 9 6 2 2 2 5" xfId="2657"/>
    <cellStyle name="常规 9 6 2 2 3" xfId="2658"/>
    <cellStyle name="常规 9 6 2 2 3 2" xfId="2659"/>
    <cellStyle name="常规 9 6 2 2 4" xfId="2660"/>
    <cellStyle name="常规 9 6 2 2 5" xfId="2661"/>
    <cellStyle name="常规 9 6 2 2 6" xfId="2662"/>
    <cellStyle name="常规 9 6 2 3" xfId="2663"/>
    <cellStyle name="常规 9 6 2 3 2" xfId="2664"/>
    <cellStyle name="常规 9 6 2 4" xfId="2665"/>
    <cellStyle name="常规 9 6 2 5" xfId="2666"/>
    <cellStyle name="常规 9 6 2 6" xfId="2667"/>
    <cellStyle name="常规 9 6 3" xfId="2668"/>
    <cellStyle name="常规 9 6 3 2" xfId="2669"/>
    <cellStyle name="常规 9 6 4" xfId="2670"/>
    <cellStyle name="常规 9 6 5" xfId="2671"/>
    <cellStyle name="常规 9 6 6" xfId="2672"/>
    <cellStyle name="常规 9 7" xfId="2673"/>
    <cellStyle name="常规 9 7 2" xfId="2674"/>
    <cellStyle name="常规 9 7 3" xfId="2675"/>
    <cellStyle name="常规 9 8" xfId="2676"/>
    <cellStyle name="常规 9 9" xfId="2677"/>
    <cellStyle name="常规 90" xfId="2678"/>
    <cellStyle name="常规 91" xfId="2679"/>
    <cellStyle name="常规 92" xfId="2680"/>
    <cellStyle name="常规 93" xfId="2681"/>
    <cellStyle name="常规 94" xfId="2682"/>
    <cellStyle name="常规 95" xfId="2683"/>
    <cellStyle name="常规 96" xfId="2684"/>
    <cellStyle name="常规 97" xfId="2685"/>
    <cellStyle name="常规 98" xfId="2686"/>
    <cellStyle name="常规 99" xfId="2687"/>
    <cellStyle name="常规 99 2" xfId="2688"/>
    <cellStyle name="常规_3262_報告書作業_详细_20100202" xfId="6"/>
    <cellStyle name="常规_報告書作成_詳細20100116" xfId="3"/>
    <cellStyle name="超链接" xfId="1" builtinId="8"/>
    <cellStyle name="超链接 10" xfId="3027"/>
    <cellStyle name="超链接 11" xfId="3028"/>
    <cellStyle name="超链接 2" xfId="3029"/>
    <cellStyle name="超链接 2 2" xfId="3030"/>
    <cellStyle name="超链接 2 2 2" xfId="3031"/>
    <cellStyle name="超链接 2 2 2 2" xfId="3032"/>
    <cellStyle name="超链接 2 3" xfId="3033"/>
    <cellStyle name="超链接 2 3 2" xfId="3034"/>
    <cellStyle name="超链接 2 4" xfId="3035"/>
    <cellStyle name="超链接 2 5" xfId="3036"/>
    <cellStyle name="超链接 2_汤达人（杯装碗装）" xfId="3037"/>
    <cellStyle name="超链接 3" xfId="3038"/>
    <cellStyle name="超链接 3 2" xfId="3039"/>
    <cellStyle name="超链接 3 2 2" xfId="3040"/>
    <cellStyle name="超链接 4" xfId="3041"/>
    <cellStyle name="超链接 4 2" xfId="3042"/>
    <cellStyle name="超链接 4 2 2" xfId="3043"/>
    <cellStyle name="超链接 5" xfId="3044"/>
    <cellStyle name="超链接 5 2" xfId="3045"/>
    <cellStyle name="超链接 5 3" xfId="3046"/>
    <cellStyle name="超链接 6" xfId="3047"/>
    <cellStyle name="超链接 6 2" xfId="3048"/>
    <cellStyle name="超链接 6 3" xfId="3049"/>
    <cellStyle name="超链接 7" xfId="3050"/>
    <cellStyle name="超链接 7 2" xfId="3051"/>
    <cellStyle name="超链接 8" xfId="3052"/>
    <cellStyle name="超链接 8 2" xfId="3053"/>
    <cellStyle name="超链接 9" xfId="3054"/>
    <cellStyle name="出力" xfId="525"/>
    <cellStyle name="出力 2" xfId="526"/>
    <cellStyle name="出力 2 2" xfId="527"/>
    <cellStyle name="出力 2 3" xfId="528"/>
    <cellStyle name="出力 2 4" xfId="529"/>
    <cellStyle name="出力 2 5" xfId="530"/>
    <cellStyle name="出力 3" xfId="531"/>
    <cellStyle name="出力 3 2" xfId="532"/>
    <cellStyle name="出力 3 3" xfId="533"/>
    <cellStyle name="出力 3 4" xfId="534"/>
    <cellStyle name="出力 3 5" xfId="535"/>
    <cellStyle name="出力 4" xfId="536"/>
    <cellStyle name="出力 4 2" xfId="537"/>
    <cellStyle name="出力 5" xfId="538"/>
    <cellStyle name="悪い" xfId="2731"/>
    <cellStyle name="悪い 2" xfId="2732"/>
    <cellStyle name="悪い 2 2" xfId="2733"/>
    <cellStyle name="悪い 2 3" xfId="2734"/>
    <cellStyle name="悪い 3" xfId="2735"/>
    <cellStyle name="悪い 3 2" xfId="2736"/>
    <cellStyle name="悪い 4" xfId="2737"/>
    <cellStyle name="輔色1" xfId="3055"/>
    <cellStyle name="輔色1 2" xfId="3056"/>
    <cellStyle name="輔色2" xfId="3057"/>
    <cellStyle name="輔色2 2" xfId="3058"/>
    <cellStyle name="輔色3" xfId="3059"/>
    <cellStyle name="輔色3 2" xfId="3060"/>
    <cellStyle name="輔色4" xfId="3061"/>
    <cellStyle name="輔色4 2" xfId="3062"/>
    <cellStyle name="輔色5" xfId="3063"/>
    <cellStyle name="輔色5 2" xfId="3064"/>
    <cellStyle name="輔色6" xfId="3065"/>
    <cellStyle name="輔色6 2" xfId="3066"/>
    <cellStyle name="나쁨" xfId="469"/>
    <cellStyle name="好 2" xfId="620"/>
    <cellStyle name="好 2 2" xfId="621"/>
    <cellStyle name="好 2 2 2" xfId="622"/>
    <cellStyle name="好 2 3" xfId="623"/>
    <cellStyle name="好 2 4" xfId="624"/>
    <cellStyle name="好 3" xfId="625"/>
    <cellStyle name="好 3 2" xfId="626"/>
    <cellStyle name="好_％" xfId="627"/>
    <cellStyle name="好_2.1细 (2)" xfId="628"/>
    <cellStyle name="好_2.1细 (2) 2" xfId="629"/>
    <cellStyle name="好_2.1细 (2)_Sheet1" xfId="630"/>
    <cellStyle name="好_2.1细 (2)_Sheet1 2" xfId="631"/>
    <cellStyle name="好_2.1细 (2)_全体" xfId="632"/>
    <cellStyle name="好_2.1细 (2)_全体 (2)" xfId="633"/>
    <cellStyle name="好_2.1细 (2)_全体 (2) 2" xfId="634"/>
    <cellStyle name="好_2.1细 (2)_全体 2" xfId="635"/>
    <cellStyle name="好_2.1细 (2)_全体D" xfId="636"/>
    <cellStyle name="好_2.1细 (2)_全体D 2" xfId="637"/>
    <cellStyle name="好_4849_Survey" xfId="638"/>
    <cellStyle name="好_4849_Survey 2" xfId="639"/>
    <cellStyle name="好_8D" xfId="640"/>
    <cellStyle name="好_8D 2" xfId="641"/>
    <cellStyle name="好_A1" xfId="642"/>
    <cellStyle name="好_A1 2" xfId="643"/>
    <cellStyle name="好_A1_1" xfId="644"/>
    <cellStyle name="好_A1_1 2" xfId="645"/>
    <cellStyle name="好_A1_1_全体D" xfId="646"/>
    <cellStyle name="好_A1_1_全体D 2" xfId="647"/>
    <cellStyle name="好_A1_A3" xfId="648"/>
    <cellStyle name="好_A1_A3 2" xfId="649"/>
    <cellStyle name="好_A1_A3_全体D" xfId="650"/>
    <cellStyle name="好_A1_A3_全体D 2" xfId="651"/>
    <cellStyle name="好_A1_Sheet1" xfId="652"/>
    <cellStyle name="好_A1_Sheet1 2" xfId="653"/>
    <cellStyle name="好_A1_全体" xfId="654"/>
    <cellStyle name="好_A1_全体 (2)" xfId="655"/>
    <cellStyle name="好_A1_全体 (2) 2" xfId="656"/>
    <cellStyle name="好_A1_全体 2" xfId="657"/>
    <cellStyle name="好_A1_全体D" xfId="658"/>
    <cellStyle name="好_A1_全体D 2" xfId="659"/>
    <cellStyle name="好_A10" xfId="660"/>
    <cellStyle name="好_A10 2" xfId="661"/>
    <cellStyle name="好_A10_全体D" xfId="662"/>
    <cellStyle name="好_A10_全体D 2" xfId="663"/>
    <cellStyle name="好_A2佳能" xfId="672"/>
    <cellStyle name="好_A2佳能 2" xfId="673"/>
    <cellStyle name="好_A2佳能_全体D" xfId="674"/>
    <cellStyle name="好_A2佳能_全体D 2" xfId="675"/>
    <cellStyle name="好_A2精" xfId="688"/>
    <cellStyle name="好_A2精 2" xfId="689"/>
    <cellStyle name="好_A2精_全体D" xfId="690"/>
    <cellStyle name="好_A2精_全体D 2" xfId="691"/>
    <cellStyle name="好_A2卡" xfId="676"/>
    <cellStyle name="好_A2卡 2" xfId="677"/>
    <cellStyle name="好_A2卡_全体D" xfId="678"/>
    <cellStyle name="好_A2卡_全体D 2" xfId="679"/>
    <cellStyle name="好_A2三" xfId="664"/>
    <cellStyle name="好_A2三 (2)" xfId="665"/>
    <cellStyle name="好_A2三 (2) 2" xfId="666"/>
    <cellStyle name="好_A2三 (2)_全体D" xfId="667"/>
    <cellStyle name="好_A2三 (2)_全体D 2" xfId="668"/>
    <cellStyle name="好_A2三 2" xfId="669"/>
    <cellStyle name="好_A2三_全体D" xfId="670"/>
    <cellStyle name="好_A2三_全体D 2" xfId="671"/>
    <cellStyle name="好_A2松" xfId="684"/>
    <cellStyle name="好_A2松 2" xfId="685"/>
    <cellStyle name="好_A2松_全体D" xfId="686"/>
    <cellStyle name="好_A2松_全体D 2" xfId="687"/>
    <cellStyle name="好_A2索" xfId="692"/>
    <cellStyle name="好_A2索 2" xfId="693"/>
    <cellStyle name="好_A2索_全体D" xfId="694"/>
    <cellStyle name="好_A2索_全体D 2" xfId="695"/>
    <cellStyle name="好_A2西" xfId="696"/>
    <cellStyle name="好_A2西 2" xfId="697"/>
    <cellStyle name="好_A2西_全体D" xfId="698"/>
    <cellStyle name="好_A2西_全体D 2" xfId="699"/>
    <cellStyle name="好_A2夏" xfId="680"/>
    <cellStyle name="好_A2夏 2" xfId="681"/>
    <cellStyle name="好_A2夏_全体D" xfId="682"/>
    <cellStyle name="好_A2夏_全体D 2" xfId="683"/>
    <cellStyle name="好_A3" xfId="700"/>
    <cellStyle name="好_A4-2b" xfId="701"/>
    <cellStyle name="好_A4-2b 2" xfId="702"/>
    <cellStyle name="好_A4-2b_Sheet1" xfId="703"/>
    <cellStyle name="好_A4-2b_Sheet1 2" xfId="704"/>
    <cellStyle name="好_A4-2b_全体" xfId="705"/>
    <cellStyle name="好_A4-2b_全体 (2)" xfId="706"/>
    <cellStyle name="好_A4-2b_全体 (2) 2" xfId="707"/>
    <cellStyle name="好_A4-2b_全体 2" xfId="708"/>
    <cellStyle name="好_A4-2b_全体D" xfId="709"/>
    <cellStyle name="好_A4-2b_全体D 2" xfId="710"/>
    <cellStyle name="好_A45" xfId="711"/>
    <cellStyle name="好_A45 2" xfId="712"/>
    <cellStyle name="好_A45_全体D" xfId="713"/>
    <cellStyle name="好_A45_全体D 2" xfId="714"/>
    <cellStyle name="好_A52细" xfId="715"/>
    <cellStyle name="好_A6-5" xfId="716"/>
    <cellStyle name="好_A6-5 2" xfId="717"/>
    <cellStyle name="好_A6-5_Sheet1" xfId="718"/>
    <cellStyle name="好_A6-5_Sheet1 2" xfId="719"/>
    <cellStyle name="好_A6-5_全体" xfId="720"/>
    <cellStyle name="好_A6-5_全体 (2)" xfId="721"/>
    <cellStyle name="好_A6-5_全体 (2) 2" xfId="722"/>
    <cellStyle name="好_A6-5_全体 2" xfId="723"/>
    <cellStyle name="好_A6-5_全体D" xfId="724"/>
    <cellStyle name="好_A6-5_全体D 2" xfId="725"/>
    <cellStyle name="好_A8 (2)" xfId="726"/>
    <cellStyle name="好_A8 (2) 2" xfId="727"/>
    <cellStyle name="好_A8 (2)_Raw" xfId="728"/>
    <cellStyle name="好_A8 (2)_Raw 2" xfId="729"/>
    <cellStyle name="好_A8 (2)_Raw_全体D" xfId="734"/>
    <cellStyle name="好_A8 (2)_Raw_全体D 2" xfId="735"/>
    <cellStyle name="好_A8 (2)_Raw_作業_BridgeStone_4292_20121022" xfId="730"/>
    <cellStyle name="好_A8 (2)_Raw_作業_BridgeStone_4292_20121022 2" xfId="731"/>
    <cellStyle name="好_A8 (2)_Raw_作業_BridgeStone_4292_20121022_全体D" xfId="732"/>
    <cellStyle name="好_A8 (2)_Raw_作業_BridgeStone_4292_20121022_全体D 2" xfId="733"/>
    <cellStyle name="好_A8 (2)_全体D" xfId="740"/>
    <cellStyle name="好_A8 (2)_全体D 2" xfId="741"/>
    <cellStyle name="好_A8 (2)_作業_BridgeStone_4292_20121022" xfId="736"/>
    <cellStyle name="好_A8 (2)_作業_BridgeStone_4292_20121022 2" xfId="737"/>
    <cellStyle name="好_A8 (2)_作業_BridgeStone_4292_20121022_全体D" xfId="738"/>
    <cellStyle name="好_A8 (2)_作業_BridgeStone_4292_20121022_全体D 2" xfId="739"/>
    <cellStyle name="好_A9 (2)" xfId="742"/>
    <cellStyle name="好_BD" xfId="743"/>
    <cellStyle name="好_BD 2" xfId="744"/>
    <cellStyle name="好_BD 2 2" xfId="745"/>
    <cellStyle name="好_BD 3" xfId="746"/>
    <cellStyle name="好_Book2" xfId="747"/>
    <cellStyle name="好_Book2 2" xfId="748"/>
    <cellStyle name="好_Book2_全体D" xfId="749"/>
    <cellStyle name="好_Book2_全体D 2" xfId="750"/>
    <cellStyle name="好_Book21" xfId="751"/>
    <cellStyle name="好_Book21 2" xfId="752"/>
    <cellStyle name="好_Book21_全体D" xfId="753"/>
    <cellStyle name="好_Book21_全体D 2" xfId="754"/>
    <cellStyle name="好_Book6" xfId="755"/>
    <cellStyle name="好_COPY-最终报告用 2段累积图" xfId="756"/>
    <cellStyle name="好_COPY-最终报告用 2段累积图 2" xfId="757"/>
    <cellStyle name="好_COPY-最终报告用 2段累积图_全体D" xfId="758"/>
    <cellStyle name="好_COPY-最终报告用 2段累积图_全体D 2" xfId="759"/>
    <cellStyle name="好_COPY-最终报告用 exl-2010-" xfId="760"/>
    <cellStyle name="好_COPY-最终报告用 exl-2010- 2" xfId="761"/>
    <cellStyle name="好_COPY-最终报告用 exl-2010-_全体D" xfId="762"/>
    <cellStyle name="好_COPY-最终报告用 exl-2010-_全体D 2" xfId="763"/>
    <cellStyle name="好_FS" xfId="764"/>
    <cellStyle name="好_FS 2" xfId="765"/>
    <cellStyle name="好_Ma③" xfId="766"/>
    <cellStyle name="好_Ma③ 2" xfId="767"/>
    <cellStyle name="好_Ma③_全体D" xfId="768"/>
    <cellStyle name="好_Ma③_全体D 2" xfId="769"/>
    <cellStyle name="好_Proc" xfId="770"/>
    <cellStyle name="好_Proc 2" xfId="771"/>
    <cellStyle name="好_Proc_1" xfId="772"/>
    <cellStyle name="好_Proc_1 2" xfId="773"/>
    <cellStyle name="好_Proc_Proc" xfId="774"/>
    <cellStyle name="好_Proc_Proc 2" xfId="775"/>
    <cellStyle name="好_Q12" xfId="776"/>
    <cellStyle name="好_Q12 (2)" xfId="777"/>
    <cellStyle name="好_Q12 (2) 2" xfId="778"/>
    <cellStyle name="好_Q12 (2)_全体D" xfId="779"/>
    <cellStyle name="好_Q12 (2)_全体D 2" xfId="780"/>
    <cellStyle name="好_Q14" xfId="781"/>
    <cellStyle name="好_Q15" xfId="782"/>
    <cellStyle name="好_Q18" xfId="783"/>
    <cellStyle name="好_Q5-1细分" xfId="784"/>
    <cellStyle name="好_Q5-1细分 2" xfId="785"/>
    <cellStyle name="好_Q5-1细分_全体D" xfId="786"/>
    <cellStyle name="好_Q5-1细分_全体D 2" xfId="787"/>
    <cellStyle name="好_Q5-2细分" xfId="788"/>
    <cellStyle name="好_Q5-2细分 2" xfId="789"/>
    <cellStyle name="好_Q5-2细分_全体D" xfId="790"/>
    <cellStyle name="好_Q5-2细分_全体D 2" xfId="791"/>
    <cellStyle name="好_Q6" xfId="792"/>
    <cellStyle name="好_Q6 2" xfId="793"/>
    <cellStyle name="好_Q6_全体D" xfId="794"/>
    <cellStyle name="好_Q6_全体D 2" xfId="795"/>
    <cellStyle name="好_Q6-1-2子" xfId="796"/>
    <cellStyle name="好_Q6-1-2子 2" xfId="797"/>
    <cellStyle name="好_Q6-1-2子_Sheet1" xfId="798"/>
    <cellStyle name="好_Q6-1-2子_Sheet1 2" xfId="799"/>
    <cellStyle name="好_Q6-1-2子_全体" xfId="800"/>
    <cellStyle name="好_Q6-1-2子_全体 (2)" xfId="801"/>
    <cellStyle name="好_Q6-1-2子_全体 (2) 2" xfId="802"/>
    <cellStyle name="好_Q6-1-2子_全体 2" xfId="803"/>
    <cellStyle name="好_Q6-1-2子_全体D" xfId="804"/>
    <cellStyle name="好_Q6-1-2子_全体D 2" xfId="805"/>
    <cellStyle name="好_Q6-1子" xfId="806"/>
    <cellStyle name="好_Q6-1子 2" xfId="807"/>
    <cellStyle name="好_Q6-1子_Sheet1" xfId="808"/>
    <cellStyle name="好_Q6-1子_Sheet1 2" xfId="809"/>
    <cellStyle name="好_Q6-1子_全体" xfId="810"/>
    <cellStyle name="好_Q6-1子_全体 (2)" xfId="811"/>
    <cellStyle name="好_Q6-1子_全体 (2) 2" xfId="812"/>
    <cellStyle name="好_Q6-1子_全体 2" xfId="813"/>
    <cellStyle name="好_Q6-1子_全体D" xfId="814"/>
    <cellStyle name="好_Q6-1子_全体D 2" xfId="815"/>
    <cellStyle name="好_Q6-2子" xfId="816"/>
    <cellStyle name="好_Q6-2子 2" xfId="817"/>
    <cellStyle name="好_Q6-2子_Sheet1" xfId="818"/>
    <cellStyle name="好_Q6-2子_Sheet1 2" xfId="819"/>
    <cellStyle name="好_Q6-2子_全体" xfId="820"/>
    <cellStyle name="好_Q6-2子_全体 (2)" xfId="821"/>
    <cellStyle name="好_Q6-2子_全体 (2) 2" xfId="822"/>
    <cellStyle name="好_Q6-2子_全体 2" xfId="823"/>
    <cellStyle name="好_Q6-2子_全体D" xfId="824"/>
    <cellStyle name="好_Q6-2子_全体D 2" xfId="825"/>
    <cellStyle name="好_Q6-5①" xfId="826"/>
    <cellStyle name="好_Q6-5① 2" xfId="827"/>
    <cellStyle name="好_Q6-5①_Sheet1" xfId="828"/>
    <cellStyle name="好_Q6-5①_Sheet1 2" xfId="829"/>
    <cellStyle name="好_Q6-5①_全体" xfId="830"/>
    <cellStyle name="好_Q6-5①_全体 (2)" xfId="831"/>
    <cellStyle name="好_Q6-5①_全体 (2) 2" xfId="832"/>
    <cellStyle name="好_Q6-5①_全体 2" xfId="833"/>
    <cellStyle name="好_Q6-5①_全体D" xfId="834"/>
    <cellStyle name="好_Q6-5①_全体D 2" xfId="835"/>
    <cellStyle name="好_Q6细" xfId="836"/>
    <cellStyle name="好_Q6细 2" xfId="837"/>
    <cellStyle name="好_Q6细_全体D" xfId="838"/>
    <cellStyle name="好_Q6细_全体D 2" xfId="839"/>
    <cellStyle name="好_Q7-0" xfId="840"/>
    <cellStyle name="好_Q7-0 2" xfId="841"/>
    <cellStyle name="好_Q7-0_Sheet1" xfId="842"/>
    <cellStyle name="好_Q7-0_Sheet1 2" xfId="843"/>
    <cellStyle name="好_Q7-0_全体" xfId="844"/>
    <cellStyle name="好_Q7-0_全体 (2)" xfId="845"/>
    <cellStyle name="好_Q7-0_全体 (2) 2" xfId="846"/>
    <cellStyle name="好_Q7-0_全体 2" xfId="847"/>
    <cellStyle name="好_Q7-0_全体D" xfId="848"/>
    <cellStyle name="好_Q7-0_全体D 2" xfId="849"/>
    <cellStyle name="好_QN_女性_ch" xfId="850"/>
    <cellStyle name="好_Q手" xfId="851"/>
    <cellStyle name="好_Q手 2" xfId="852"/>
    <cellStyle name="好_Q手_Sheet1" xfId="853"/>
    <cellStyle name="好_Q手_Sheet1 2" xfId="854"/>
    <cellStyle name="好_Q手_全体" xfId="855"/>
    <cellStyle name="好_Q手_全体 (2)" xfId="856"/>
    <cellStyle name="好_Q手_全体 (2) 2" xfId="857"/>
    <cellStyle name="好_Q手_全体 2" xfId="858"/>
    <cellStyle name="好_Q手_全体D" xfId="859"/>
    <cellStyle name="好_Q手_全体D 2" xfId="860"/>
    <cellStyle name="好_Raw" xfId="12"/>
    <cellStyle name="好_Raw 2" xfId="861"/>
    <cellStyle name="好_Raw 3" xfId="862"/>
    <cellStyle name="好_Raw_1" xfId="863"/>
    <cellStyle name="好_Raw_1 2" xfId="864"/>
    <cellStyle name="好_Raw_1 3" xfId="865"/>
    <cellStyle name="好_Raw_1 4" xfId="866"/>
    <cellStyle name="好_Raw_1_Raw" xfId="867"/>
    <cellStyle name="好_Raw_1_Raw 2" xfId="868"/>
    <cellStyle name="好_Raw_1_Raw 3" xfId="869"/>
    <cellStyle name="好_Raw_1_Raw 4" xfId="870"/>
    <cellStyle name="好_Raw_1_Raw_1" xfId="871"/>
    <cellStyle name="好_Raw_1_Raw_1 2" xfId="872"/>
    <cellStyle name="好_Raw_1_Raw_1 3" xfId="873"/>
    <cellStyle name="好_Raw_1_Raw_1 4" xfId="874"/>
    <cellStyle name="好_Raw_1_Raw_1_Raw" xfId="875"/>
    <cellStyle name="好_Raw_1_Raw_1_Raw 2" xfId="876"/>
    <cellStyle name="好_Raw_1_Raw_Raw" xfId="877"/>
    <cellStyle name="好_Raw_1_Raw_Raw 2" xfId="878"/>
    <cellStyle name="好_Raw_1_Raw_Raw 3" xfId="879"/>
    <cellStyle name="好_Raw_1_Raw_Raw 4" xfId="880"/>
    <cellStyle name="好_Raw_1_Raw_Raw_Raw" xfId="881"/>
    <cellStyle name="好_Raw_1_Raw_Raw_Raw 2" xfId="882"/>
    <cellStyle name="好_Raw_1_类认使意 (2)" xfId="895"/>
    <cellStyle name="好_Raw_1_类认使意 (2) 2" xfId="896"/>
    <cellStyle name="好_Raw_1_类认使意 (2)_全体D" xfId="897"/>
    <cellStyle name="好_Raw_1_类认使意 (2)_全体D 2" xfId="898"/>
    <cellStyle name="好_Raw_1_取认使意 (2)" xfId="887"/>
    <cellStyle name="好_Raw_1_取认使意 (2) 2" xfId="888"/>
    <cellStyle name="好_Raw_1_取认使意 (2)_全体D" xfId="889"/>
    <cellStyle name="好_Raw_1_取认使意 (2)_全体D 2" xfId="890"/>
    <cellStyle name="好_Raw_1_收入-jp" xfId="891"/>
    <cellStyle name="好_Raw_1_收入-jp 2" xfId="892"/>
    <cellStyle name="好_Raw_1_收入-jp_全体D" xfId="893"/>
    <cellStyle name="好_Raw_1_收入-jp_全体D 2" xfId="894"/>
    <cellStyle name="好_Raw_1_作業_BridgeStone_4292_20121022" xfId="883"/>
    <cellStyle name="好_Raw_1_作業_BridgeStone_4292_20121022 2" xfId="884"/>
    <cellStyle name="好_Raw_1_作業_BridgeStone_4292_20121022_全体D" xfId="885"/>
    <cellStyle name="好_Raw_1_作業_BridgeStone_4292_20121022_全体D 2" xfId="886"/>
    <cellStyle name="好_Raw_2" xfId="899"/>
    <cellStyle name="好_Raw_2 2" xfId="900"/>
    <cellStyle name="好_Raw_2 3" xfId="901"/>
    <cellStyle name="好_Raw_2 4" xfId="902"/>
    <cellStyle name="好_Raw_2_Raw" xfId="903"/>
    <cellStyle name="好_Raw_2_Raw 2" xfId="904"/>
    <cellStyle name="好_Raw_Raw" xfId="905"/>
    <cellStyle name="好_Raw_Raw 2" xfId="906"/>
    <cellStyle name="好_Raw_Raw 3" xfId="907"/>
    <cellStyle name="好_Raw_Raw 4" xfId="908"/>
    <cellStyle name="好_Raw_Raw_Raw" xfId="909"/>
    <cellStyle name="好_Raw_Raw_Raw 2" xfId="910"/>
    <cellStyle name="好_Raw_Raw_类认使意 (2)" xfId="923"/>
    <cellStyle name="好_Raw_Raw_类认使意 (2) 2" xfId="924"/>
    <cellStyle name="好_Raw_Raw_类认使意 (2)_全体D" xfId="925"/>
    <cellStyle name="好_Raw_Raw_类认使意 (2)_全体D 2" xfId="926"/>
    <cellStyle name="好_Raw_Raw_取认使意 (2)" xfId="915"/>
    <cellStyle name="好_Raw_Raw_取认使意 (2) 2" xfId="916"/>
    <cellStyle name="好_Raw_Raw_取认使意 (2)_全体D" xfId="917"/>
    <cellStyle name="好_Raw_Raw_取认使意 (2)_全体D 2" xfId="918"/>
    <cellStyle name="好_Raw_Raw_收入-jp" xfId="919"/>
    <cellStyle name="好_Raw_Raw_收入-jp 2" xfId="920"/>
    <cellStyle name="好_Raw_Raw_收入-jp_全体D" xfId="921"/>
    <cellStyle name="好_Raw_Raw_收入-jp_全体D 2" xfId="922"/>
    <cellStyle name="好_Raw_Raw_作業_BridgeStone_4292_20121022" xfId="911"/>
    <cellStyle name="好_Raw_Raw_作業_BridgeStone_4292_20121022 2" xfId="912"/>
    <cellStyle name="好_Raw_Raw_作業_BridgeStone_4292_20121022_全体D" xfId="913"/>
    <cellStyle name="好_Raw_Raw_作業_BridgeStone_4292_20121022_全体D 2" xfId="914"/>
    <cellStyle name="好_Raw_类认使意 (2)" xfId="939"/>
    <cellStyle name="好_Raw_类认使意 (2) 2" xfId="940"/>
    <cellStyle name="好_Raw_类认使意 (2)_全体D" xfId="941"/>
    <cellStyle name="好_Raw_类认使意 (2)_全体D 2" xfId="942"/>
    <cellStyle name="好_Raw_取认使意 (2)" xfId="931"/>
    <cellStyle name="好_Raw_取认使意 (2) 2" xfId="932"/>
    <cellStyle name="好_Raw_取认使意 (2)_全体D" xfId="933"/>
    <cellStyle name="好_Raw_取认使意 (2)_全体D 2" xfId="934"/>
    <cellStyle name="好_Raw_收入-jp" xfId="935"/>
    <cellStyle name="好_Raw_收入-jp 2" xfId="936"/>
    <cellStyle name="好_Raw_收入-jp_全体D" xfId="937"/>
    <cellStyle name="好_Raw_收入-jp_全体D 2" xfId="938"/>
    <cellStyle name="好_Raw_作業_BridgeStone_4292_20121022" xfId="927"/>
    <cellStyle name="好_Raw_作業_BridgeStone_4292_20121022 2" xfId="928"/>
    <cellStyle name="好_Raw_作業_BridgeStone_4292_20121022_全体D" xfId="929"/>
    <cellStyle name="好_Raw_作業_BridgeStone_4292_20121022_全体D 2" xfId="930"/>
    <cellStyle name="好_Raw-1000ss" xfId="943"/>
    <cellStyle name="好_Raw-1000ss 2" xfId="944"/>
    <cellStyle name="好_Raw-114ss" xfId="945"/>
    <cellStyle name="好_Raw-114ss 2" xfId="946"/>
    <cellStyle name="好_Raw-114ss_Raw" xfId="947"/>
    <cellStyle name="好_Raw-114ss_Raw 2" xfId="948"/>
    <cellStyle name="好_Raw-114ss_Raw_1" xfId="949"/>
    <cellStyle name="好_Raw-114ss_Raw_1 2" xfId="950"/>
    <cellStyle name="好_Raw-114ss_Raw_1_全体D" xfId="955"/>
    <cellStyle name="好_Raw-114ss_Raw_1_全体D 2" xfId="956"/>
    <cellStyle name="好_Raw-114ss_Raw_1_作業_BridgeStone_4292_20121022" xfId="951"/>
    <cellStyle name="好_Raw-114ss_Raw_1_作業_BridgeStone_4292_20121022 2" xfId="952"/>
    <cellStyle name="好_Raw-114ss_Raw_1_作業_BridgeStone_4292_20121022_全体D" xfId="953"/>
    <cellStyle name="好_Raw-114ss_Raw_1_作業_BridgeStone_4292_20121022_全体D 2" xfId="954"/>
    <cellStyle name="好_Raw-114ss_Raw_Raw" xfId="957"/>
    <cellStyle name="好_Raw-114ss_Raw_Raw 2" xfId="958"/>
    <cellStyle name="好_Raw-114ss_Raw_Raw_全体D" xfId="963"/>
    <cellStyle name="好_Raw-114ss_Raw_Raw_全体D 2" xfId="964"/>
    <cellStyle name="好_Raw-114ss_Raw_Raw_作業_BridgeStone_4292_20121022" xfId="959"/>
    <cellStyle name="好_Raw-114ss_Raw_Raw_作業_BridgeStone_4292_20121022 2" xfId="960"/>
    <cellStyle name="好_Raw-114ss_Raw_Raw_作業_BridgeStone_4292_20121022_全体D" xfId="961"/>
    <cellStyle name="好_Raw-114ss_Raw_Raw_作業_BridgeStone_4292_20121022_全体D 2" xfId="962"/>
    <cellStyle name="好_Raw-114ss_Raw_全体D" xfId="969"/>
    <cellStyle name="好_Raw-114ss_Raw_全体D 2" xfId="970"/>
    <cellStyle name="好_Raw-114ss_Raw_作業_BridgeStone_4292_20121022" xfId="965"/>
    <cellStyle name="好_Raw-114ss_Raw_作業_BridgeStone_4292_20121022 2" xfId="966"/>
    <cellStyle name="好_Raw-114ss_Raw_作業_BridgeStone_4292_20121022_全体D" xfId="967"/>
    <cellStyle name="好_Raw-114ss_Raw_作業_BridgeStone_4292_20121022_全体D 2" xfId="968"/>
    <cellStyle name="好_Raw-114ss_全体D" xfId="971"/>
    <cellStyle name="好_Raw-114ss_全体D 2" xfId="972"/>
    <cellStyle name="好_S7" xfId="973"/>
    <cellStyle name="好_S7 2" xfId="974"/>
    <cellStyle name="好_S7_全体D" xfId="975"/>
    <cellStyle name="好_S7_全体D 2" xfId="976"/>
    <cellStyle name="好_Sheet1" xfId="977"/>
    <cellStyle name="好_Sheet1 2" xfId="978"/>
    <cellStyle name="好_Sheet1_1" xfId="979"/>
    <cellStyle name="好_Sheet1_1 2" xfId="980"/>
    <cellStyle name="好_Sheet1_1_Book2" xfId="981"/>
    <cellStyle name="好_Sheet1_1_Book2 2" xfId="982"/>
    <cellStyle name="好_Sheet1_1_Book2_全体D" xfId="983"/>
    <cellStyle name="好_Sheet1_1_Book2_全体D 2" xfId="984"/>
    <cellStyle name="好_Sheet1_1_Book21" xfId="985"/>
    <cellStyle name="好_Sheet1_1_Book21 2" xfId="986"/>
    <cellStyle name="好_Sheet1_1_Book21_全体D" xfId="987"/>
    <cellStyle name="好_Sheet1_1_Book21_全体D 2" xfId="988"/>
    <cellStyle name="好_Sheet1_1_COPY-最终报告用 2段累积图" xfId="989"/>
    <cellStyle name="好_Sheet1_1_COPY-最终报告用 2段累积图 2" xfId="990"/>
    <cellStyle name="好_Sheet1_1_COPY-最终报告用 2段累积图_全体D" xfId="991"/>
    <cellStyle name="好_Sheet1_1_COPY-最终报告用 2段累积图_全体D 2" xfId="992"/>
    <cellStyle name="好_Sheet1_1_COPY-最终报告用 exl-2010-" xfId="993"/>
    <cellStyle name="好_Sheet1_1_COPY-最终报告用 exl-2010- 2" xfId="994"/>
    <cellStyle name="好_Sheet1_1_COPY-最终报告用 exl-2010-_全体D" xfId="995"/>
    <cellStyle name="好_Sheet1_1_COPY-最终报告用 exl-2010-_全体D 2" xfId="996"/>
    <cellStyle name="好_Sheet1_1_Sheet1" xfId="997"/>
    <cellStyle name="好_Sheet1_1_Sheet1 2" xfId="998"/>
    <cellStyle name="好_Sheet1_1_Sheet1_全体D" xfId="999"/>
    <cellStyle name="好_Sheet1_1_Sheet1_全体D 2" xfId="1000"/>
    <cellStyle name="好_Sheet1_1_保有-细分" xfId="1001"/>
    <cellStyle name="好_Sheet1_1_保有-细分 2" xfId="1002"/>
    <cellStyle name="好_Sheet1_1_保有-细分_全体D" xfId="1003"/>
    <cellStyle name="好_Sheet1_1_保有-细分_全体D 2" xfId="1004"/>
    <cellStyle name="好_Sheet1_1_全体" xfId="1005"/>
    <cellStyle name="好_Sheet1_1_全体 (2)" xfId="1006"/>
    <cellStyle name="好_Sheet1_1_全体 (2) 2" xfId="1007"/>
    <cellStyle name="好_Sheet1_1_全体 2" xfId="1008"/>
    <cellStyle name="好_Sheet1_1_全体D" xfId="1009"/>
    <cellStyle name="好_Sheet1_1_全体D 2" xfId="1010"/>
    <cellStyle name="好_Sheet1_2" xfId="1011"/>
    <cellStyle name="好_Sheet1_3" xfId="1012"/>
    <cellStyle name="好_Sheet1_3 2" xfId="1013"/>
    <cellStyle name="好_Sheet1_3喜" xfId="1014"/>
    <cellStyle name="好_Sheet1_3喜_Sheet1" xfId="1015"/>
    <cellStyle name="好_Sheet1_3喜_Sheet1 2" xfId="1016"/>
    <cellStyle name="好_Sheet1_3喜_Sheet1 3" xfId="1017"/>
    <cellStyle name="好_Sheet1_A3" xfId="1018"/>
    <cellStyle name="好_Sheet1_A3 2" xfId="1019"/>
    <cellStyle name="好_Sheet1_A3_全体D" xfId="1020"/>
    <cellStyle name="好_Sheet1_A3_全体D 2" xfId="1021"/>
    <cellStyle name="好_Sheet1_S7" xfId="1022"/>
    <cellStyle name="好_Sheet1_S7 2" xfId="1023"/>
    <cellStyle name="好_Sheet1_S7_全体D" xfId="1024"/>
    <cellStyle name="好_Sheet1_S7_全体D 2" xfId="1025"/>
    <cellStyle name="好_Sheet1_Sheet1" xfId="1026"/>
    <cellStyle name="好_Sheet1_Sheet1 2" xfId="1027"/>
    <cellStyle name="好_Sheet1_Sheet1_1" xfId="1028"/>
    <cellStyle name="好_Sheet1_Sheet1_1 2" xfId="1029"/>
    <cellStyle name="好_Sheet1_Sheet1_Book2" xfId="1030"/>
    <cellStyle name="好_Sheet1_Sheet1_Book2 2" xfId="1031"/>
    <cellStyle name="好_Sheet1_Sheet1_Book2_全体D" xfId="1032"/>
    <cellStyle name="好_Sheet1_Sheet1_Book2_全体D 2" xfId="1033"/>
    <cellStyle name="好_Sheet1_Sheet1_Book21" xfId="1034"/>
    <cellStyle name="好_Sheet1_Sheet1_Book21 2" xfId="1035"/>
    <cellStyle name="好_Sheet1_Sheet1_Book21_全体D" xfId="1036"/>
    <cellStyle name="好_Sheet1_Sheet1_Book21_全体D 2" xfId="1037"/>
    <cellStyle name="好_Sheet1_Sheet1_COPY-最终报告用 2段累积图" xfId="1038"/>
    <cellStyle name="好_Sheet1_Sheet1_COPY-最终报告用 2段累积图 2" xfId="1039"/>
    <cellStyle name="好_Sheet1_Sheet1_COPY-最终报告用 2段累积图_全体D" xfId="1040"/>
    <cellStyle name="好_Sheet1_Sheet1_COPY-最终报告用 2段累积图_全体D 2" xfId="1041"/>
    <cellStyle name="好_Sheet1_Sheet1_COPY-最终报告用 exl-2010-" xfId="1042"/>
    <cellStyle name="好_Sheet1_Sheet1_COPY-最终报告用 exl-2010- 2" xfId="1043"/>
    <cellStyle name="好_Sheet1_Sheet1_COPY-最终报告用 exl-2010-_全体D" xfId="1044"/>
    <cellStyle name="好_Sheet1_Sheet1_COPY-最终报告用 exl-2010-_全体D 2" xfId="1045"/>
    <cellStyle name="好_Sheet1_Sheet1_Sheet1" xfId="1046"/>
    <cellStyle name="好_Sheet1_Sheet1_Sheet1 2" xfId="1047"/>
    <cellStyle name="好_Sheet1_Sheet1_Sheet1_全体D" xfId="1048"/>
    <cellStyle name="好_Sheet1_Sheet1_Sheet1_全体D 2" xfId="1049"/>
    <cellStyle name="好_Sheet1_Sheet1_保有-细分" xfId="1050"/>
    <cellStyle name="好_Sheet1_Sheet1_保有-细分 2" xfId="1051"/>
    <cellStyle name="好_Sheet1_Sheet1_保有-细分_全体D" xfId="1052"/>
    <cellStyle name="好_Sheet1_Sheet1_保有-细分_全体D 2" xfId="1053"/>
    <cellStyle name="好_Sheet1_Sheet1_全体" xfId="1054"/>
    <cellStyle name="好_Sheet1_Sheet1_全体 (2)" xfId="1055"/>
    <cellStyle name="好_Sheet1_Sheet1_全体 (2) 2" xfId="1056"/>
    <cellStyle name="好_Sheet1_Sheet1_全体 2" xfId="1057"/>
    <cellStyle name="好_Sheet1_Sheet1_全体D" xfId="1058"/>
    <cellStyle name="好_Sheet1_Sheet1_全体D 2" xfId="1059"/>
    <cellStyle name="好_Sheet1_类认使意 (2)" xfId="1068"/>
    <cellStyle name="好_Sheet1_类认使意 (2) 2" xfId="1069"/>
    <cellStyle name="好_Sheet1_类认使意 (2)_全体D" xfId="1070"/>
    <cellStyle name="好_Sheet1_类认使意 (2)_全体D 2" xfId="1071"/>
    <cellStyle name="好_Sheet1_取全体" xfId="1062"/>
    <cellStyle name="好_Sheet1_取全体 2" xfId="1063"/>
    <cellStyle name="好_Sheet1_取全体_Sheet2" xfId="1064"/>
    <cellStyle name="好_Sheet1_取全体_Sheet2 2" xfId="1065"/>
    <cellStyle name="好_Sheet1_取全体_全体D" xfId="1066"/>
    <cellStyle name="好_Sheet1_取全体_全体D 2" xfId="1067"/>
    <cellStyle name="好_Sheet1_全体 (2)" xfId="1060"/>
    <cellStyle name="好_Sheet1_全体 (2) 2" xfId="1061"/>
    <cellStyle name="好_Sheet2" xfId="1072"/>
    <cellStyle name="好_Sheet2 2" xfId="1073"/>
    <cellStyle name="好_Sheet2_1" xfId="1074"/>
    <cellStyle name="好_Sheet2_1 2" xfId="1075"/>
    <cellStyle name="好_Sheet2_1_Sheet1" xfId="1076"/>
    <cellStyle name="好_Sheet2_1_Sheet1 2" xfId="1077"/>
    <cellStyle name="好_Sheet2_1_全体" xfId="1078"/>
    <cellStyle name="好_Sheet2_1_全体 (2)" xfId="1079"/>
    <cellStyle name="好_Sheet2_1_全体 (2) 2" xfId="1080"/>
    <cellStyle name="好_Sheet2_1_全体 2" xfId="1081"/>
    <cellStyle name="好_Sheet2_1_全体D" xfId="1082"/>
    <cellStyle name="好_Sheet2_1_全体D 2" xfId="1083"/>
    <cellStyle name="好_Sheet2_Book2" xfId="1084"/>
    <cellStyle name="好_Sheet2_Book2 2" xfId="1085"/>
    <cellStyle name="好_Sheet2_Book2_全体D" xfId="1086"/>
    <cellStyle name="好_Sheet2_Book2_全体D 2" xfId="1087"/>
    <cellStyle name="好_Sheet2_Book21" xfId="1088"/>
    <cellStyle name="好_Sheet2_Book21 2" xfId="1089"/>
    <cellStyle name="好_Sheet2_Book21_全体D" xfId="1090"/>
    <cellStyle name="好_Sheet2_Book21_全体D 2" xfId="1091"/>
    <cellStyle name="好_Sheet2_COPY-最终报告用 2段累积图" xfId="1092"/>
    <cellStyle name="好_Sheet2_COPY-最终报告用 2段累积图 2" xfId="1093"/>
    <cellStyle name="好_Sheet2_COPY-最终报告用 2段累积图_全体D" xfId="1094"/>
    <cellStyle name="好_Sheet2_COPY-最终报告用 2段累积图_全体D 2" xfId="1095"/>
    <cellStyle name="好_Sheet2_COPY-最终报告用 exl-2010-" xfId="1096"/>
    <cellStyle name="好_Sheet2_COPY-最终报告用 exl-2010- 2" xfId="1097"/>
    <cellStyle name="好_Sheet2_COPY-最终报告用 exl-2010-_全体D" xfId="1098"/>
    <cellStyle name="好_Sheet2_COPY-最终报告用 exl-2010-_全体D 2" xfId="1099"/>
    <cellStyle name="好_Sheet2_Sheet1" xfId="1100"/>
    <cellStyle name="好_Sheet2_Sheet1 2" xfId="1101"/>
    <cellStyle name="好_Sheet2_Sheet1_全体D" xfId="1102"/>
    <cellStyle name="好_Sheet2_Sheet1_全体D 2" xfId="1103"/>
    <cellStyle name="好_Sheet2_保有-细分" xfId="1104"/>
    <cellStyle name="好_Sheet2_保有-细分 2" xfId="1105"/>
    <cellStyle name="好_Sheet2_保有-细分_全体D" xfId="1106"/>
    <cellStyle name="好_Sheet2_保有-细分_全体D 2" xfId="1107"/>
    <cellStyle name="好_Sheet2_类认使意 (2)" xfId="1110"/>
    <cellStyle name="好_Sheet2_类认使意 (2) 2" xfId="1111"/>
    <cellStyle name="好_Sheet2_类认使意 (2)_全体D" xfId="1112"/>
    <cellStyle name="好_Sheet2_类认使意 (2)_全体D 2" xfId="1113"/>
    <cellStyle name="好_Sheet2_全体 (2)" xfId="1108"/>
    <cellStyle name="好_Sheet2_全体 (2) 2" xfId="1109"/>
    <cellStyle name="好_Sheet3" xfId="1114"/>
    <cellStyle name="好_Sheet3 2" xfId="1115"/>
    <cellStyle name="好_Sheet3_A3" xfId="1116"/>
    <cellStyle name="好_Sheet3_A3 2" xfId="1117"/>
    <cellStyle name="好_Sheet3_A3_全体D" xfId="1118"/>
    <cellStyle name="好_Sheet3_A3_全体D 2" xfId="1119"/>
    <cellStyle name="好_Sheet3_Sheet1" xfId="1120"/>
    <cellStyle name="好_Sheet3_Sheet1 2" xfId="1121"/>
    <cellStyle name="好_Sheet3_Sheet1_1" xfId="1122"/>
    <cellStyle name="好_Sheet3_Sheet1_1 2" xfId="1123"/>
    <cellStyle name="好_Sheet3_Sheet1_Book2" xfId="1124"/>
    <cellStyle name="好_Sheet3_Sheet1_Book2 2" xfId="1125"/>
    <cellStyle name="好_Sheet3_Sheet1_Book2_全体D" xfId="1126"/>
    <cellStyle name="好_Sheet3_Sheet1_Book2_全体D 2" xfId="1127"/>
    <cellStyle name="好_Sheet3_Sheet1_Book21" xfId="1128"/>
    <cellStyle name="好_Sheet3_Sheet1_Book21 2" xfId="1129"/>
    <cellStyle name="好_Sheet3_Sheet1_Book21_全体D" xfId="1130"/>
    <cellStyle name="好_Sheet3_Sheet1_Book21_全体D 2" xfId="1131"/>
    <cellStyle name="好_Sheet3_Sheet1_COPY-最终报告用 2段累积图" xfId="1132"/>
    <cellStyle name="好_Sheet3_Sheet1_COPY-最终报告用 2段累积图 2" xfId="1133"/>
    <cellStyle name="好_Sheet3_Sheet1_COPY-最终报告用 2段累积图_全体D" xfId="1134"/>
    <cellStyle name="好_Sheet3_Sheet1_COPY-最终报告用 2段累积图_全体D 2" xfId="1135"/>
    <cellStyle name="好_Sheet3_Sheet1_COPY-最终报告用 exl-2010-" xfId="1136"/>
    <cellStyle name="好_Sheet3_Sheet1_COPY-最终报告用 exl-2010- 2" xfId="1137"/>
    <cellStyle name="好_Sheet3_Sheet1_COPY-最终报告用 exl-2010-_全体D" xfId="1138"/>
    <cellStyle name="好_Sheet3_Sheet1_COPY-最终报告用 exl-2010-_全体D 2" xfId="1139"/>
    <cellStyle name="好_Sheet3_Sheet1_Sheet1" xfId="1140"/>
    <cellStyle name="好_Sheet3_Sheet1_Sheet1 2" xfId="1141"/>
    <cellStyle name="好_Sheet3_Sheet1_Sheet1_全体D" xfId="1142"/>
    <cellStyle name="好_Sheet3_Sheet1_Sheet1_全体D 2" xfId="1143"/>
    <cellStyle name="好_Sheet3_Sheet1_保有-细分" xfId="1144"/>
    <cellStyle name="好_Sheet3_Sheet1_保有-细分 2" xfId="1145"/>
    <cellStyle name="好_Sheet3_Sheet1_保有-细分_全体D" xfId="1146"/>
    <cellStyle name="好_Sheet3_Sheet1_保有-细分_全体D 2" xfId="1147"/>
    <cellStyle name="好_Sheet3_Sheet1_全体" xfId="1148"/>
    <cellStyle name="好_Sheet3_Sheet1_全体 (2)" xfId="1149"/>
    <cellStyle name="好_Sheet3_Sheet1_全体 (2) 2" xfId="1150"/>
    <cellStyle name="好_Sheet3_Sheet1_全体 2" xfId="1151"/>
    <cellStyle name="好_Sheet3_Sheet1_全体D" xfId="1152"/>
    <cellStyle name="好_Sheet3_Sheet1_全体D 2" xfId="1153"/>
    <cellStyle name="好_Sheet3_类认使意 (2)" xfId="1156"/>
    <cellStyle name="好_Sheet3_类认使意 (2) 2" xfId="1157"/>
    <cellStyle name="好_Sheet3_类认使意 (2)_全体D" xfId="1158"/>
    <cellStyle name="好_Sheet3_类认使意 (2)_全体D 2" xfId="1159"/>
    <cellStyle name="好_Sheet3_全体 (2)" xfId="1154"/>
    <cellStyle name="好_Sheet3_全体 (2) 2" xfId="1155"/>
    <cellStyle name="好_Sheet4" xfId="1160"/>
    <cellStyle name="好_Sheet4 2" xfId="1161"/>
    <cellStyle name="好_Sheet4_全体D" xfId="1162"/>
    <cellStyle name="好_Sheet4_全体D 2" xfId="1163"/>
    <cellStyle name="好_Sheet5" xfId="1164"/>
    <cellStyle name="好_Sheet5 (2)" xfId="1165"/>
    <cellStyle name="好_Sheet5 (2) 2" xfId="1166"/>
    <cellStyle name="好_Sheet5 (2)_Sheet1" xfId="1167"/>
    <cellStyle name="好_Sheet5 (2)_Sheet1 2" xfId="1168"/>
    <cellStyle name="好_Sheet5 (2)_全体" xfId="1169"/>
    <cellStyle name="好_Sheet5 (2)_全体 (2)" xfId="1170"/>
    <cellStyle name="好_Sheet5 (2)_全体 (2) 2" xfId="1171"/>
    <cellStyle name="好_Sheet5 (2)_全体 2" xfId="1172"/>
    <cellStyle name="好_Sheet5 (2)_全体D" xfId="1173"/>
    <cellStyle name="好_Sheet5 (2)_全体D 2" xfId="1174"/>
    <cellStyle name="好_Sheet5 2" xfId="1175"/>
    <cellStyle name="好_Sheet5_Sheet1" xfId="1176"/>
    <cellStyle name="好_Sheet5_Sheet1 2" xfId="1177"/>
    <cellStyle name="好_Sheet5_全体" xfId="1178"/>
    <cellStyle name="好_Sheet5_全体 (2)" xfId="1179"/>
    <cellStyle name="好_Sheet5_全体 (2) 2" xfId="1180"/>
    <cellStyle name="好_Sheet5_全体 2" xfId="1181"/>
    <cellStyle name="好_Sheet5_全体D" xfId="1182"/>
    <cellStyle name="好_Sheet5_全体D 2" xfId="1183"/>
    <cellStyle name="好_Sheet8" xfId="1184"/>
    <cellStyle name="好_Sheet8 2" xfId="1185"/>
    <cellStyle name="好_Timeline-2012" xfId="1186"/>
    <cellStyle name="好_TR问卷20120928_fin" xfId="1187"/>
    <cellStyle name="好_TR问卷20120928_fin_Sheet1" xfId="1188"/>
    <cellStyle name="好_TR问卷20120928_fin_Sheet1 2" xfId="1189"/>
    <cellStyle name="好_TR问卷20120928_fin_Sheet1 3" xfId="1190"/>
    <cellStyle name="好_TR问卷20120928_fin_Sheet1_FS" xfId="1191"/>
    <cellStyle name="好_TR问卷20120928_fin_Sheet1_FS_Sheet1" xfId="1192"/>
    <cellStyle name="好_TR问卷20120928_fin_Sheet1_FS_Sheet1 2" xfId="1193"/>
    <cellStyle name="好_TR问卷20120928_fin_Sheet1_FS_Sheet1 3" xfId="1194"/>
    <cellStyle name="好_Ver4.2" xfId="1195"/>
    <cellStyle name="好_W1" xfId="1196"/>
    <cellStyle name="好_W11合" xfId="1197"/>
    <cellStyle name="好_w23②" xfId="1198"/>
    <cellStyle name="好_w23② 2" xfId="1199"/>
    <cellStyle name="好_w23②_全体D" xfId="1200"/>
    <cellStyle name="好_w23②_全体D 2" xfId="1201"/>
    <cellStyle name="好_W3" xfId="1202"/>
    <cellStyle name="好_W3-4" xfId="1203"/>
    <cellStyle name="好_W4" xfId="1204"/>
    <cellStyle name="好_W8" xfId="1205"/>
    <cellStyle name="好_W9" xfId="1206"/>
    <cellStyle name="好_保有&amp;购买" xfId="1211"/>
    <cellStyle name="好_保有&amp;购买 2" xfId="1212"/>
    <cellStyle name="好_保有&amp;购买_Sheet1" xfId="1213"/>
    <cellStyle name="好_保有&amp;购买_Sheet1 2" xfId="1214"/>
    <cellStyle name="好_保有&amp;购买_Sheet1_1" xfId="1215"/>
    <cellStyle name="好_保有&amp;购买_Sheet1_1 2" xfId="1216"/>
    <cellStyle name="好_保有&amp;购买_Sheet1_Book2" xfId="1217"/>
    <cellStyle name="好_保有&amp;购买_Sheet1_Book2 2" xfId="1218"/>
    <cellStyle name="好_保有&amp;购买_Sheet1_Book2_全体D" xfId="1219"/>
    <cellStyle name="好_保有&amp;购买_Sheet1_Book2_全体D 2" xfId="1220"/>
    <cellStyle name="好_保有&amp;购买_Sheet1_Book21" xfId="1221"/>
    <cellStyle name="好_保有&amp;购买_Sheet1_Book21 2" xfId="1222"/>
    <cellStyle name="好_保有&amp;购买_Sheet1_Book21_全体D" xfId="1223"/>
    <cellStyle name="好_保有&amp;购买_Sheet1_Book21_全体D 2" xfId="1224"/>
    <cellStyle name="好_保有&amp;购买_Sheet1_COPY-最终报告用 2段累积图" xfId="1225"/>
    <cellStyle name="好_保有&amp;购买_Sheet1_COPY-最终报告用 2段累积图 2" xfId="1226"/>
    <cellStyle name="好_保有&amp;购买_Sheet1_COPY-最终报告用 2段累积图_全体D" xfId="1227"/>
    <cellStyle name="好_保有&amp;购买_Sheet1_COPY-最终报告用 2段累积图_全体D 2" xfId="1228"/>
    <cellStyle name="好_保有&amp;购买_Sheet1_COPY-最终报告用 exl-2010-" xfId="1229"/>
    <cellStyle name="好_保有&amp;购买_Sheet1_COPY-最终报告用 exl-2010- 2" xfId="1230"/>
    <cellStyle name="好_保有&amp;购买_Sheet1_COPY-最终报告用 exl-2010-_全体D" xfId="1231"/>
    <cellStyle name="好_保有&amp;购买_Sheet1_COPY-最终报告用 exl-2010-_全体D 2" xfId="1232"/>
    <cellStyle name="好_保有&amp;购买_Sheet1_Sheet1" xfId="1233"/>
    <cellStyle name="好_保有&amp;购买_Sheet1_Sheet1 2" xfId="1234"/>
    <cellStyle name="好_保有&amp;购买_Sheet1_Sheet1_全体D" xfId="1235"/>
    <cellStyle name="好_保有&amp;购买_Sheet1_Sheet1_全体D 2" xfId="1236"/>
    <cellStyle name="好_保有&amp;购买_Sheet1_保有-细分" xfId="1237"/>
    <cellStyle name="好_保有&amp;购买_Sheet1_保有-细分 2" xfId="1238"/>
    <cellStyle name="好_保有&amp;购买_Sheet1_保有-细分_全体D" xfId="1239"/>
    <cellStyle name="好_保有&amp;购买_Sheet1_保有-细分_全体D 2" xfId="1240"/>
    <cellStyle name="好_保有&amp;购买_Sheet1_全体" xfId="1241"/>
    <cellStyle name="好_保有&amp;购买_Sheet1_全体 (2)" xfId="1242"/>
    <cellStyle name="好_保有&amp;购买_Sheet1_全体 (2) 2" xfId="1243"/>
    <cellStyle name="好_保有&amp;购买_Sheet1_全体 2" xfId="1244"/>
    <cellStyle name="好_保有&amp;购买_Sheet1_全体D" xfId="1245"/>
    <cellStyle name="好_保有&amp;购买_Sheet1_全体D 2" xfId="1246"/>
    <cellStyle name="好_保有&amp;购买_全体" xfId="1247"/>
    <cellStyle name="好_保有&amp;购买_全体 (2)" xfId="1248"/>
    <cellStyle name="好_保有&amp;购买_全体 (2) 2" xfId="1249"/>
    <cellStyle name="好_保有&amp;购买_全体 2" xfId="1250"/>
    <cellStyle name="好_保有&amp;购买_全体D" xfId="1251"/>
    <cellStyle name="好_保有&amp;购买_全体D 2" xfId="1252"/>
    <cellStyle name="好_保有-细分" xfId="1253"/>
    <cellStyle name="好_保有-细分 2" xfId="1254"/>
    <cellStyle name="好_保有-细分_全体D" xfId="1255"/>
    <cellStyle name="好_保有-细分_全体D 2" xfId="1256"/>
    <cellStyle name="好_報告書_4292_ECOPIA_20120926" xfId="1281"/>
    <cellStyle name="好_報告書_4292_ECOPIA_20120926 2" xfId="1282"/>
    <cellStyle name="好_報告書_4292_ECOPIA_20120926_Sheet1" xfId="1283"/>
    <cellStyle name="好_報告書_4292_ECOPIA_20120926_Sheet1 2" xfId="1284"/>
    <cellStyle name="好_報告書_4292_ECOPIA_20120926_全体" xfId="1285"/>
    <cellStyle name="好_報告書_4292_ECOPIA_20120926_全体 (2)" xfId="1286"/>
    <cellStyle name="好_報告書_4292_ECOPIA_20120926_全体 (2) 2" xfId="1287"/>
    <cellStyle name="好_報告書_4292_ECOPIA_20120926_全体 2" xfId="1288"/>
    <cellStyle name="好_報告書_4292_ECOPIA_20120926_全体D" xfId="1289"/>
    <cellStyle name="好_報告書_4292_ECOPIA_20120926_全体D 2" xfId="1290"/>
    <cellStyle name="好_割付" xfId="1270"/>
    <cellStyle name="好_汇认知总" xfId="1309"/>
    <cellStyle name="好_类认使意" xfId="1313"/>
    <cellStyle name="好_类认使意 (2)" xfId="1314"/>
    <cellStyle name="好_类认使意 (2) 2" xfId="1315"/>
    <cellStyle name="好_类认使意 (2)_全体D" xfId="1316"/>
    <cellStyle name="好_类认使意 (2)_全体D 2" xfId="1317"/>
    <cellStyle name="好_类认使意 2" xfId="1318"/>
    <cellStyle name="好_取全体" xfId="1271"/>
    <cellStyle name="好_取全体 2" xfId="1272"/>
    <cellStyle name="好_取全体_Sheet2" xfId="1273"/>
    <cellStyle name="好_取全体_Sheet2 2" xfId="1274"/>
    <cellStyle name="好_取全体_全体D" xfId="1275"/>
    <cellStyle name="好_取全体_全体D 2" xfId="1276"/>
    <cellStyle name="好_取认使意 (2)" xfId="1277"/>
    <cellStyle name="好_取认使意 (2) 2" xfId="1278"/>
    <cellStyle name="好_取认使意 (2)_全体D" xfId="1279"/>
    <cellStyle name="好_取认使意 (2)_全体D 2" xfId="1280"/>
    <cellStyle name="好_全体" xfId="1257"/>
    <cellStyle name="好_全体 (2)" xfId="1258"/>
    <cellStyle name="好_全体 (2) 2" xfId="1259"/>
    <cellStyle name="好_全体 (2) 3" xfId="1260"/>
    <cellStyle name="好_全体 2" xfId="1261"/>
    <cellStyle name="好_全体 3" xfId="1262"/>
    <cellStyle name="好_全体 4" xfId="1263"/>
    <cellStyle name="好_全体 5" xfId="1264"/>
    <cellStyle name="好_全体 6" xfId="1265"/>
    <cellStyle name="好_全体 7" xfId="1266"/>
    <cellStyle name="好_全体 8" xfId="1267"/>
    <cellStyle name="好_全体D" xfId="1268"/>
    <cellStyle name="好_全体D 2" xfId="1269"/>
    <cellStyle name="好_收入-ch" xfId="1291"/>
    <cellStyle name="好_收入-ch 2" xfId="1292"/>
    <cellStyle name="好_收入-ch_类认使意 (2)" xfId="1299"/>
    <cellStyle name="好_收入-ch_类认使意 (2) 2" xfId="1300"/>
    <cellStyle name="好_收入-ch_类认使意 (2)_全体D" xfId="1301"/>
    <cellStyle name="好_收入-ch_类认使意 (2)_全体D 2" xfId="1302"/>
    <cellStyle name="好_收入-ch_取全体" xfId="1293"/>
    <cellStyle name="好_收入-ch_取全体 2" xfId="1294"/>
    <cellStyle name="好_收入-ch_取全体_Sheet2" xfId="1295"/>
    <cellStyle name="好_收入-ch_取全体_Sheet2 2" xfId="1296"/>
    <cellStyle name="好_收入-ch_取全体_全体D" xfId="1297"/>
    <cellStyle name="好_收入-ch_取全体_全体D 2" xfId="1298"/>
    <cellStyle name="好_收入-jp" xfId="1303"/>
    <cellStyle name="好_收入-jp 2" xfId="1304"/>
    <cellStyle name="好_收入-jp_1" xfId="1305"/>
    <cellStyle name="好_收入-jp_1 2" xfId="1306"/>
    <cellStyle name="好_收入-jp_全体D" xfId="1307"/>
    <cellStyle name="好_收入-jp_全体D 2" xfId="1308"/>
    <cellStyle name="好_汤达人（杯装碗装）" xfId="1310"/>
    <cellStyle name="好_问卷Ver1.0_ch" xfId="1320"/>
    <cellStyle name="好_问卷Ver1.0_ch 2" xfId="1321"/>
    <cellStyle name="好_问卷Ver1.0_ch_全体 (2)" xfId="1322"/>
    <cellStyle name="好_问卷Ver1.0_ch_全体 (2) 2" xfId="1323"/>
    <cellStyle name="好_问卷Ver-最终版" xfId="1324"/>
    <cellStyle name="好_问卷Ver-最终版 2" xfId="1325"/>
    <cellStyle name="好_问卷Ver-最终版_全体 (2)" xfId="1326"/>
    <cellStyle name="好_问卷Ver-最终版_全体 (2) 2" xfId="1327"/>
    <cellStyle name="好_相关" xfId="1311"/>
    <cellStyle name="好_相关 2" xfId="1312"/>
    <cellStyle name="好_转换率" xfId="1319"/>
    <cellStyle name="好_作業_PRETZ_4800_Ver1.1" xfId="1207"/>
    <cellStyle name="好_作業_PRETZ_4800_Ver1.1 2" xfId="1208"/>
    <cellStyle name="好_作業_PRETZ後測_4868_Ver1.0" xfId="1209"/>
    <cellStyle name="好_作業_PRETZ後測_4868_Ver1.0 2" xfId="1210"/>
    <cellStyle name="合計" xfId="602"/>
    <cellStyle name="合計 2" xfId="603"/>
    <cellStyle name="合計 3" xfId="604"/>
    <cellStyle name="合計 4" xfId="605"/>
    <cellStyle name="壞" xfId="606"/>
    <cellStyle name="壞 2" xfId="607"/>
    <cellStyle name="壞_Raw" xfId="608"/>
    <cellStyle name="壞_Raw 2" xfId="609"/>
    <cellStyle name="壞_Raw_1" xfId="610"/>
    <cellStyle name="壞_Raw_1 2" xfId="611"/>
    <cellStyle name="壞_Raw_1_作業_BridgeStone_4292_20121022" xfId="612"/>
    <cellStyle name="壞_Raw_1_作業_BridgeStone_4292_20121022 2" xfId="613"/>
    <cellStyle name="壞_Raw_Raw" xfId="614"/>
    <cellStyle name="壞_Raw_Raw 2" xfId="615"/>
    <cellStyle name="壞_Raw_Raw_作業_BridgeStone_4292_20121022" xfId="616"/>
    <cellStyle name="壞_Raw_Raw_作業_BridgeStone_4292_20121022 2" xfId="617"/>
    <cellStyle name="壞_Raw_作業_BridgeStone_4292_20121022" xfId="618"/>
    <cellStyle name="壞_Raw_作業_BridgeStone_4292_20121022 2" xfId="619"/>
    <cellStyle name="汇总 2" xfId="2829"/>
    <cellStyle name="汇总 2 2" xfId="2830"/>
    <cellStyle name="汇总 2 2 2" xfId="2831"/>
    <cellStyle name="汇总 2 2 3" xfId="2832"/>
    <cellStyle name="汇总 2 2 4" xfId="2833"/>
    <cellStyle name="汇总 2 3" xfId="2834"/>
    <cellStyle name="汇总 2 3 2" xfId="2835"/>
    <cellStyle name="汇总 2 3 3" xfId="2836"/>
    <cellStyle name="汇总 2 3 4" xfId="2837"/>
    <cellStyle name="汇总 2 4" xfId="2838"/>
    <cellStyle name="汇总 2 4 2" xfId="2839"/>
    <cellStyle name="汇总 2 4 3" xfId="2840"/>
    <cellStyle name="汇总 2 4 4" xfId="2841"/>
    <cellStyle name="汇总 2 5" xfId="2842"/>
    <cellStyle name="汇总 2 6" xfId="2843"/>
    <cellStyle name="汇总 2 7" xfId="2844"/>
    <cellStyle name="汇总 2 8" xfId="2845"/>
    <cellStyle name="汇总 3" xfId="2846"/>
    <cellStyle name="汇总 3 2" xfId="2847"/>
    <cellStyle name="汇总 3 2 2" xfId="2848"/>
    <cellStyle name="汇总 3 2 3" xfId="2849"/>
    <cellStyle name="汇总 3 2 4" xfId="2850"/>
    <cellStyle name="汇总 3 3" xfId="2851"/>
    <cellStyle name="汇总 3 3 2" xfId="2852"/>
    <cellStyle name="汇总 3 3 3" xfId="2853"/>
    <cellStyle name="汇总 3 3 4" xfId="2854"/>
    <cellStyle name="汇总 3 4" xfId="2855"/>
    <cellStyle name="汇总 3 5" xfId="2856"/>
    <cellStyle name="汇总 3 6" xfId="2857"/>
    <cellStyle name="汇总 3 7" xfId="2858"/>
    <cellStyle name="货币[0] 2" xfId="3023"/>
    <cellStyle name="货币[0] 2 2" xfId="3024"/>
    <cellStyle name="货币[0] 3" xfId="3025"/>
    <cellStyle name="货币[0] 3 2" xfId="3026"/>
    <cellStyle name="集計" xfId="3155"/>
    <cellStyle name="集計 2" xfId="3156"/>
    <cellStyle name="集計 2 2" xfId="3157"/>
    <cellStyle name="集計 2 3" xfId="3158"/>
    <cellStyle name="集計 2 4" xfId="3159"/>
    <cellStyle name="集計 2 5" xfId="3160"/>
    <cellStyle name="集計 3" xfId="3161"/>
    <cellStyle name="集計 3 2" xfId="3162"/>
    <cellStyle name="集計 3 3" xfId="3163"/>
    <cellStyle name="集計 3 4" xfId="3164"/>
    <cellStyle name="集計 3 5" xfId="3165"/>
    <cellStyle name="集計 4" xfId="3166"/>
    <cellStyle name="集計 4 2" xfId="3167"/>
    <cellStyle name="集計 5" xfId="3168"/>
    <cellStyle name="计算 2" xfId="2993"/>
    <cellStyle name="计算 2 2" xfId="2994"/>
    <cellStyle name="计算 2 2 2" xfId="2995"/>
    <cellStyle name="计算 2 2 3" xfId="2996"/>
    <cellStyle name="计算 2 2 4" xfId="2997"/>
    <cellStyle name="计算 2 3" xfId="2998"/>
    <cellStyle name="计算 2 3 2" xfId="2999"/>
    <cellStyle name="计算 2 3 3" xfId="3000"/>
    <cellStyle name="计算 2 3 4" xfId="3001"/>
    <cellStyle name="计算 2 4" xfId="3002"/>
    <cellStyle name="计算 2 4 2" xfId="3003"/>
    <cellStyle name="计算 2 4 3" xfId="3004"/>
    <cellStyle name="计算 2 4 4" xfId="3005"/>
    <cellStyle name="计算 2 5" xfId="3006"/>
    <cellStyle name="计算 2 6" xfId="3007"/>
    <cellStyle name="计算 2 7" xfId="3008"/>
    <cellStyle name="计算 2 8" xfId="3009"/>
    <cellStyle name="计算 3" xfId="3010"/>
    <cellStyle name="计算 3 2" xfId="3011"/>
    <cellStyle name="计算 3 2 2" xfId="3012"/>
    <cellStyle name="计算 3 2 3" xfId="3013"/>
    <cellStyle name="计算 3 2 4" xfId="3014"/>
    <cellStyle name="计算 3 3" xfId="3015"/>
    <cellStyle name="计算 3 3 2" xfId="3016"/>
    <cellStyle name="计算 3 3 3" xfId="3017"/>
    <cellStyle name="计算 3 3 4" xfId="3018"/>
    <cellStyle name="计算 3 4" xfId="3019"/>
    <cellStyle name="计算 3 5" xfId="3020"/>
    <cellStyle name="计算 3 6" xfId="3021"/>
    <cellStyle name="计算 3 7" xfId="3022"/>
    <cellStyle name="計算" xfId="2946"/>
    <cellStyle name="計算 2" xfId="2947"/>
    <cellStyle name="計算 2 2" xfId="2948"/>
    <cellStyle name="計算 2 3" xfId="2949"/>
    <cellStyle name="計算 2 4" xfId="2950"/>
    <cellStyle name="計算 2 5" xfId="2951"/>
    <cellStyle name="計算 3" xfId="2952"/>
    <cellStyle name="計算 3 2" xfId="2953"/>
    <cellStyle name="計算 3 3" xfId="2954"/>
    <cellStyle name="計算 3 4" xfId="2955"/>
    <cellStyle name="計算 3 5" xfId="2956"/>
    <cellStyle name="計算 4" xfId="2957"/>
    <cellStyle name="計算 4 2" xfId="2958"/>
    <cellStyle name="計算 4 3" xfId="2959"/>
    <cellStyle name="計算 4 4" xfId="2960"/>
    <cellStyle name="計算 4 5" xfId="2961"/>
    <cellStyle name="計算 5" xfId="2962"/>
    <cellStyle name="計算 5 2" xfId="2963"/>
    <cellStyle name="計算 6" xfId="2964"/>
    <cellStyle name="計算方式" xfId="2965"/>
    <cellStyle name="計算方式 2" xfId="2966"/>
    <cellStyle name="計算方式 3" xfId="2967"/>
    <cellStyle name="計算方式 4" xfId="2968"/>
    <cellStyle name="检查单元格 2" xfId="2771"/>
    <cellStyle name="检查单元格 2 2" xfId="2772"/>
    <cellStyle name="检查单元格 2 2 2" xfId="2773"/>
    <cellStyle name="检查单元格 2 3" xfId="2774"/>
    <cellStyle name="检查单元格 2 4" xfId="2775"/>
    <cellStyle name="检查单元格 3" xfId="2776"/>
    <cellStyle name="检查单元格 3 2" xfId="2777"/>
    <cellStyle name="檢查儲存格" xfId="2827"/>
    <cellStyle name="檢查儲存格 2" xfId="2828"/>
    <cellStyle name="見出し 1" xfId="2911"/>
    <cellStyle name="見出し 1 2" xfId="2912"/>
    <cellStyle name="見出し 1 2 2" xfId="2913"/>
    <cellStyle name="見出し 1 2 3" xfId="2914"/>
    <cellStyle name="見出し 1 3" xfId="2915"/>
    <cellStyle name="見出し 1 3 2" xfId="2916"/>
    <cellStyle name="見出し 1 4" xfId="2917"/>
    <cellStyle name="見出し 2" xfId="2918"/>
    <cellStyle name="見出し 2 2" xfId="2919"/>
    <cellStyle name="見出し 2 2 2" xfId="2920"/>
    <cellStyle name="見出し 2 2 3" xfId="2921"/>
    <cellStyle name="見出し 2 3" xfId="2922"/>
    <cellStyle name="見出し 2 3 2" xfId="2923"/>
    <cellStyle name="見出し 2 4" xfId="2924"/>
    <cellStyle name="見出し 3" xfId="2925"/>
    <cellStyle name="見出し 3 2" xfId="2926"/>
    <cellStyle name="見出し 3 2 2" xfId="2927"/>
    <cellStyle name="見出し 3 2 3" xfId="2928"/>
    <cellStyle name="見出し 3 3" xfId="2929"/>
    <cellStyle name="見出し 3 3 2" xfId="2930"/>
    <cellStyle name="見出し 3 4" xfId="2931"/>
    <cellStyle name="見出し 4" xfId="2932"/>
    <cellStyle name="見出し 4 2" xfId="2933"/>
    <cellStyle name="見出し 4 2 2" xfId="2934"/>
    <cellStyle name="見出し 4 2 3" xfId="2935"/>
    <cellStyle name="見出し 4 3" xfId="2936"/>
    <cellStyle name="見出し 4 3 2" xfId="2937"/>
    <cellStyle name="見出し 4 4" xfId="2938"/>
    <cellStyle name="解释性文本 2" xfId="2939"/>
    <cellStyle name="解释性文本 2 2" xfId="2940"/>
    <cellStyle name="解释性文本 2 2 2" xfId="2941"/>
    <cellStyle name="解释性文本 2 3" xfId="2942"/>
    <cellStyle name="解释性文本 2 4" xfId="2943"/>
    <cellStyle name="解释性文本 3" xfId="2944"/>
    <cellStyle name="解释性文本 3 2" xfId="2945"/>
    <cellStyle name="警告文" xfId="2978"/>
    <cellStyle name="警告文 2" xfId="2979"/>
    <cellStyle name="警告文 2 2" xfId="2980"/>
    <cellStyle name="警告文 2 3" xfId="2981"/>
    <cellStyle name="警告文 3" xfId="2982"/>
    <cellStyle name="警告文 4" xfId="2983"/>
    <cellStyle name="警告文本 2" xfId="2986"/>
    <cellStyle name="警告文本 2 2" xfId="2987"/>
    <cellStyle name="警告文本 2 2 2" xfId="2988"/>
    <cellStyle name="警告文本 2 3" xfId="2989"/>
    <cellStyle name="警告文本 2 4" xfId="2990"/>
    <cellStyle name="警告文本 3" xfId="2991"/>
    <cellStyle name="警告文本 3 2" xfId="2992"/>
    <cellStyle name="警告文字" xfId="2984"/>
    <cellStyle name="警告文字 2" xfId="2985"/>
    <cellStyle name="連結的儲存格" xfId="3141"/>
    <cellStyle name="連結的儲存格 2" xfId="3142"/>
    <cellStyle name="連結的儲存格 3" xfId="3143"/>
    <cellStyle name="链接单元格 2" xfId="3144"/>
    <cellStyle name="链接单元格 2 2" xfId="3145"/>
    <cellStyle name="链接单元格 2 2 2" xfId="3146"/>
    <cellStyle name="链接单元格 2 2 3" xfId="3147"/>
    <cellStyle name="链接单元格 2 3" xfId="3148"/>
    <cellStyle name="链接单元格 2 3 2" xfId="3149"/>
    <cellStyle name="链接单元格 2 4" xfId="3150"/>
    <cellStyle name="链接单元格 2 4 2" xfId="3151"/>
    <cellStyle name="链接单元格 3" xfId="3152"/>
    <cellStyle name="链接单元格 3 2" xfId="3153"/>
    <cellStyle name="链接单元格 3 3" xfId="3154"/>
    <cellStyle name="良い" xfId="2904"/>
    <cellStyle name="良い 2" xfId="2905"/>
    <cellStyle name="良い 2 2" xfId="2906"/>
    <cellStyle name="良い 2 3" xfId="2907"/>
    <cellStyle name="良い 3" xfId="2908"/>
    <cellStyle name="良い 3 2" xfId="2909"/>
    <cellStyle name="良い 4" xfId="2910"/>
    <cellStyle name="千位分隔 2" xfId="539"/>
    <cellStyle name="千位分隔 2 2" xfId="540"/>
    <cellStyle name="千位分隔 2 2 2" xfId="541"/>
    <cellStyle name="千位分隔 2 2 2 2" xfId="542"/>
    <cellStyle name="千位分隔 2 2 2 2 2" xfId="543"/>
    <cellStyle name="千位分隔 2 2 2 3" xfId="544"/>
    <cellStyle name="千位分隔 2 2 3" xfId="545"/>
    <cellStyle name="千位分隔 2 2 3 2" xfId="546"/>
    <cellStyle name="千位分隔 2 2 4" xfId="547"/>
    <cellStyle name="千位分隔 2 2 5" xfId="548"/>
    <cellStyle name="千位分隔 2 3" xfId="549"/>
    <cellStyle name="千位分隔 2 3 2" xfId="550"/>
    <cellStyle name="千位分隔 2 4" xfId="551"/>
    <cellStyle name="千位分隔 3" xfId="552"/>
    <cellStyle name="千位分隔 3 2" xfId="553"/>
    <cellStyle name="千位分隔 3 2 2" xfId="554"/>
    <cellStyle name="千位分隔 3 3" xfId="555"/>
    <cellStyle name="千位分隔 4" xfId="556"/>
    <cellStyle name="千位分隔 4 2" xfId="557"/>
    <cellStyle name="千位分隔 4 2 2" xfId="558"/>
    <cellStyle name="千位分隔 4 2 2 2" xfId="559"/>
    <cellStyle name="千位分隔 4 2 3" xfId="560"/>
    <cellStyle name="千位分隔 4 2 4" xfId="561"/>
    <cellStyle name="千位分隔 4 2 5" xfId="562"/>
    <cellStyle name="千位分隔 4 3" xfId="563"/>
    <cellStyle name="千位分隔 4 3 2" xfId="564"/>
    <cellStyle name="千位分隔 4 3 3" xfId="565"/>
    <cellStyle name="千位分隔 4 4" xfId="566"/>
    <cellStyle name="千位分隔 4 5" xfId="567"/>
    <cellStyle name="千位分隔 4 6" xfId="568"/>
    <cellStyle name="千位分隔 5" xfId="569"/>
    <cellStyle name="千位分隔 5 2" xfId="570"/>
    <cellStyle name="千位分隔 5 2 2" xfId="571"/>
    <cellStyle name="千位分隔 5 3" xfId="572"/>
    <cellStyle name="千位分隔 6" xfId="573"/>
    <cellStyle name="千位分隔 7" xfId="574"/>
    <cellStyle name="千位分隔 8" xfId="575"/>
    <cellStyle name="千位分隔[0] 2" xfId="576"/>
    <cellStyle name="千位分隔[0] 2 2" xfId="577"/>
    <cellStyle name="千位分隔[0] 2 2 2" xfId="578"/>
    <cellStyle name="千位分隔[0] 2 2 2 2" xfId="579"/>
    <cellStyle name="千位分隔[0] 2 2 3" xfId="580"/>
    <cellStyle name="千位分隔[0] 2 2 4" xfId="581"/>
    <cellStyle name="千位分隔[0] 2 3" xfId="582"/>
    <cellStyle name="千位分隔[0] 2 3 2" xfId="583"/>
    <cellStyle name="千位分隔[0] 2 3 2 2" xfId="584"/>
    <cellStyle name="千位分隔[0] 2 3 2 2 2" xfId="585"/>
    <cellStyle name="千位分隔[0] 2 3 2 3" xfId="586"/>
    <cellStyle name="千位分隔[0] 2 3 2 4" xfId="587"/>
    <cellStyle name="千位分隔[0] 2 3 2 5" xfId="588"/>
    <cellStyle name="千位分隔[0] 2 3 3" xfId="589"/>
    <cellStyle name="千位分隔[0] 2 3 3 2" xfId="590"/>
    <cellStyle name="千位分隔[0] 2 3 4" xfId="591"/>
    <cellStyle name="千位分隔[0] 2 3 5" xfId="592"/>
    <cellStyle name="千位分隔[0] 2 3 6" xfId="593"/>
    <cellStyle name="千位分隔[0] 2 4" xfId="594"/>
    <cellStyle name="千位分隔[0] 2 4 2" xfId="595"/>
    <cellStyle name="千位分隔[0] 2 5" xfId="596"/>
    <cellStyle name="千位分隔[0] 2 6" xfId="597"/>
    <cellStyle name="千位分隔[0] 2 7" xfId="598"/>
    <cellStyle name="千位分隔[0] 3" xfId="599"/>
    <cellStyle name="千位分隔[0] 3 2" xfId="600"/>
    <cellStyle name="千位分隔[0] 4" xfId="601"/>
    <cellStyle name="强调文字颜色 1 2" xfId="2689"/>
    <cellStyle name="强调文字颜色 1 2 2" xfId="2690"/>
    <cellStyle name="强调文字颜色 1 2 2 2" xfId="2691"/>
    <cellStyle name="强调文字颜色 1 2 3" xfId="2692"/>
    <cellStyle name="强调文字颜色 1 2 4" xfId="2693"/>
    <cellStyle name="强调文字颜色 1 3" xfId="2694"/>
    <cellStyle name="强调文字颜色 1 3 2" xfId="2695"/>
    <cellStyle name="强调文字颜色 2 2" xfId="2696"/>
    <cellStyle name="强调文字颜色 2 2 2" xfId="2697"/>
    <cellStyle name="强调文字颜色 2 2 2 2" xfId="2698"/>
    <cellStyle name="强调文字颜色 2 2 3" xfId="2699"/>
    <cellStyle name="强调文字颜色 2 2 4" xfId="2700"/>
    <cellStyle name="强调文字颜色 2 3" xfId="2701"/>
    <cellStyle name="强调文字颜色 2 3 2" xfId="2702"/>
    <cellStyle name="强调文字颜色 3 2" xfId="2703"/>
    <cellStyle name="强调文字颜色 3 2 2" xfId="2704"/>
    <cellStyle name="强调文字颜色 3 2 2 2" xfId="2705"/>
    <cellStyle name="强调文字颜色 3 2 3" xfId="2706"/>
    <cellStyle name="强调文字颜色 3 2 4" xfId="2707"/>
    <cellStyle name="强调文字颜色 3 3" xfId="2708"/>
    <cellStyle name="强调文字颜色 3 3 2" xfId="2709"/>
    <cellStyle name="强调文字颜色 4 2" xfId="2710"/>
    <cellStyle name="强调文字颜色 4 2 2" xfId="2711"/>
    <cellStyle name="强调文字颜色 4 2 2 2" xfId="2712"/>
    <cellStyle name="强调文字颜色 4 2 3" xfId="2713"/>
    <cellStyle name="强调文字颜色 4 2 4" xfId="2714"/>
    <cellStyle name="强调文字颜色 4 3" xfId="2715"/>
    <cellStyle name="强调文字颜色 4 3 2" xfId="2716"/>
    <cellStyle name="强调文字颜色 5 2" xfId="2717"/>
    <cellStyle name="强调文字颜色 5 2 2" xfId="2718"/>
    <cellStyle name="强调文字颜色 5 2 2 2" xfId="2719"/>
    <cellStyle name="强调文字颜色 5 2 3" xfId="2720"/>
    <cellStyle name="强调文字颜色 5 2 4" xfId="2721"/>
    <cellStyle name="强调文字颜色 5 3" xfId="2722"/>
    <cellStyle name="强调文字颜色 5 3 2" xfId="2723"/>
    <cellStyle name="强调文字颜色 6 2" xfId="2724"/>
    <cellStyle name="强调文字颜色 6 2 2" xfId="2725"/>
    <cellStyle name="强调文字颜色 6 2 2 2" xfId="2726"/>
    <cellStyle name="强调文字颜色 6 2 3" xfId="2727"/>
    <cellStyle name="强调文字颜色 6 2 4" xfId="2728"/>
    <cellStyle name="强调文字颜色 6 3" xfId="2729"/>
    <cellStyle name="强调文字颜色 6 3 2" xfId="2730"/>
    <cellStyle name="入力" xfId="506"/>
    <cellStyle name="入力 2" xfId="507"/>
    <cellStyle name="入力 2 2" xfId="508"/>
    <cellStyle name="入力 2 3" xfId="509"/>
    <cellStyle name="入力 2 4" xfId="510"/>
    <cellStyle name="入力 2 5" xfId="511"/>
    <cellStyle name="入力 3" xfId="512"/>
    <cellStyle name="入力 3 2" xfId="513"/>
    <cellStyle name="入力 3 3" xfId="514"/>
    <cellStyle name="入力 3 4" xfId="515"/>
    <cellStyle name="入力 3 5" xfId="516"/>
    <cellStyle name="入力 4" xfId="517"/>
    <cellStyle name="入力 4 2" xfId="518"/>
    <cellStyle name="入力 4 3" xfId="519"/>
    <cellStyle name="入力 4 4" xfId="520"/>
    <cellStyle name="入力 4 5" xfId="521"/>
    <cellStyle name="入力 5" xfId="522"/>
    <cellStyle name="入力 5 2" xfId="523"/>
    <cellStyle name="入力 6" xfId="524"/>
    <cellStyle name="适中 2" xfId="3134"/>
    <cellStyle name="适中 2 2" xfId="3135"/>
    <cellStyle name="适中 2 2 2" xfId="3136"/>
    <cellStyle name="适中 2 3" xfId="3137"/>
    <cellStyle name="适中 2 4" xfId="3138"/>
    <cellStyle name="适中 3" xfId="3139"/>
    <cellStyle name="适中 3 2" xfId="3140"/>
    <cellStyle name="输出 2" xfId="3105"/>
    <cellStyle name="输出 2 2" xfId="3106"/>
    <cellStyle name="输出 2 2 2" xfId="3107"/>
    <cellStyle name="输出 2 2 3" xfId="3108"/>
    <cellStyle name="输出 2 2 4" xfId="3109"/>
    <cellStyle name="输出 2 3" xfId="3110"/>
    <cellStyle name="输出 2 3 2" xfId="3111"/>
    <cellStyle name="输出 2 3 3" xfId="3112"/>
    <cellStyle name="输出 2 3 4" xfId="3113"/>
    <cellStyle name="输出 2 4" xfId="3114"/>
    <cellStyle name="输出 2 4 2" xfId="3115"/>
    <cellStyle name="输出 2 4 3" xfId="3116"/>
    <cellStyle name="输出 2 4 4" xfId="3117"/>
    <cellStyle name="输出 2 5" xfId="3118"/>
    <cellStyle name="输出 2 6" xfId="3119"/>
    <cellStyle name="输出 2 7" xfId="3120"/>
    <cellStyle name="输出 2 8" xfId="3121"/>
    <cellStyle name="输出 3" xfId="3122"/>
    <cellStyle name="输出 3 2" xfId="3123"/>
    <cellStyle name="输出 3 2 2" xfId="3124"/>
    <cellStyle name="输出 3 2 3" xfId="3125"/>
    <cellStyle name="输出 3 2 4" xfId="3126"/>
    <cellStyle name="输出 3 3" xfId="3127"/>
    <cellStyle name="输出 3 3 2" xfId="3128"/>
    <cellStyle name="输出 3 3 3" xfId="3129"/>
    <cellStyle name="输出 3 3 4" xfId="3130"/>
    <cellStyle name="输出 3 4" xfId="3131"/>
    <cellStyle name="输出 3 5" xfId="3132"/>
    <cellStyle name="输出 3 6" xfId="3133"/>
    <cellStyle name="输入 2" xfId="3075"/>
    <cellStyle name="输入 2 2" xfId="3076"/>
    <cellStyle name="输入 2 2 2" xfId="3077"/>
    <cellStyle name="输入 2 2 3" xfId="3078"/>
    <cellStyle name="输入 2 2 4" xfId="3079"/>
    <cellStyle name="输入 2 3" xfId="3080"/>
    <cellStyle name="输入 2 3 2" xfId="3081"/>
    <cellStyle name="输入 2 3 3" xfId="3082"/>
    <cellStyle name="输入 2 3 4" xfId="3083"/>
    <cellStyle name="输入 2 4" xfId="3084"/>
    <cellStyle name="输入 2 4 2" xfId="3085"/>
    <cellStyle name="输入 2 4 3" xfId="3086"/>
    <cellStyle name="输入 2 4 4" xfId="3087"/>
    <cellStyle name="输入 2 5" xfId="3088"/>
    <cellStyle name="输入 2 6" xfId="3089"/>
    <cellStyle name="输入 2 7" xfId="3090"/>
    <cellStyle name="输入 2 8" xfId="3091"/>
    <cellStyle name="输入 3" xfId="3092"/>
    <cellStyle name="输入 3 2" xfId="3093"/>
    <cellStyle name="输入 3 2 2" xfId="3094"/>
    <cellStyle name="输入 3 2 3" xfId="3095"/>
    <cellStyle name="输入 3 2 4" xfId="3096"/>
    <cellStyle name="输入 3 3" xfId="3097"/>
    <cellStyle name="输入 3 3 2" xfId="3098"/>
    <cellStyle name="输入 3 3 3" xfId="3099"/>
    <cellStyle name="输入 3 3 4" xfId="3100"/>
    <cellStyle name="输入 3 4" xfId="3101"/>
    <cellStyle name="输入 3 5" xfId="3102"/>
    <cellStyle name="输入 3 6" xfId="3103"/>
    <cellStyle name="输入 3 7" xfId="3104"/>
    <cellStyle name="輸出" xfId="3071"/>
    <cellStyle name="輸出 2" xfId="3072"/>
    <cellStyle name="輸出 3" xfId="3073"/>
    <cellStyle name="輸出 4" xfId="3074"/>
    <cellStyle name="輸入" xfId="3067"/>
    <cellStyle name="輸入 2" xfId="3068"/>
    <cellStyle name="輸入 3" xfId="3069"/>
    <cellStyle name="輸入 4" xfId="3070"/>
    <cellStyle name="說明文字" xfId="2969"/>
    <cellStyle name="說明文字 2" xfId="2970"/>
    <cellStyle name="説明文" xfId="2971"/>
    <cellStyle name="説明文 2" xfId="2972"/>
    <cellStyle name="説明文 2 2" xfId="2973"/>
    <cellStyle name="説明文 2 3" xfId="2974"/>
    <cellStyle name="説明文 3" xfId="2975"/>
    <cellStyle name="説明文 3 2" xfId="2976"/>
    <cellStyle name="説明文 4" xfId="2977"/>
    <cellStyle name="메모" xfId="470"/>
    <cellStyle name="메모 2" xfId="471"/>
    <cellStyle name="小数位数1位" xfId="1328"/>
    <cellStyle name="백분율 2" xfId="472"/>
    <cellStyle name="中等" xfId="500"/>
    <cellStyle name="中等 2" xfId="501"/>
    <cellStyle name="보통" xfId="473"/>
    <cellStyle name="注释 2" xfId="2859"/>
    <cellStyle name="注释 2 2" xfId="2860"/>
    <cellStyle name="注释 2 2 2" xfId="2861"/>
    <cellStyle name="注释 2 2 3" xfId="2862"/>
    <cellStyle name="注释 2 2 4" xfId="2863"/>
    <cellStyle name="注释 2 3" xfId="2864"/>
    <cellStyle name="注释 2 3 2" xfId="2865"/>
    <cellStyle name="注释 2 3 3" xfId="2866"/>
    <cellStyle name="注释 2 3 4" xfId="2867"/>
    <cellStyle name="注释 2 4" xfId="2868"/>
    <cellStyle name="注释 2 4 2" xfId="2869"/>
    <cellStyle name="注释 2 4 3" xfId="2870"/>
    <cellStyle name="注释 2 4 4" xfId="2871"/>
    <cellStyle name="注释 2 5" xfId="2872"/>
    <cellStyle name="注释 2 6" xfId="2873"/>
    <cellStyle name="注释 3" xfId="2874"/>
    <cellStyle name="注释 3 2" xfId="2875"/>
    <cellStyle name="注释 3 2 2" xfId="2876"/>
    <cellStyle name="注释 3 2 3" xfId="2877"/>
    <cellStyle name="注释 3 2 4" xfId="2878"/>
    <cellStyle name="注释 3 3" xfId="2879"/>
    <cellStyle name="注释 3 3 2" xfId="2880"/>
    <cellStyle name="注释 3 3 3" xfId="2881"/>
    <cellStyle name="注释 3 3 4" xfId="2882"/>
    <cellStyle name="注释 3 4" xfId="2883"/>
    <cellStyle name="注释 3 5" xfId="2884"/>
    <cellStyle name="注释 3 6" xfId="2885"/>
    <cellStyle name="설명 텍스트" xfId="474"/>
    <cellStyle name="셀 확인" xfId="475"/>
    <cellStyle name="쉼표 [0] 2" xfId="476"/>
    <cellStyle name="쉼표 [0] 2 2" xfId="477"/>
    <cellStyle name="연결된 셀" xfId="478"/>
    <cellStyle name="요약" xfId="479"/>
    <cellStyle name="입력" xfId="480"/>
    <cellStyle name="제목" xfId="481"/>
    <cellStyle name="제목 1" xfId="482"/>
    <cellStyle name="제목 2" xfId="483"/>
    <cellStyle name="제목 3" xfId="484"/>
    <cellStyle name="제목 4" xfId="485"/>
    <cellStyle name="좋음" xfId="486"/>
    <cellStyle name="출력" xfId="487"/>
    <cellStyle name="콤마 [0]_견적서1" xfId="488"/>
    <cellStyle name="콤마_리그" xfId="489"/>
    <cellStyle name="표준 2" xfId="490"/>
    <cellStyle name="표준 2 2" xfId="491"/>
    <cellStyle name="표준 2 2 2" xfId="492"/>
    <cellStyle name="표준 2 2 6 2" xfId="493"/>
    <cellStyle name="표준 3" xfId="494"/>
    <cellStyle name="표준 3 2" xfId="495"/>
    <cellStyle name="표준 3 3 2 2" xfId="496"/>
    <cellStyle name="표준 4" xfId="497"/>
    <cellStyle name="표준 5" xfId="498"/>
    <cellStyle name="표준_견적" xfId="499"/>
  </cellStyles>
  <dxfs count="404">
    <dxf>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ill>
        <gradientFill degree="90">
          <stop position="0">
            <color rgb="FF0070C0"/>
          </stop>
          <stop position="1">
            <color rgb="FF0070C0"/>
          </stop>
        </gradientFill>
      </fill>
    </dxf>
    <dxf>
      <fill>
        <patternFill>
          <bgColor rgb="FF7030A0"/>
        </patternFill>
      </fill>
    </dxf>
    <dxf>
      <fill>
        <patternFill>
          <bgColor theme="9" tint="-0.24994659260841701"/>
        </patternFill>
      </fill>
    </dxf>
    <dxf>
      <font>
        <color rgb="FF00B050"/>
      </font>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ont>
        <color rgb="FF00B050"/>
      </font>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ont>
        <color rgb="FF00B050"/>
      </font>
    </dxf>
    <dxf>
      <font>
        <color rgb="FF00B050"/>
      </font>
    </dxf>
    <dxf>
      <font>
        <color rgb="FF00B050"/>
      </font>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ont>
        <color rgb="FF00B050"/>
      </font>
    </dxf>
    <dxf>
      <font>
        <color rgb="FF00B050"/>
      </font>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0" tint="-0.14996795556505021"/>
        </patternFill>
      </fill>
    </dxf>
    <dxf>
      <fill>
        <patternFill>
          <bgColor rgb="FFFFFF99"/>
        </patternFill>
      </fill>
    </dxf>
    <dxf>
      <fill>
        <patternFill>
          <bgColor theme="0" tint="-0.14996795556505021"/>
        </patternFill>
      </fill>
    </dxf>
    <dxf>
      <fill>
        <patternFill>
          <bgColor theme="0" tint="-0.14996795556505021"/>
        </patternFill>
      </fill>
    </dxf>
    <dxf>
      <fill>
        <patternFill>
          <bgColor rgb="FFFFFF99"/>
        </patternFill>
      </fill>
    </dxf>
    <dxf>
      <fill>
        <patternFill>
          <bgColor theme="0" tint="-0.14996795556505021"/>
        </patternFill>
      </fill>
    </dxf>
    <dxf>
      <fill>
        <patternFill>
          <bgColor rgb="FFFFFF9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coloration!$H$64</c:f>
              <c:strCache>
                <c:ptCount val="1"/>
                <c:pt idx="0">
                  <c:v>Total (1250)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coloration!$I$64:$P$64</c:f>
              <c:numCache>
                <c:formatCode>0.0_ </c:formatCode>
                <c:ptCount val="8"/>
                <c:pt idx="0">
                  <c:v>83.4</c:v>
                </c:pt>
                <c:pt idx="1">
                  <c:v>58.3</c:v>
                </c:pt>
                <c:pt idx="2">
                  <c:v>37.200000000000003</c:v>
                </c:pt>
                <c:pt idx="3">
                  <c:v>38.700000000000003</c:v>
                </c:pt>
                <c:pt idx="4">
                  <c:v>4.5</c:v>
                </c:pt>
                <c:pt idx="5">
                  <c:v>75</c:v>
                </c:pt>
                <c:pt idx="6">
                  <c:v>53.92</c:v>
                </c:pt>
                <c:pt idx="7">
                  <c:v>45.6</c:v>
                </c:pt>
              </c:numCache>
            </c:numRef>
          </c:val>
          <c:smooth val="0"/>
          <c:extLst>
            <c:ext xmlns:c16="http://schemas.microsoft.com/office/drawing/2014/chart" uri="{C3380CC4-5D6E-409C-BE32-E72D297353CC}">
              <c16:uniqueId val="{00000000-F0DC-44AE-9B97-8A6524B65848}"/>
            </c:ext>
          </c:extLst>
        </c:ser>
        <c:ser>
          <c:idx val="1"/>
          <c:order val="1"/>
          <c:tx>
            <c:strRef>
              <c:f>coloration!$H$65</c:f>
              <c:strCache>
                <c:ptCount val="1"/>
                <c:pt idx="0">
                  <c:v>上海 (20)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coloration!$I$65:$P$65</c:f>
              <c:numCache>
                <c:formatCode>0.0_ </c:formatCode>
                <c:ptCount val="8"/>
                <c:pt idx="0">
                  <c:v>30.299999999999997</c:v>
                </c:pt>
                <c:pt idx="1">
                  <c:v>63.3</c:v>
                </c:pt>
                <c:pt idx="2">
                  <c:v>42.2</c:v>
                </c:pt>
                <c:pt idx="3">
                  <c:v>43.7</c:v>
                </c:pt>
                <c:pt idx="4">
                  <c:v>9.5</c:v>
                </c:pt>
                <c:pt idx="5">
                  <c:v>80</c:v>
                </c:pt>
                <c:pt idx="6">
                  <c:v>47.599999999999994</c:v>
                </c:pt>
                <c:pt idx="7">
                  <c:v>38.799999999999997</c:v>
                </c:pt>
              </c:numCache>
            </c:numRef>
          </c:val>
          <c:smooth val="0"/>
          <c:extLst>
            <c:ext xmlns:c16="http://schemas.microsoft.com/office/drawing/2014/chart" uri="{C3380CC4-5D6E-409C-BE32-E72D297353CC}">
              <c16:uniqueId val="{00000001-F0DC-44AE-9B97-8A6524B65848}"/>
            </c:ext>
          </c:extLst>
        </c:ser>
        <c:ser>
          <c:idx val="2"/>
          <c:order val="2"/>
          <c:tx>
            <c:strRef>
              <c:f>coloration!$H$66</c:f>
              <c:strCache>
                <c:ptCount val="1"/>
                <c:pt idx="0">
                  <c:v>北京 (20)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coloration!$I$66:$P$66</c:f>
              <c:numCache>
                <c:formatCode>0.0_ </c:formatCode>
                <c:ptCount val="8"/>
                <c:pt idx="0">
                  <c:v>76.400000000000006</c:v>
                </c:pt>
                <c:pt idx="1">
                  <c:v>65.600000000000009</c:v>
                </c:pt>
                <c:pt idx="2">
                  <c:v>69.199999999999989</c:v>
                </c:pt>
                <c:pt idx="3">
                  <c:v>61.6</c:v>
                </c:pt>
                <c:pt idx="4">
                  <c:v>60.8</c:v>
                </c:pt>
                <c:pt idx="5">
                  <c:v>64.400000000000006</c:v>
                </c:pt>
                <c:pt idx="6">
                  <c:v>58.4</c:v>
                </c:pt>
                <c:pt idx="7">
                  <c:v>43.6</c:v>
                </c:pt>
              </c:numCache>
            </c:numRef>
          </c:val>
          <c:smooth val="0"/>
          <c:extLst>
            <c:ext xmlns:c16="http://schemas.microsoft.com/office/drawing/2014/chart" uri="{C3380CC4-5D6E-409C-BE32-E72D297353CC}">
              <c16:uniqueId val="{00000002-F0DC-44AE-9B97-8A6524B65848}"/>
            </c:ext>
          </c:extLst>
        </c:ser>
        <c:dLbls>
          <c:showLegendKey val="0"/>
          <c:showVal val="0"/>
          <c:showCatName val="0"/>
          <c:showSerName val="0"/>
          <c:showPercent val="0"/>
          <c:showBubbleSize val="0"/>
        </c:dLbls>
        <c:marker val="1"/>
        <c:smooth val="0"/>
        <c:axId val="194695552"/>
        <c:axId val="194697088"/>
      </c:lineChart>
      <c:catAx>
        <c:axId val="194695552"/>
        <c:scaling>
          <c:orientation val="minMax"/>
        </c:scaling>
        <c:delete val="0"/>
        <c:axPos val="b"/>
        <c:numFmt formatCode="General" sourceLinked="0"/>
        <c:majorTickMark val="out"/>
        <c:minorTickMark val="none"/>
        <c:tickLblPos val="nextTo"/>
        <c:crossAx val="194697088"/>
        <c:crosses val="autoZero"/>
        <c:auto val="1"/>
        <c:lblAlgn val="ctr"/>
        <c:lblOffset val="100"/>
        <c:noMultiLvlLbl val="0"/>
      </c:catAx>
      <c:valAx>
        <c:axId val="194697088"/>
        <c:scaling>
          <c:orientation val="minMax"/>
        </c:scaling>
        <c:delete val="0"/>
        <c:axPos val="l"/>
        <c:majorGridlines/>
        <c:numFmt formatCode="0.0_ " sourceLinked="1"/>
        <c:majorTickMark val="out"/>
        <c:minorTickMark val="none"/>
        <c:tickLblPos val="nextTo"/>
        <c:crossAx val="1946955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coloration!$H$64</c:f>
              <c:strCache>
                <c:ptCount val="1"/>
                <c:pt idx="0">
                  <c:v>Total (1250)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coloration!$I$64:$P$64</c:f>
              <c:numCache>
                <c:formatCode>0.0_ </c:formatCode>
                <c:ptCount val="8"/>
                <c:pt idx="0">
                  <c:v>83.4</c:v>
                </c:pt>
                <c:pt idx="1">
                  <c:v>58.3</c:v>
                </c:pt>
                <c:pt idx="2">
                  <c:v>37.200000000000003</c:v>
                </c:pt>
                <c:pt idx="3">
                  <c:v>38.700000000000003</c:v>
                </c:pt>
                <c:pt idx="4">
                  <c:v>4.5</c:v>
                </c:pt>
                <c:pt idx="5">
                  <c:v>75</c:v>
                </c:pt>
                <c:pt idx="6">
                  <c:v>53.92</c:v>
                </c:pt>
                <c:pt idx="7">
                  <c:v>45.6</c:v>
                </c:pt>
              </c:numCache>
            </c:numRef>
          </c:val>
          <c:smooth val="0"/>
          <c:extLst>
            <c:ext xmlns:c16="http://schemas.microsoft.com/office/drawing/2014/chart" uri="{C3380CC4-5D6E-409C-BE32-E72D297353CC}">
              <c16:uniqueId val="{00000000-771E-4A13-901A-B2193A553B67}"/>
            </c:ext>
          </c:extLst>
        </c:ser>
        <c:ser>
          <c:idx val="1"/>
          <c:order val="1"/>
          <c:tx>
            <c:strRef>
              <c:f>coloration!$H$65</c:f>
              <c:strCache>
                <c:ptCount val="1"/>
                <c:pt idx="0">
                  <c:v>上海 (20)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coloration!$I$65:$P$65</c:f>
              <c:numCache>
                <c:formatCode>0.0_ </c:formatCode>
                <c:ptCount val="8"/>
                <c:pt idx="0">
                  <c:v>30.299999999999997</c:v>
                </c:pt>
                <c:pt idx="1">
                  <c:v>63.3</c:v>
                </c:pt>
                <c:pt idx="2">
                  <c:v>42.2</c:v>
                </c:pt>
                <c:pt idx="3">
                  <c:v>43.7</c:v>
                </c:pt>
                <c:pt idx="4">
                  <c:v>9.5</c:v>
                </c:pt>
                <c:pt idx="5">
                  <c:v>80</c:v>
                </c:pt>
                <c:pt idx="6">
                  <c:v>47.599999999999994</c:v>
                </c:pt>
                <c:pt idx="7">
                  <c:v>38.799999999999997</c:v>
                </c:pt>
              </c:numCache>
            </c:numRef>
          </c:val>
          <c:smooth val="0"/>
          <c:extLst>
            <c:ext xmlns:c16="http://schemas.microsoft.com/office/drawing/2014/chart" uri="{C3380CC4-5D6E-409C-BE32-E72D297353CC}">
              <c16:uniqueId val="{00000001-771E-4A13-901A-B2193A553B67}"/>
            </c:ext>
          </c:extLst>
        </c:ser>
        <c:ser>
          <c:idx val="2"/>
          <c:order val="2"/>
          <c:tx>
            <c:strRef>
              <c:f>coloration!$H$66</c:f>
              <c:strCache>
                <c:ptCount val="1"/>
                <c:pt idx="0">
                  <c:v>北京 (20)</c:v>
                </c:pt>
              </c:strCache>
            </c:strRef>
          </c:tx>
          <c:cat>
            <c:strRef>
              <c:f>coloration!$I$63:$P$63</c:f>
              <c:strCache>
                <c:ptCount val="8"/>
                <c:pt idx="0">
                  <c:v>料理新鮮保持 [冷蔵庫]</c:v>
                </c:pt>
                <c:pt idx="1">
                  <c:v>野菜果物新鮮保持 [冷蔵庫]</c:v>
                </c:pt>
                <c:pt idx="2">
                  <c:v>生肉新鮮保持 [冷蔵庫]</c:v>
                </c:pt>
                <c:pt idx="3">
                  <c:v>生魚新鮮保持 [冷蔵庫]</c:v>
                </c:pt>
                <c:pt idx="4">
                  <c:v>料理新鮮保持 [常温]</c:v>
                </c:pt>
                <c:pt idx="5">
                  <c:v>野菜果物新鮮保持 [常温]</c:v>
                </c:pt>
                <c:pt idx="6">
                  <c:v>料理・点心作り・包み用</c:v>
                </c:pt>
                <c:pt idx="7">
                  <c:v>レンジ加熱</c:v>
                </c:pt>
              </c:strCache>
            </c:strRef>
          </c:cat>
          <c:val>
            <c:numRef>
              <c:f>coloration!$I$66:$P$66</c:f>
              <c:numCache>
                <c:formatCode>0.0_ </c:formatCode>
                <c:ptCount val="8"/>
                <c:pt idx="0">
                  <c:v>76.400000000000006</c:v>
                </c:pt>
                <c:pt idx="1">
                  <c:v>65.600000000000009</c:v>
                </c:pt>
                <c:pt idx="2">
                  <c:v>69.199999999999989</c:v>
                </c:pt>
                <c:pt idx="3">
                  <c:v>61.6</c:v>
                </c:pt>
                <c:pt idx="4">
                  <c:v>60.8</c:v>
                </c:pt>
                <c:pt idx="5">
                  <c:v>64.400000000000006</c:v>
                </c:pt>
                <c:pt idx="6">
                  <c:v>58.4</c:v>
                </c:pt>
                <c:pt idx="7">
                  <c:v>43.6</c:v>
                </c:pt>
              </c:numCache>
            </c:numRef>
          </c:val>
          <c:smooth val="0"/>
          <c:extLst>
            <c:ext xmlns:c16="http://schemas.microsoft.com/office/drawing/2014/chart" uri="{C3380CC4-5D6E-409C-BE32-E72D297353CC}">
              <c16:uniqueId val="{00000002-771E-4A13-901A-B2193A553B67}"/>
            </c:ext>
          </c:extLst>
        </c:ser>
        <c:dLbls>
          <c:showLegendKey val="0"/>
          <c:showVal val="0"/>
          <c:showCatName val="0"/>
          <c:showSerName val="0"/>
          <c:showPercent val="0"/>
          <c:showBubbleSize val="0"/>
        </c:dLbls>
        <c:marker val="1"/>
        <c:smooth val="0"/>
        <c:axId val="218591232"/>
        <c:axId val="218596096"/>
      </c:lineChart>
      <c:catAx>
        <c:axId val="218591232"/>
        <c:scaling>
          <c:orientation val="minMax"/>
        </c:scaling>
        <c:delete val="0"/>
        <c:axPos val="b"/>
        <c:numFmt formatCode="General" sourceLinked="0"/>
        <c:majorTickMark val="out"/>
        <c:minorTickMark val="none"/>
        <c:tickLblPos val="nextTo"/>
        <c:crossAx val="218596096"/>
        <c:crosses val="autoZero"/>
        <c:auto val="1"/>
        <c:lblAlgn val="ctr"/>
        <c:lblOffset val="100"/>
        <c:noMultiLvlLbl val="0"/>
      </c:catAx>
      <c:valAx>
        <c:axId val="218596096"/>
        <c:scaling>
          <c:orientation val="minMax"/>
        </c:scaling>
        <c:delete val="0"/>
        <c:axPos val="l"/>
        <c:majorGridlines/>
        <c:numFmt formatCode="0.0_ " sourceLinked="1"/>
        <c:majorTickMark val="out"/>
        <c:minorTickMark val="none"/>
        <c:tickLblPos val="nextTo"/>
        <c:crossAx val="2185912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219967872"/>
        <c:axId val="219970560"/>
      </c:lineChart>
      <c:catAx>
        <c:axId val="219967872"/>
        <c:scaling>
          <c:orientation val="minMax"/>
        </c:scaling>
        <c:delete val="0"/>
        <c:axPos val="b"/>
        <c:majorTickMark val="out"/>
        <c:minorTickMark val="none"/>
        <c:tickLblPos val="nextTo"/>
        <c:crossAx val="219970560"/>
        <c:crosses val="autoZero"/>
        <c:auto val="1"/>
        <c:lblAlgn val="ctr"/>
        <c:lblOffset val="100"/>
        <c:noMultiLvlLbl val="0"/>
      </c:catAx>
      <c:valAx>
        <c:axId val="219970560"/>
        <c:scaling>
          <c:orientation val="minMax"/>
        </c:scaling>
        <c:delete val="0"/>
        <c:axPos val="l"/>
        <c:majorGridlines/>
        <c:majorTickMark val="out"/>
        <c:minorTickMark val="none"/>
        <c:tickLblPos val="nextTo"/>
        <c:crossAx val="219967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spPr>
            <a:ln w="12700" cap="flat" cmpd="sng" algn="ctr">
              <a:solidFill>
                <a:sysClr val="window" lastClr="FFFFFF">
                  <a:lumMod val="100000"/>
                </a:sysClr>
              </a:solidFill>
              <a:prstDash val="solid"/>
              <a:round/>
              <a:headEnd type="none" w="med" len="med"/>
              <a:tailEnd type="none" w="med" len="med"/>
            </a:ln>
          </c:spPr>
          <c:dPt>
            <c:idx val="0"/>
            <c:bubble3D val="0"/>
            <c:spPr>
              <a:solidFill>
                <a:srgbClr val="70AD47">
                  <a:lumMod val="20000"/>
                </a:srgbClr>
              </a:solidFill>
              <a:ln w="12700" cap="flat" cmpd="sng" algn="ctr">
                <a:solidFill>
                  <a:sysClr val="window" lastClr="FFFFFF">
                    <a:lumMod val="100000"/>
                  </a:sysClr>
                </a:solidFill>
                <a:prstDash val="solid"/>
                <a:round/>
                <a:headEnd type="none" w="med" len="med"/>
                <a:tailEnd type="none" w="med" len="med"/>
              </a:ln>
            </c:spPr>
            <c:extLst>
              <c:ext xmlns:c16="http://schemas.microsoft.com/office/drawing/2014/chart" uri="{C3380CC4-5D6E-409C-BE32-E72D297353CC}">
                <c16:uniqueId val="{00000002-F0C6-413A-B247-E8872A69D370}"/>
              </c:ext>
            </c:extLst>
          </c:dPt>
          <c:dPt>
            <c:idx val="1"/>
            <c:bubble3D val="0"/>
            <c:spPr>
              <a:solidFill>
                <a:srgbClr val="70AD47">
                  <a:lumMod val="50000"/>
                </a:srgbClr>
              </a:solidFill>
              <a:ln w="12700" cap="flat" cmpd="sng" algn="ctr">
                <a:solidFill>
                  <a:sysClr val="window" lastClr="FFFFFF">
                    <a:lumMod val="100000"/>
                  </a:sysClr>
                </a:solidFill>
                <a:prstDash val="solid"/>
                <a:round/>
                <a:headEnd type="none" w="med" len="med"/>
                <a:tailEnd type="none" w="med" len="med"/>
              </a:ln>
            </c:spPr>
            <c:extLst>
              <c:ext xmlns:c16="http://schemas.microsoft.com/office/drawing/2014/chart" uri="{C3380CC4-5D6E-409C-BE32-E72D297353CC}">
                <c16:uniqueId val="{00000003-F0C6-413A-B247-E8872A69D370}"/>
              </c:ext>
            </c:extLst>
          </c:dPt>
          <c:dPt>
            <c:idx val="2"/>
            <c:bubble3D val="0"/>
            <c:spPr>
              <a:solidFill>
                <a:srgbClr val="70AD47">
                  <a:lumMod val="80000"/>
                </a:srgbClr>
              </a:solidFill>
              <a:ln w="12700" cap="flat" cmpd="sng" algn="ctr">
                <a:solidFill>
                  <a:sysClr val="window" lastClr="FFFFFF">
                    <a:lumMod val="100000"/>
                  </a:sysClr>
                </a:solidFill>
                <a:prstDash val="solid"/>
                <a:round/>
                <a:headEnd type="none" w="med" len="med"/>
                <a:tailEnd type="none" w="med" len="med"/>
              </a:ln>
            </c:spPr>
            <c:extLst>
              <c:ext xmlns:c16="http://schemas.microsoft.com/office/drawing/2014/chart" uri="{C3380CC4-5D6E-409C-BE32-E72D297353CC}">
                <c16:uniqueId val="{00000004-F0C6-413A-B247-E8872A69D370}"/>
              </c:ext>
            </c:extLst>
          </c:dPt>
          <c:dPt>
            <c:idx val="3"/>
            <c:bubble3D val="0"/>
            <c:spPr>
              <a:solidFill>
                <a:srgbClr val="70AD47">
                  <a:lumMod val="90000"/>
                  <a:lumOff val="10000"/>
                </a:srgbClr>
              </a:solidFill>
              <a:ln w="12700" cap="flat" cmpd="sng" algn="ctr">
                <a:solidFill>
                  <a:sysClr val="window" lastClr="FFFFFF">
                    <a:lumMod val="100000"/>
                  </a:sysClr>
                </a:solidFill>
                <a:prstDash val="solid"/>
                <a:round/>
                <a:headEnd type="none" w="med" len="med"/>
                <a:tailEnd type="none" w="med" len="med"/>
              </a:ln>
            </c:spPr>
            <c:extLst>
              <c:ext xmlns:c16="http://schemas.microsoft.com/office/drawing/2014/chart" uri="{C3380CC4-5D6E-409C-BE32-E72D297353CC}">
                <c16:uniqueId val="{00000005-F0C6-413A-B247-E8872A69D370}"/>
              </c:ext>
            </c:extLst>
          </c:dPt>
          <c:dPt>
            <c:idx val="4"/>
            <c:bubble3D val="0"/>
            <c:spPr>
              <a:solidFill>
                <a:srgbClr val="70AD47">
                  <a:lumMod val="60000"/>
                  <a:lumOff val="40000"/>
                </a:srgbClr>
              </a:solidFill>
              <a:ln w="12700" cap="flat" cmpd="sng" algn="ctr">
                <a:solidFill>
                  <a:sysClr val="window" lastClr="FFFFFF">
                    <a:lumMod val="100000"/>
                  </a:sysClr>
                </a:solidFill>
                <a:prstDash val="solid"/>
                <a:round/>
                <a:headEnd type="none" w="med" len="med"/>
                <a:tailEnd type="none" w="med" len="med"/>
              </a:ln>
            </c:spPr>
            <c:extLst>
              <c:ext xmlns:c16="http://schemas.microsoft.com/office/drawing/2014/chart" uri="{C3380CC4-5D6E-409C-BE32-E72D297353CC}">
                <c16:uniqueId val="{00000006-F0C6-413A-B247-E8872A69D370}"/>
              </c:ext>
            </c:extLst>
          </c:dPt>
          <c:dLbls>
            <c:dLbl>
              <c:idx val="0"/>
              <c:spPr>
                <a:noFill/>
                <a:ln>
                  <a:noFill/>
                </a:ln>
                <a:effectLst/>
              </c:spPr>
              <c:txPr>
                <a:bodyPr/>
                <a:lstStyle/>
                <a:p>
                  <a:pPr>
                    <a:defRPr>
                      <a:solidFill>
                        <a:schemeClr val="bg1"/>
                      </a:solidFill>
                      <a:latin typeface="MS PGothic" panose="020B0600070205080204" pitchFamily="34" charset="-128"/>
                      <a:ea typeface="MS PGothic" panose="020B0600070205080204" pitchFamily="34" charset="-128"/>
                    </a:defRPr>
                  </a:pPr>
                  <a:endParaRPr lang="zh-CN"/>
                </a:p>
              </c:txPr>
              <c:showLegendKey val="0"/>
              <c:showVal val="0"/>
              <c:showCatName val="1"/>
              <c:showSerName val="0"/>
              <c:showPercent val="1"/>
              <c:showBubbleSize val="0"/>
              <c:extLst>
                <c:ext xmlns:c16="http://schemas.microsoft.com/office/drawing/2014/chart" uri="{C3380CC4-5D6E-409C-BE32-E72D297353CC}">
                  <c16:uniqueId val="{00000002-F0C6-413A-B247-E8872A69D370}"/>
                </c:ext>
              </c:extLst>
            </c:dLbl>
            <c:spPr>
              <a:noFill/>
              <a:ln>
                <a:noFill/>
              </a:ln>
              <a:effectLst/>
            </c:spPr>
            <c:txPr>
              <a:bodyPr/>
              <a:lstStyle/>
              <a:p>
                <a:pPr>
                  <a:defRPr>
                    <a:latin typeface="MS PGothic" panose="020B0600070205080204" pitchFamily="34" charset="-128"/>
                    <a:ea typeface="MS PGothic" panose="020B0600070205080204" pitchFamily="34" charset="-128"/>
                  </a:defRPr>
                </a:pPr>
                <a:endParaRPr lang="zh-CN"/>
              </a:p>
            </c:txPr>
            <c:showLegendKey val="0"/>
            <c:showVal val="0"/>
            <c:showCatName val="1"/>
            <c:showSerName val="0"/>
            <c:showPercent val="1"/>
            <c:showBubbleSize val="0"/>
            <c:showLeaderLines val="1"/>
            <c:extLst>
              <c:ext xmlns:c15="http://schemas.microsoft.com/office/drawing/2012/chart" uri="{CE6537A1-D6FC-4f65-9D91-7224C49458BB}"/>
            </c:extLst>
          </c:dLbls>
          <c:cat>
            <c:strRef>
              <c:f>'tu2'!$E$17:$I$17</c:f>
              <c:strCache>
                <c:ptCount val="5"/>
                <c:pt idx="0">
                  <c:v>全く満足していない</c:v>
                </c:pt>
                <c:pt idx="1">
                  <c:v>あまり満足していない</c:v>
                </c:pt>
                <c:pt idx="2">
                  <c:v>どちらともいえない</c:v>
                </c:pt>
                <c:pt idx="3">
                  <c:v>まあまあ満足している</c:v>
                </c:pt>
                <c:pt idx="4">
                  <c:v>とても満足している</c:v>
                </c:pt>
              </c:strCache>
            </c:strRef>
          </c:cat>
          <c:val>
            <c:numRef>
              <c:f>'tu2'!$E$18:$I$18</c:f>
              <c:numCache>
                <c:formatCode>0.0</c:formatCode>
                <c:ptCount val="5"/>
                <c:pt idx="0">
                  <c:v>20</c:v>
                </c:pt>
                <c:pt idx="1">
                  <c:v>25</c:v>
                </c:pt>
                <c:pt idx="2">
                  <c:v>30</c:v>
                </c:pt>
                <c:pt idx="3">
                  <c:v>5</c:v>
                </c:pt>
                <c:pt idx="4">
                  <c:v>10</c:v>
                </c:pt>
              </c:numCache>
            </c:numRef>
          </c:val>
          <c:extLst>
            <c:ext xmlns:c16="http://schemas.microsoft.com/office/drawing/2014/chart" uri="{C3380CC4-5D6E-409C-BE32-E72D297353CC}">
              <c16:uniqueId val="{00000001-F0C6-413A-B247-E8872A69D370}"/>
            </c:ext>
          </c:extLst>
        </c:ser>
        <c:dLbls>
          <c:showLegendKey val="0"/>
          <c:showVal val="0"/>
          <c:showCatName val="0"/>
          <c:showSerName val="0"/>
          <c:showPercent val="0"/>
          <c:showBubbleSize val="0"/>
          <c:showLeaderLines val="1"/>
        </c:dLbls>
        <c:firstSliceAng val="0"/>
        <c:holeSize val="50"/>
      </c:doughnut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layout>
        <c:manualLayout>
          <c:xMode val="edge"/>
          <c:yMode val="edge"/>
          <c:x val="0.69357573131357941"/>
          <c:y val="0.35080975491874256"/>
          <c:w val="0.17875448950672668"/>
          <c:h val="0.27109974424552435"/>
        </c:manualLayout>
      </c:layout>
      <c:overlay val="0"/>
      <c:txPr>
        <a:bodyPr/>
        <a:lstStyle/>
        <a:p>
          <a:pPr>
            <a:defRPr>
              <a:latin typeface="MS PGothic"/>
              <a:ea typeface="MS PGothic"/>
              <a:cs typeface="MS PGothic"/>
            </a:defRPr>
          </a:pPr>
          <a:endParaRPr lang="zh-CN"/>
        </a:p>
      </c:txPr>
    </c:legend>
    <c:plotVisOnly val="1"/>
    <c:dispBlanksAs val="gap"/>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a:latin typeface="MS PGothic"/>
          <a:ea typeface="MS PGothic"/>
          <a:cs typeface="MS PGothic"/>
        </a:defRPr>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8" Type="http://schemas.openxmlformats.org/officeDocument/2006/relationships/image" Target="file:///C:\Users\tianyunchuan\iCloudDrive\Desktop\_win_Trans_mac_\_excel\myTools_01\importPic\face_3.png" TargetMode="External"/><Relationship Id="rId13"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7.png"/><Relationship Id="rId12" Type="http://schemas.openxmlformats.org/officeDocument/2006/relationships/image" Target="file:///C:\Users\tianyunchuan\iCloudDrive\Desktop\_win_Trans_mac_\_excel\myTools_01\importPic\mp_01.png" TargetMode="External"/><Relationship Id="rId2" Type="http://schemas.openxmlformats.org/officeDocument/2006/relationships/image" Target="file:///C:\Users\tianyunchuan\iCloudDrive\Desktop\_win_Trans_mac_\_excel\myTools_01\importPic\china_flag_1.png" TargetMode="External"/><Relationship Id="rId1" Type="http://schemas.openxmlformats.org/officeDocument/2006/relationships/image" Target="../media/image4.png"/><Relationship Id="rId6" Type="http://schemas.openxmlformats.org/officeDocument/2006/relationships/image" Target="file:///C:\Users\tianyunchuan\iCloudDrive\Desktop\_win_Trans_mac_\_excel\myTools_01\importPic\face_2.png" TargetMode="External"/><Relationship Id="rId11" Type="http://schemas.openxmlformats.org/officeDocument/2006/relationships/image" Target="../media/image9.png"/><Relationship Id="rId5" Type="http://schemas.openxmlformats.org/officeDocument/2006/relationships/image" Target="../media/image6.png"/><Relationship Id="rId15" Type="http://schemas.openxmlformats.org/officeDocument/2006/relationships/image" Target="file:///C:\Users\tianyunchuan\iCloudDrive\Desktop\_win_Trans_mac_\_excel\myTools_01\importPic\pc_01.png" TargetMode="External"/><Relationship Id="rId10" Type="http://schemas.openxmlformats.org/officeDocument/2006/relationships/image" Target="file:///C:\Users\tianyunchuan\iCloudDrive\Desktop\_win_Trans_mac_\_excel\myTools_01\importPic\japan_flag_1.png" TargetMode="External"/><Relationship Id="rId4" Type="http://schemas.openxmlformats.org/officeDocument/2006/relationships/image" Target="file:///C:\Users\tianyunchuan\iCloudDrive\Desktop\_win_Trans_mac_\_excel\myTools_01\importPic\face_1.png" TargetMode="External"/><Relationship Id="rId9" Type="http://schemas.openxmlformats.org/officeDocument/2006/relationships/image" Target="../media/image8.png"/><Relationship Id="rId14" Type="http://schemas.openxmlformats.org/officeDocument/2006/relationships/image" Target="file:///C:\Users\tianyunchuan\iCloudDrive\Desktop\_win_Trans_mac_\_excel\myTools_01\importPic\pc_01.jpg" TargetMode="External"/></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22</xdr:row>
      <xdr:rowOff>0</xdr:rowOff>
    </xdr:from>
    <xdr:to>
      <xdr:col>14</xdr:col>
      <xdr:colOff>114300</xdr:colOff>
      <xdr:row>31</xdr:row>
      <xdr:rowOff>7620</xdr:rowOff>
    </xdr:to>
    <xdr:pic>
      <xdr:nvPicPr>
        <xdr:cNvPr id="2" name="图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71560" y="3855720"/>
          <a:ext cx="1943100" cy="1584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552449</xdr:colOff>
      <xdr:row>66</xdr:row>
      <xdr:rowOff>14568</xdr:rowOff>
    </xdr:from>
    <xdr:to>
      <xdr:col>17</xdr:col>
      <xdr:colOff>369794</xdr:colOff>
      <xdr:row>81</xdr:row>
      <xdr:rowOff>31448</xdr:rowOff>
    </xdr:to>
    <xdr:pic>
      <xdr:nvPicPr>
        <xdr:cNvPr id="2" name="图片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8624" y="12701868"/>
          <a:ext cx="5722845" cy="2731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40</xdr:row>
      <xdr:rowOff>57150</xdr:rowOff>
    </xdr:from>
    <xdr:to>
      <xdr:col>19</xdr:col>
      <xdr:colOff>575982</xdr:colOff>
      <xdr:row>45</xdr:row>
      <xdr:rowOff>66676</xdr:rowOff>
    </xdr:to>
    <xdr:pic>
      <xdr:nvPicPr>
        <xdr:cNvPr id="3" name="图片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6300" y="8039100"/>
          <a:ext cx="10691532" cy="9144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134470</xdr:colOff>
      <xdr:row>16</xdr:row>
      <xdr:rowOff>168088</xdr:rowOff>
    </xdr:from>
    <xdr:to>
      <xdr:col>27</xdr:col>
      <xdr:colOff>145676</xdr:colOff>
      <xdr:row>31</xdr:row>
      <xdr:rowOff>123264</xdr:rowOff>
    </xdr:to>
    <xdr:sp macro="" textlink="">
      <xdr:nvSpPr>
        <xdr:cNvPr id="4" name="矩形 3">
          <a:extLst>
            <a:ext uri="{FF2B5EF4-FFF2-40B4-BE49-F238E27FC236}">
              <a16:creationId xmlns:a16="http://schemas.microsoft.com/office/drawing/2014/main" id="{00000000-0008-0000-0600-000004000000}"/>
            </a:ext>
          </a:extLst>
        </xdr:cNvPr>
        <xdr:cNvSpPr/>
      </xdr:nvSpPr>
      <xdr:spPr>
        <a:xfrm>
          <a:off x="10365441" y="3529853"/>
          <a:ext cx="6566647" cy="28911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4000"/>
            <a:t>选中区域是 样本量</a:t>
          </a:r>
          <a:r>
            <a:rPr lang="en-US" altLang="zh-CN" sz="4000"/>
            <a:t>+ </a:t>
          </a:r>
          <a:r>
            <a:rPr lang="zh-CN" altLang="en-US" sz="4000"/>
            <a:t>数据</a:t>
          </a:r>
          <a:endParaRPr lang="en-US" altLang="zh-CN" sz="4000"/>
        </a:p>
        <a:p>
          <a:pPr algn="l"/>
          <a:r>
            <a:rPr lang="zh-CN" altLang="en-US" sz="4000"/>
            <a:t>不要选标签！</a:t>
          </a:r>
          <a:endParaRPr lang="en-US" altLang="zh-CN" sz="4000"/>
        </a:p>
        <a:p>
          <a:pPr algn="l"/>
          <a:endParaRPr lang="en-US" altLang="zh-CN" sz="4000"/>
        </a:p>
        <a:p>
          <a:pPr algn="l"/>
          <a:r>
            <a:rPr lang="en-US" altLang="zh-CN" sz="4000"/>
            <a:t>sig_group_compare</a:t>
          </a:r>
          <a:endParaRPr lang="zh-CN" altLang="en-US" sz="40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3</xdr:col>
      <xdr:colOff>0</xdr:colOff>
      <xdr:row>1</xdr:row>
      <xdr:rowOff>0</xdr:rowOff>
    </xdr:to>
    <xdr:pic>
      <xdr:nvPicPr>
        <xdr:cNvPr id="9" name="图片 8">
          <a:extLst>
            <a:ext uri="{FF2B5EF4-FFF2-40B4-BE49-F238E27FC236}">
              <a16:creationId xmlns:a16="http://schemas.microsoft.com/office/drawing/2014/main" id="{00000000-0008-0000-0B00-000009000000}"/>
            </a:ext>
          </a:extLst>
        </xdr:cNvPr>
        <xdr:cNvPicPr>
          <a:picLocks/>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tretch>
          <a:fillRect/>
        </a:stretch>
      </xdr:blipFill>
      <xdr:spPr>
        <a:xfrm>
          <a:off x="1371600" y="0"/>
          <a:ext cx="685800" cy="638175"/>
        </a:xfrm>
        <a:prstGeom prst="rect">
          <a:avLst/>
        </a:prstGeom>
      </xdr:spPr>
    </xdr:pic>
    <xdr:clientData/>
  </xdr:twoCellAnchor>
  <xdr:twoCellAnchor editAs="oneCell">
    <xdr:from>
      <xdr:col>2</xdr:col>
      <xdr:colOff>0</xdr:colOff>
      <xdr:row>1</xdr:row>
      <xdr:rowOff>0</xdr:rowOff>
    </xdr:from>
    <xdr:to>
      <xdr:col>3</xdr:col>
      <xdr:colOff>0</xdr:colOff>
      <xdr:row>2</xdr:row>
      <xdr:rowOff>0</xdr:rowOff>
    </xdr:to>
    <xdr:pic>
      <xdr:nvPicPr>
        <xdr:cNvPr id="10" name="图片 9">
          <a:extLst>
            <a:ext uri="{FF2B5EF4-FFF2-40B4-BE49-F238E27FC236}">
              <a16:creationId xmlns:a16="http://schemas.microsoft.com/office/drawing/2014/main" id="{00000000-0008-0000-0B00-00000A000000}"/>
            </a:ext>
          </a:extLst>
        </xdr:cNvPr>
        <xdr:cNvPicPr>
          <a:picLocks/>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tretch>
          <a:fillRect/>
        </a:stretch>
      </xdr:blipFill>
      <xdr:spPr>
        <a:xfrm>
          <a:off x="1371600" y="638175"/>
          <a:ext cx="685800" cy="638175"/>
        </a:xfrm>
        <a:prstGeom prst="rect">
          <a:avLst/>
        </a:prstGeom>
      </xdr:spPr>
    </xdr:pic>
    <xdr:clientData/>
  </xdr:twoCellAnchor>
  <xdr:twoCellAnchor editAs="oneCell">
    <xdr:from>
      <xdr:col>2</xdr:col>
      <xdr:colOff>0</xdr:colOff>
      <xdr:row>2</xdr:row>
      <xdr:rowOff>0</xdr:rowOff>
    </xdr:from>
    <xdr:to>
      <xdr:col>3</xdr:col>
      <xdr:colOff>0</xdr:colOff>
      <xdr:row>3</xdr:row>
      <xdr:rowOff>0</xdr:rowOff>
    </xdr:to>
    <xdr:pic>
      <xdr:nvPicPr>
        <xdr:cNvPr id="11" name="图片 10">
          <a:extLst>
            <a:ext uri="{FF2B5EF4-FFF2-40B4-BE49-F238E27FC236}">
              <a16:creationId xmlns:a16="http://schemas.microsoft.com/office/drawing/2014/main" id="{00000000-0008-0000-0B00-00000B000000}"/>
            </a:ext>
          </a:extLst>
        </xdr:cNvPr>
        <xdr:cNvPicPr>
          <a:picLocks/>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tretch>
          <a:fillRect/>
        </a:stretch>
      </xdr:blipFill>
      <xdr:spPr>
        <a:xfrm>
          <a:off x="1371600" y="1276350"/>
          <a:ext cx="685800" cy="638175"/>
        </a:xfrm>
        <a:prstGeom prst="rect">
          <a:avLst/>
        </a:prstGeom>
      </xdr:spPr>
    </xdr:pic>
    <xdr:clientData/>
  </xdr:twoCellAnchor>
  <xdr:twoCellAnchor editAs="oneCell">
    <xdr:from>
      <xdr:col>2</xdr:col>
      <xdr:colOff>0</xdr:colOff>
      <xdr:row>3</xdr:row>
      <xdr:rowOff>0</xdr:rowOff>
    </xdr:from>
    <xdr:to>
      <xdr:col>3</xdr:col>
      <xdr:colOff>0</xdr:colOff>
      <xdr:row>4</xdr:row>
      <xdr:rowOff>0</xdr:rowOff>
    </xdr:to>
    <xdr:pic>
      <xdr:nvPicPr>
        <xdr:cNvPr id="12" name="图片 11">
          <a:extLst>
            <a:ext uri="{FF2B5EF4-FFF2-40B4-BE49-F238E27FC236}">
              <a16:creationId xmlns:a16="http://schemas.microsoft.com/office/drawing/2014/main" id="{00000000-0008-0000-0B00-00000C000000}"/>
            </a:ext>
          </a:extLst>
        </xdr:cNvPr>
        <xdr:cNvPicPr>
          <a:picLocks/>
        </xdr:cNvPicPr>
      </xdr:nvPicPr>
      <xdr:blipFill>
        <a:blip xmlns:r="http://schemas.openxmlformats.org/officeDocument/2006/relationships" r:embed="rId7" r:link="rId8" cstate="print">
          <a:extLst>
            <a:ext uri="{28A0092B-C50C-407E-A947-70E740481C1C}">
              <a14:useLocalDpi xmlns:a14="http://schemas.microsoft.com/office/drawing/2010/main" val="0"/>
            </a:ext>
          </a:extLst>
        </a:blip>
        <a:stretch>
          <a:fillRect/>
        </a:stretch>
      </xdr:blipFill>
      <xdr:spPr>
        <a:xfrm>
          <a:off x="1371600" y="1914525"/>
          <a:ext cx="685800" cy="638175"/>
        </a:xfrm>
        <a:prstGeom prst="rect">
          <a:avLst/>
        </a:prstGeom>
      </xdr:spPr>
    </xdr:pic>
    <xdr:clientData/>
  </xdr:twoCellAnchor>
  <xdr:twoCellAnchor editAs="oneCell">
    <xdr:from>
      <xdr:col>2</xdr:col>
      <xdr:colOff>0</xdr:colOff>
      <xdr:row>4</xdr:row>
      <xdr:rowOff>0</xdr:rowOff>
    </xdr:from>
    <xdr:to>
      <xdr:col>3</xdr:col>
      <xdr:colOff>0</xdr:colOff>
      <xdr:row>5</xdr:row>
      <xdr:rowOff>0</xdr:rowOff>
    </xdr:to>
    <xdr:pic>
      <xdr:nvPicPr>
        <xdr:cNvPr id="13" name="图片 12">
          <a:extLst>
            <a:ext uri="{FF2B5EF4-FFF2-40B4-BE49-F238E27FC236}">
              <a16:creationId xmlns:a16="http://schemas.microsoft.com/office/drawing/2014/main" id="{00000000-0008-0000-0B00-00000D000000}"/>
            </a:ext>
          </a:extLst>
        </xdr:cNvPr>
        <xdr:cNvPicPr>
          <a:picLocks/>
        </xdr:cNvPicPr>
      </xdr:nvPicPr>
      <xdr:blipFill>
        <a:blip xmlns:r="http://schemas.openxmlformats.org/officeDocument/2006/relationships" r:embed="rId9" r:link="rId10" cstate="print">
          <a:extLst>
            <a:ext uri="{28A0092B-C50C-407E-A947-70E740481C1C}">
              <a14:useLocalDpi xmlns:a14="http://schemas.microsoft.com/office/drawing/2010/main" val="0"/>
            </a:ext>
          </a:extLst>
        </a:blip>
        <a:stretch>
          <a:fillRect/>
        </a:stretch>
      </xdr:blipFill>
      <xdr:spPr>
        <a:xfrm>
          <a:off x="1371600" y="2552700"/>
          <a:ext cx="685800" cy="638175"/>
        </a:xfrm>
        <a:prstGeom prst="rect">
          <a:avLst/>
        </a:prstGeom>
      </xdr:spPr>
    </xdr:pic>
    <xdr:clientData/>
  </xdr:twoCellAnchor>
  <xdr:twoCellAnchor editAs="oneCell">
    <xdr:from>
      <xdr:col>2</xdr:col>
      <xdr:colOff>0</xdr:colOff>
      <xdr:row>5</xdr:row>
      <xdr:rowOff>0</xdr:rowOff>
    </xdr:from>
    <xdr:to>
      <xdr:col>3</xdr:col>
      <xdr:colOff>0</xdr:colOff>
      <xdr:row>6</xdr:row>
      <xdr:rowOff>0</xdr:rowOff>
    </xdr:to>
    <xdr:pic>
      <xdr:nvPicPr>
        <xdr:cNvPr id="14" name="图片 13">
          <a:extLst>
            <a:ext uri="{FF2B5EF4-FFF2-40B4-BE49-F238E27FC236}">
              <a16:creationId xmlns:a16="http://schemas.microsoft.com/office/drawing/2014/main" id="{00000000-0008-0000-0B00-00000E000000}"/>
            </a:ext>
          </a:extLst>
        </xdr:cNvPr>
        <xdr:cNvPicPr>
          <a:picLocks/>
        </xdr:cNvPicPr>
      </xdr:nvPicPr>
      <xdr:blipFill>
        <a:blip xmlns:r="http://schemas.openxmlformats.org/officeDocument/2006/relationships" r:embed="rId11" r:link="rId12" cstate="print">
          <a:extLst>
            <a:ext uri="{28A0092B-C50C-407E-A947-70E740481C1C}">
              <a14:useLocalDpi xmlns:a14="http://schemas.microsoft.com/office/drawing/2010/main" val="0"/>
            </a:ext>
          </a:extLst>
        </a:blip>
        <a:stretch>
          <a:fillRect/>
        </a:stretch>
      </xdr:blipFill>
      <xdr:spPr>
        <a:xfrm>
          <a:off x="1371600" y="3190875"/>
          <a:ext cx="685800" cy="638175"/>
        </a:xfrm>
        <a:prstGeom prst="rect">
          <a:avLst/>
        </a:prstGeom>
      </xdr:spPr>
    </xdr:pic>
    <xdr:clientData/>
  </xdr:twoCellAnchor>
  <xdr:twoCellAnchor editAs="oneCell">
    <xdr:from>
      <xdr:col>2</xdr:col>
      <xdr:colOff>0</xdr:colOff>
      <xdr:row>6</xdr:row>
      <xdr:rowOff>0</xdr:rowOff>
    </xdr:from>
    <xdr:to>
      <xdr:col>3</xdr:col>
      <xdr:colOff>0</xdr:colOff>
      <xdr:row>7</xdr:row>
      <xdr:rowOff>0</xdr:rowOff>
    </xdr:to>
    <xdr:pic>
      <xdr:nvPicPr>
        <xdr:cNvPr id="15" name="图片 14">
          <a:extLst>
            <a:ext uri="{FF2B5EF4-FFF2-40B4-BE49-F238E27FC236}">
              <a16:creationId xmlns:a16="http://schemas.microsoft.com/office/drawing/2014/main" id="{00000000-0008-0000-0B00-00000F000000}"/>
            </a:ext>
          </a:extLst>
        </xdr:cNvPr>
        <xdr:cNvPicPr>
          <a:picLocks/>
        </xdr:cNvPicPr>
      </xdr:nvPicPr>
      <xdr:blipFill>
        <a:blip xmlns:r="http://schemas.openxmlformats.org/officeDocument/2006/relationships" r:embed="rId13" r:link="rId14" cstate="print">
          <a:extLst>
            <a:ext uri="{28A0092B-C50C-407E-A947-70E740481C1C}">
              <a14:useLocalDpi xmlns:a14="http://schemas.microsoft.com/office/drawing/2010/main" val="0"/>
            </a:ext>
          </a:extLst>
        </a:blip>
        <a:stretch>
          <a:fillRect/>
        </a:stretch>
      </xdr:blipFill>
      <xdr:spPr>
        <a:xfrm>
          <a:off x="1371600" y="3829050"/>
          <a:ext cx="685800" cy="638175"/>
        </a:xfrm>
        <a:prstGeom prst="rect">
          <a:avLst/>
        </a:prstGeom>
      </xdr:spPr>
    </xdr:pic>
    <xdr:clientData/>
  </xdr:twoCellAnchor>
  <xdr:twoCellAnchor editAs="oneCell">
    <xdr:from>
      <xdr:col>2</xdr:col>
      <xdr:colOff>0</xdr:colOff>
      <xdr:row>7</xdr:row>
      <xdr:rowOff>0</xdr:rowOff>
    </xdr:from>
    <xdr:to>
      <xdr:col>3</xdr:col>
      <xdr:colOff>0</xdr:colOff>
      <xdr:row>8</xdr:row>
      <xdr:rowOff>0</xdr:rowOff>
    </xdr:to>
    <xdr:pic>
      <xdr:nvPicPr>
        <xdr:cNvPr id="16" name="图片 15">
          <a:extLst>
            <a:ext uri="{FF2B5EF4-FFF2-40B4-BE49-F238E27FC236}">
              <a16:creationId xmlns:a16="http://schemas.microsoft.com/office/drawing/2014/main" id="{00000000-0008-0000-0B00-000010000000}"/>
            </a:ext>
          </a:extLst>
        </xdr:cNvPr>
        <xdr:cNvPicPr>
          <a:picLocks/>
        </xdr:cNvPicPr>
      </xdr:nvPicPr>
      <xdr:blipFill>
        <a:blip xmlns:r="http://schemas.openxmlformats.org/officeDocument/2006/relationships" r:embed="rId13" r:link="rId15" cstate="print">
          <a:extLst>
            <a:ext uri="{28A0092B-C50C-407E-A947-70E740481C1C}">
              <a14:useLocalDpi xmlns:a14="http://schemas.microsoft.com/office/drawing/2010/main" val="0"/>
            </a:ext>
          </a:extLst>
        </a:blip>
        <a:stretch>
          <a:fillRect/>
        </a:stretch>
      </xdr:blipFill>
      <xdr:spPr>
        <a:xfrm>
          <a:off x="1371600" y="4467225"/>
          <a:ext cx="685800" cy="6381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xdr:colOff>
      <xdr:row>33</xdr:row>
      <xdr:rowOff>31750</xdr:rowOff>
    </xdr:from>
    <xdr:to>
      <xdr:col>10</xdr:col>
      <xdr:colOff>266700</xdr:colOff>
      <xdr:row>46</xdr:row>
      <xdr:rowOff>95250</xdr:rowOff>
    </xdr:to>
    <xdr:graphicFrame macro="">
      <xdr:nvGraphicFramePr>
        <xdr:cNvPr id="7" name="图表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xdr:colOff>
      <xdr:row>33</xdr:row>
      <xdr:rowOff>31750</xdr:rowOff>
    </xdr:from>
    <xdr:to>
      <xdr:col>10</xdr:col>
      <xdr:colOff>266700</xdr:colOff>
      <xdr:row>46</xdr:row>
      <xdr:rowOff>95250</xdr:rowOff>
    </xdr:to>
    <xdr:graphicFrame macro="">
      <xdr:nvGraphicFramePr>
        <xdr:cNvPr id="2" name="图表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xdr:colOff>
      <xdr:row>33</xdr:row>
      <xdr:rowOff>31750</xdr:rowOff>
    </xdr:from>
    <xdr:to>
      <xdr:col>10</xdr:col>
      <xdr:colOff>266700</xdr:colOff>
      <xdr:row>46</xdr:row>
      <xdr:rowOff>95250</xdr:rowOff>
    </xdr:to>
    <xdr:graphicFrame macro="">
      <xdr:nvGraphicFramePr>
        <xdr:cNvPr id="3" name="图表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113393</xdr:colOff>
      <xdr:row>24</xdr:row>
      <xdr:rowOff>27214</xdr:rowOff>
    </xdr:from>
    <xdr:to>
      <xdr:col>13</xdr:col>
      <xdr:colOff>189593</xdr:colOff>
      <xdr:row>45</xdr:row>
      <xdr:rowOff>36739</xdr:rowOff>
    </xdr:to>
    <xdr:graphicFrame macro="">
      <xdr:nvGraphicFramePr>
        <xdr:cNvPr id="5" name="图表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表1" displayName="表1" ref="G12:I19" totalsRowShown="0">
  <autoFilter ref="G12:I19"/>
  <tableColumns count="3">
    <tableColumn id="1" name="列1"/>
    <tableColumn id="2" name="列2" dataDxfId="0"/>
    <tableColumn id="3" name="列3"/>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keisan.casio.jp/exec/user/1491916580"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Z853"/>
  <sheetViews>
    <sheetView showGridLines="0" topLeftCell="A331" zoomScale="115" zoomScaleNormal="115" workbookViewId="0">
      <selection activeCell="U339" sqref="U339"/>
    </sheetView>
  </sheetViews>
  <sheetFormatPr defaultColWidth="8.88671875" defaultRowHeight="10.8"/>
  <cols>
    <col min="1" max="1" width="2.109375" style="817" customWidth="1"/>
    <col min="2" max="2" width="6" style="817" customWidth="1"/>
    <col min="3" max="3" width="5.6640625" style="817" customWidth="1"/>
    <col min="4" max="4" width="3.109375" style="817" customWidth="1"/>
    <col min="5" max="5" width="4" style="817" customWidth="1"/>
    <col min="6" max="6" width="24.77734375" style="817" customWidth="1"/>
    <col min="7" max="30" width="3.33203125" style="817" customWidth="1"/>
    <col min="31" max="31" width="2.44140625" style="817" customWidth="1"/>
    <col min="32" max="50" width="3.33203125" style="817" customWidth="1"/>
    <col min="51" max="16384" width="8.88671875" style="817"/>
  </cols>
  <sheetData>
    <row r="1" spans="1:51" s="753" customFormat="1" ht="13.5" customHeight="1">
      <c r="A1" s="744"/>
      <c r="B1" s="745"/>
      <c r="C1" s="746"/>
      <c r="D1" s="744"/>
      <c r="E1" s="747"/>
      <c r="F1" s="744"/>
      <c r="G1" s="748"/>
      <c r="H1" s="748"/>
      <c r="I1" s="748"/>
      <c r="J1" s="748"/>
      <c r="K1" s="748"/>
      <c r="L1" s="748"/>
      <c r="M1" s="748"/>
      <c r="N1" s="748"/>
      <c r="O1" s="748"/>
      <c r="P1" s="748"/>
      <c r="Q1" s="748"/>
      <c r="R1" s="748"/>
      <c r="S1" s="748"/>
      <c r="T1" s="748"/>
      <c r="U1" s="748"/>
      <c r="V1" s="748"/>
      <c r="W1" s="748"/>
      <c r="X1" s="748"/>
      <c r="Y1" s="748"/>
      <c r="Z1" s="748"/>
      <c r="AA1" s="748"/>
      <c r="AB1" s="748"/>
      <c r="AC1" s="748"/>
      <c r="AD1" s="749"/>
      <c r="AE1" s="750"/>
      <c r="AF1" s="751"/>
      <c r="AG1" s="751"/>
      <c r="AH1" s="751"/>
      <c r="AI1" s="751"/>
      <c r="AJ1" s="751"/>
      <c r="AK1" s="751"/>
      <c r="AL1" s="751"/>
      <c r="AM1" s="751"/>
      <c r="AN1" s="751"/>
      <c r="AO1" s="751"/>
      <c r="AP1" s="751"/>
      <c r="AQ1" s="751"/>
      <c r="AR1" s="752"/>
      <c r="AS1" s="752"/>
      <c r="AT1" s="752"/>
      <c r="AU1" s="752"/>
      <c r="AV1" s="752"/>
      <c r="AW1" s="752"/>
      <c r="AX1" s="752"/>
    </row>
    <row r="2" spans="1:51" s="753" customFormat="1" ht="12" customHeight="1">
      <c r="A2" s="744"/>
      <c r="B2" s="745"/>
      <c r="C2" s="746"/>
      <c r="D2" s="744"/>
      <c r="E2" s="747"/>
      <c r="F2" s="744"/>
      <c r="G2" s="748"/>
      <c r="H2" s="748"/>
      <c r="I2" s="748"/>
      <c r="J2" s="748"/>
      <c r="K2" s="748"/>
      <c r="L2" s="748"/>
      <c r="M2" s="748"/>
      <c r="N2" s="748"/>
      <c r="O2" s="748"/>
      <c r="P2" s="748"/>
      <c r="Q2" s="748"/>
      <c r="R2" s="748"/>
      <c r="S2" s="748"/>
      <c r="T2" s="748"/>
      <c r="U2" s="748"/>
      <c r="V2" s="748"/>
      <c r="W2" s="748"/>
      <c r="X2" s="748"/>
      <c r="Y2" s="748"/>
      <c r="Z2" s="748"/>
      <c r="AA2" s="748"/>
      <c r="AB2" s="748"/>
      <c r="AC2" s="748"/>
      <c r="AD2" s="749"/>
      <c r="AE2" s="750"/>
      <c r="AF2" s="751"/>
      <c r="AG2" s="751"/>
      <c r="AH2" s="751"/>
      <c r="AI2" s="751"/>
      <c r="AJ2" s="751"/>
      <c r="AK2" s="751"/>
      <c r="AL2" s="751"/>
      <c r="AM2" s="751"/>
      <c r="AN2" s="751"/>
      <c r="AO2" s="751"/>
      <c r="AP2" s="751"/>
      <c r="AQ2" s="751"/>
      <c r="AR2" s="752"/>
      <c r="AS2" s="752"/>
      <c r="AT2" s="752"/>
      <c r="AU2" s="752"/>
      <c r="AV2" s="752"/>
      <c r="AW2" s="752"/>
      <c r="AX2" s="752"/>
    </row>
    <row r="3" spans="1:51" s="753" customFormat="1" ht="12" customHeight="1">
      <c r="A3" s="744"/>
      <c r="B3" s="745"/>
      <c r="C3" s="746"/>
      <c r="D3" s="744"/>
      <c r="E3" s="747"/>
      <c r="F3" s="744"/>
      <c r="G3" s="748"/>
      <c r="H3" s="748"/>
      <c r="I3" s="748"/>
      <c r="J3" s="748"/>
      <c r="K3" s="748"/>
      <c r="L3" s="748"/>
      <c r="M3" s="748"/>
      <c r="N3" s="748"/>
      <c r="O3" s="748"/>
      <c r="P3" s="748"/>
      <c r="Q3" s="748"/>
      <c r="R3" s="748"/>
      <c r="S3" s="748"/>
      <c r="T3" s="748"/>
      <c r="U3" s="748"/>
      <c r="V3" s="748"/>
      <c r="W3" s="748"/>
      <c r="X3" s="748"/>
      <c r="Y3" s="748"/>
      <c r="Z3" s="748"/>
      <c r="AA3" s="748"/>
      <c r="AB3" s="748"/>
      <c r="AC3" s="748"/>
      <c r="AD3" s="749"/>
      <c r="AE3" s="750"/>
      <c r="AF3" s="751"/>
      <c r="AG3" s="751"/>
      <c r="AH3" s="751"/>
      <c r="AI3" s="751"/>
      <c r="AJ3" s="751"/>
      <c r="AK3" s="751"/>
      <c r="AL3" s="751"/>
      <c r="AM3" s="751"/>
      <c r="AN3" s="751"/>
      <c r="AO3" s="751"/>
      <c r="AP3" s="751"/>
      <c r="AQ3" s="751"/>
      <c r="AR3" s="752"/>
      <c r="AS3" s="752"/>
      <c r="AT3" s="752"/>
      <c r="AU3" s="752"/>
      <c r="AV3" s="752"/>
      <c r="AW3" s="752"/>
      <c r="AX3" s="752"/>
    </row>
    <row r="4" spans="1:51" s="753" customFormat="1">
      <c r="A4" s="744"/>
      <c r="B4" s="754"/>
      <c r="C4" s="746"/>
      <c r="D4" s="744"/>
      <c r="E4" s="747"/>
      <c r="F4" s="744"/>
      <c r="G4" s="744"/>
      <c r="H4" s="744"/>
      <c r="I4" s="744"/>
      <c r="J4" s="744"/>
      <c r="K4" s="744"/>
      <c r="L4" s="744"/>
      <c r="M4" s="744"/>
      <c r="N4" s="744"/>
      <c r="O4" s="744"/>
      <c r="P4" s="744"/>
      <c r="Q4" s="744"/>
      <c r="R4" s="744"/>
      <c r="S4" s="744"/>
      <c r="T4" s="744"/>
      <c r="U4" s="748"/>
      <c r="V4" s="748"/>
      <c r="W4" s="755"/>
      <c r="X4" s="748"/>
      <c r="Y4" s="748"/>
      <c r="Z4" s="748"/>
      <c r="AA4" s="748"/>
      <c r="AB4" s="748"/>
      <c r="AC4" s="748"/>
      <c r="AD4" s="748"/>
      <c r="AE4" s="750"/>
      <c r="AF4" s="751"/>
      <c r="AG4" s="751"/>
      <c r="AH4" s="751"/>
      <c r="AI4" s="751"/>
      <c r="AJ4" s="751"/>
      <c r="AK4" s="751"/>
      <c r="AL4" s="751"/>
      <c r="AM4" s="751"/>
      <c r="AN4" s="751"/>
      <c r="AO4" s="751"/>
      <c r="AP4" s="751"/>
      <c r="AQ4" s="751"/>
      <c r="AR4" s="752"/>
      <c r="AS4" s="752"/>
      <c r="AT4" s="752"/>
      <c r="AU4" s="752"/>
      <c r="AV4" s="752"/>
      <c r="AW4" s="752"/>
      <c r="AX4" s="752"/>
    </row>
    <row r="5" spans="1:51" s="753" customFormat="1">
      <c r="A5" s="748"/>
      <c r="B5" s="745"/>
      <c r="C5" s="746"/>
      <c r="D5" s="744"/>
      <c r="E5" s="747"/>
      <c r="F5" s="744"/>
      <c r="G5" s="744"/>
      <c r="H5" s="744"/>
      <c r="I5" s="744"/>
      <c r="J5" s="744"/>
      <c r="K5" s="744"/>
      <c r="L5" s="744"/>
      <c r="M5" s="744"/>
      <c r="N5" s="744"/>
      <c r="O5" s="744"/>
      <c r="P5" s="744"/>
      <c r="Q5" s="744"/>
      <c r="R5" s="744"/>
      <c r="S5" s="744"/>
      <c r="T5" s="744"/>
      <c r="U5" s="748"/>
      <c r="V5" s="748"/>
      <c r="W5" s="756" t="s">
        <v>3775</v>
      </c>
      <c r="X5" s="756" t="s">
        <v>3776</v>
      </c>
      <c r="Y5" s="757" t="s">
        <v>3777</v>
      </c>
      <c r="Z5" s="748"/>
      <c r="AA5" s="748"/>
      <c r="AB5" s="748"/>
      <c r="AC5" s="748"/>
      <c r="AD5" s="748"/>
      <c r="AE5" s="750"/>
      <c r="AF5" s="751"/>
      <c r="AG5" s="751"/>
      <c r="AH5" s="751"/>
      <c r="AI5" s="751"/>
      <c r="AJ5" s="751"/>
      <c r="AK5" s="751"/>
      <c r="AL5" s="751"/>
      <c r="AM5" s="751"/>
      <c r="AN5" s="751"/>
      <c r="AO5" s="751"/>
      <c r="AP5" s="751"/>
      <c r="AQ5" s="751"/>
      <c r="AR5" s="752"/>
      <c r="AS5" s="752"/>
      <c r="AT5" s="752"/>
      <c r="AU5" s="752"/>
      <c r="AV5" s="752"/>
      <c r="AW5" s="752"/>
      <c r="AX5" s="752"/>
    </row>
    <row r="6" spans="1:51" s="753" customFormat="1">
      <c r="A6" s="748"/>
      <c r="B6" s="745"/>
      <c r="C6" s="746"/>
      <c r="D6" s="744"/>
      <c r="E6" s="747"/>
      <c r="F6" s="744"/>
      <c r="G6" s="744"/>
      <c r="H6" s="744"/>
      <c r="I6" s="744"/>
      <c r="J6" s="744"/>
      <c r="K6" s="744"/>
      <c r="L6" s="744"/>
      <c r="M6" s="744"/>
      <c r="N6" s="744"/>
      <c r="O6" s="744"/>
      <c r="P6" s="744"/>
      <c r="Q6" s="744"/>
      <c r="R6" s="744"/>
      <c r="S6" s="744"/>
      <c r="T6" s="744"/>
      <c r="U6" s="748"/>
      <c r="V6" s="748"/>
      <c r="W6" s="756" t="s">
        <v>3778</v>
      </c>
      <c r="X6" s="756" t="s">
        <v>3779</v>
      </c>
      <c r="Y6" s="757" t="s">
        <v>3780</v>
      </c>
      <c r="Z6" s="748"/>
      <c r="AA6" s="748"/>
      <c r="AB6" s="748"/>
      <c r="AC6" s="748"/>
      <c r="AD6" s="748"/>
      <c r="AE6" s="750"/>
      <c r="AF6" s="751"/>
      <c r="AG6" s="751"/>
      <c r="AH6" s="751"/>
      <c r="AI6" s="751"/>
      <c r="AJ6" s="751"/>
      <c r="AK6" s="751"/>
      <c r="AL6" s="751"/>
      <c r="AM6" s="751"/>
      <c r="AN6" s="751"/>
      <c r="AO6" s="751"/>
      <c r="AP6" s="751"/>
      <c r="AQ6" s="751"/>
      <c r="AR6" s="752"/>
      <c r="AS6" s="752"/>
      <c r="AT6" s="752"/>
      <c r="AU6" s="752"/>
      <c r="AV6" s="752"/>
      <c r="AW6" s="752"/>
      <c r="AX6" s="752"/>
    </row>
    <row r="7" spans="1:51" s="753" customFormat="1">
      <c r="A7" s="748"/>
      <c r="B7" s="745"/>
      <c r="C7" s="746"/>
      <c r="D7" s="744"/>
      <c r="E7" s="747"/>
      <c r="F7" s="744"/>
      <c r="G7" s="744"/>
      <c r="H7" s="744"/>
      <c r="I7" s="744"/>
      <c r="J7" s="744"/>
      <c r="K7" s="744"/>
      <c r="L7" s="744"/>
      <c r="M7" s="744"/>
      <c r="N7" s="744"/>
      <c r="O7" s="744"/>
      <c r="P7" s="744"/>
      <c r="Q7" s="744"/>
      <c r="R7" s="744"/>
      <c r="S7" s="744"/>
      <c r="T7" s="744"/>
      <c r="U7" s="748"/>
      <c r="V7" s="748"/>
      <c r="W7" s="756"/>
      <c r="X7" s="756" t="s">
        <v>3781</v>
      </c>
      <c r="Y7" s="757" t="s">
        <v>3782</v>
      </c>
      <c r="Z7" s="748"/>
      <c r="AA7" s="748"/>
      <c r="AB7" s="748"/>
      <c r="AC7" s="748"/>
      <c r="AD7" s="748"/>
      <c r="AE7" s="750"/>
      <c r="AF7" s="751"/>
      <c r="AG7" s="751"/>
      <c r="AH7" s="751"/>
      <c r="AI7" s="751"/>
      <c r="AJ7" s="751"/>
      <c r="AK7" s="751"/>
      <c r="AL7" s="751"/>
      <c r="AM7" s="751"/>
      <c r="AN7" s="751"/>
      <c r="AO7" s="751"/>
      <c r="AP7" s="751"/>
      <c r="AQ7" s="751"/>
      <c r="AR7" s="752"/>
      <c r="AS7" s="752"/>
      <c r="AT7" s="752"/>
      <c r="AU7" s="752"/>
      <c r="AV7" s="752"/>
      <c r="AW7" s="752"/>
      <c r="AX7" s="752"/>
    </row>
    <row r="8" spans="1:51" s="753" customFormat="1">
      <c r="A8" s="748"/>
      <c r="B8" s="745"/>
      <c r="C8" s="746"/>
      <c r="D8" s="744"/>
      <c r="E8" s="748"/>
      <c r="F8" s="744"/>
      <c r="G8" s="744"/>
      <c r="H8" s="744"/>
      <c r="I8" s="744"/>
      <c r="J8" s="744"/>
      <c r="K8" s="744"/>
      <c r="L8" s="744"/>
      <c r="M8" s="744"/>
      <c r="N8" s="744"/>
      <c r="O8" s="744"/>
      <c r="P8" s="744"/>
      <c r="Q8" s="744"/>
      <c r="R8" s="744"/>
      <c r="S8" s="744"/>
      <c r="T8" s="744"/>
      <c r="U8" s="748"/>
      <c r="V8" s="748"/>
      <c r="W8" s="756"/>
      <c r="X8" s="756" t="s">
        <v>3783</v>
      </c>
      <c r="Y8" s="757" t="s">
        <v>3784</v>
      </c>
      <c r="Z8" s="748"/>
      <c r="AA8" s="748"/>
      <c r="AB8" s="748"/>
      <c r="AC8" s="748"/>
      <c r="AD8" s="748"/>
      <c r="AE8" s="750"/>
      <c r="AF8" s="751"/>
      <c r="AG8" s="751"/>
      <c r="AH8" s="751"/>
      <c r="AI8" s="751"/>
      <c r="AJ8" s="751"/>
      <c r="AK8" s="751"/>
      <c r="AL8" s="751"/>
      <c r="AM8" s="751"/>
      <c r="AN8" s="751"/>
      <c r="AO8" s="751"/>
      <c r="AP8" s="751"/>
      <c r="AQ8" s="751"/>
      <c r="AR8" s="752"/>
      <c r="AS8" s="752"/>
      <c r="AT8" s="752"/>
      <c r="AU8" s="752"/>
      <c r="AV8" s="752"/>
      <c r="AW8" s="752"/>
      <c r="AX8" s="752"/>
    </row>
    <row r="9" spans="1:51" s="753" customFormat="1" ht="6.75" customHeight="1">
      <c r="A9" s="748"/>
      <c r="B9" s="745"/>
      <c r="C9" s="746"/>
      <c r="D9" s="744"/>
      <c r="E9" s="747"/>
      <c r="F9" s="744"/>
      <c r="G9" s="744"/>
      <c r="H9" s="744"/>
      <c r="I9" s="744"/>
      <c r="J9" s="744"/>
      <c r="K9" s="744"/>
      <c r="L9" s="744"/>
      <c r="M9" s="744"/>
      <c r="N9" s="744"/>
      <c r="O9" s="744"/>
      <c r="P9" s="744"/>
      <c r="Q9" s="744"/>
      <c r="R9" s="748"/>
      <c r="S9" s="748"/>
      <c r="T9" s="748"/>
      <c r="U9" s="748"/>
      <c r="V9" s="748"/>
      <c r="W9" s="755"/>
      <c r="X9" s="748"/>
      <c r="Y9" s="748"/>
      <c r="Z9" s="748"/>
      <c r="AA9" s="748"/>
      <c r="AB9" s="748"/>
      <c r="AC9" s="748"/>
      <c r="AD9" s="748"/>
      <c r="AE9" s="750"/>
      <c r="AF9" s="751"/>
      <c r="AG9" s="751"/>
      <c r="AH9" s="751"/>
      <c r="AI9" s="751"/>
      <c r="AJ9" s="751"/>
      <c r="AK9" s="751"/>
      <c r="AL9" s="751"/>
      <c r="AM9" s="751"/>
      <c r="AN9" s="751"/>
      <c r="AO9" s="751"/>
      <c r="AP9" s="751"/>
      <c r="AQ9" s="751"/>
      <c r="AR9" s="752"/>
      <c r="AS9" s="752"/>
      <c r="AT9" s="752"/>
      <c r="AU9" s="752"/>
      <c r="AV9" s="752"/>
      <c r="AW9" s="752"/>
      <c r="AX9" s="752"/>
    </row>
    <row r="10" spans="1:51" s="753" customFormat="1" ht="15" customHeight="1" thickBot="1">
      <c r="B10" s="758" t="s">
        <v>3785</v>
      </c>
      <c r="C10" s="759"/>
      <c r="W10" s="757"/>
      <c r="AC10" s="748"/>
      <c r="AD10" s="748"/>
      <c r="AE10" s="750"/>
      <c r="AF10" s="751"/>
      <c r="AG10" s="751"/>
      <c r="AH10" s="751"/>
      <c r="AI10" s="751"/>
      <c r="AJ10" s="751"/>
      <c r="AK10" s="751"/>
      <c r="AL10" s="751"/>
      <c r="AM10" s="751"/>
      <c r="AN10" s="751"/>
      <c r="AO10" s="751"/>
      <c r="AP10" s="751"/>
      <c r="AQ10" s="751"/>
      <c r="AR10" s="752"/>
      <c r="AS10" s="752"/>
      <c r="AT10" s="752"/>
      <c r="AU10" s="752"/>
      <c r="AV10" s="752"/>
      <c r="AW10" s="752"/>
      <c r="AX10" s="752"/>
    </row>
    <row r="11" spans="1:51" s="753" customFormat="1" ht="15" customHeight="1">
      <c r="B11" s="760"/>
      <c r="C11" s="761"/>
      <c r="D11" s="762"/>
      <c r="E11" s="762"/>
      <c r="F11" s="762"/>
      <c r="G11" s="762"/>
      <c r="H11" s="762"/>
      <c r="I11" s="762"/>
      <c r="J11" s="762"/>
      <c r="K11" s="762"/>
      <c r="L11" s="762"/>
      <c r="M11" s="762"/>
      <c r="N11" s="762"/>
      <c r="O11" s="762"/>
      <c r="P11" s="762"/>
      <c r="Q11" s="762"/>
      <c r="R11" s="762"/>
      <c r="S11" s="762"/>
      <c r="T11" s="762"/>
      <c r="U11" s="762"/>
      <c r="V11" s="762"/>
      <c r="W11" s="762"/>
      <c r="X11" s="762"/>
      <c r="Y11" s="762"/>
      <c r="Z11" s="763"/>
      <c r="AD11" s="749"/>
      <c r="AE11" s="750"/>
      <c r="AF11" s="751"/>
      <c r="AG11" s="751"/>
      <c r="AH11" s="751"/>
      <c r="AI11" s="751"/>
      <c r="AJ11" s="751"/>
      <c r="AK11" s="751"/>
      <c r="AL11" s="751"/>
      <c r="AM11" s="751"/>
      <c r="AN11" s="751"/>
      <c r="AO11" s="751"/>
      <c r="AP11" s="751"/>
      <c r="AQ11" s="751"/>
      <c r="AR11" s="752"/>
      <c r="AS11" s="752"/>
      <c r="AT11" s="752"/>
      <c r="AU11" s="752"/>
      <c r="AV11" s="752"/>
      <c r="AW11" s="752"/>
      <c r="AX11" s="752"/>
    </row>
    <row r="12" spans="1:51" s="753" customFormat="1" ht="15" customHeight="1">
      <c r="B12" s="760"/>
      <c r="C12" s="764"/>
      <c r="D12" s="765"/>
      <c r="E12" s="766" t="s">
        <v>3786</v>
      </c>
      <c r="F12" s="753" t="s">
        <v>3787</v>
      </c>
      <c r="Z12" s="767"/>
      <c r="AD12" s="768"/>
      <c r="AE12" s="750"/>
      <c r="AF12" s="751"/>
      <c r="AG12" s="751"/>
      <c r="AH12" s="751"/>
      <c r="AI12" s="751"/>
      <c r="AJ12" s="751"/>
      <c r="AK12" s="751"/>
      <c r="AL12" s="751"/>
      <c r="AM12" s="751"/>
      <c r="AN12" s="751"/>
      <c r="AO12" s="751"/>
      <c r="AP12" s="751"/>
      <c r="AQ12" s="751"/>
      <c r="AR12" s="752"/>
      <c r="AS12" s="752"/>
      <c r="AT12" s="752"/>
      <c r="AU12" s="752"/>
      <c r="AV12" s="752"/>
      <c r="AW12" s="752"/>
      <c r="AX12" s="752"/>
    </row>
    <row r="13" spans="1:51" s="753" customFormat="1" ht="15" customHeight="1">
      <c r="B13" s="760"/>
      <c r="C13" s="764"/>
      <c r="D13" s="765"/>
      <c r="E13" s="766" t="s">
        <v>3788</v>
      </c>
      <c r="F13" s="753" t="s">
        <v>3789</v>
      </c>
      <c r="Z13" s="767"/>
      <c r="AD13" s="768"/>
      <c r="AE13" s="750"/>
      <c r="AF13" s="751"/>
      <c r="AG13" s="751"/>
      <c r="AH13" s="751"/>
      <c r="AI13" s="751"/>
      <c r="AJ13" s="751"/>
      <c r="AK13" s="751"/>
      <c r="AL13" s="751"/>
      <c r="AM13" s="751"/>
      <c r="AN13" s="751"/>
      <c r="AO13" s="751"/>
      <c r="AP13" s="751"/>
      <c r="AQ13" s="751"/>
      <c r="AR13" s="752"/>
      <c r="AS13" s="752"/>
      <c r="AT13" s="752"/>
      <c r="AU13" s="752"/>
      <c r="AV13" s="752"/>
      <c r="AW13" s="752"/>
      <c r="AX13" s="752"/>
    </row>
    <row r="14" spans="1:51" s="770" customFormat="1" ht="15" customHeight="1">
      <c r="A14" s="753"/>
      <c r="B14" s="760"/>
      <c r="C14" s="764"/>
      <c r="D14" s="765"/>
      <c r="E14" s="766" t="s">
        <v>3790</v>
      </c>
      <c r="F14" s="753" t="s">
        <v>3791</v>
      </c>
      <c r="G14" s="753"/>
      <c r="H14" s="753"/>
      <c r="I14" s="753"/>
      <c r="J14" s="753"/>
      <c r="K14" s="753"/>
      <c r="L14" s="753"/>
      <c r="M14" s="753"/>
      <c r="N14" s="753"/>
      <c r="O14" s="753"/>
      <c r="P14" s="753"/>
      <c r="Q14" s="753"/>
      <c r="R14" s="753"/>
      <c r="S14" s="753"/>
      <c r="T14" s="769"/>
      <c r="U14" s="769"/>
      <c r="V14" s="753"/>
      <c r="W14" s="753"/>
      <c r="X14" s="753"/>
      <c r="Y14" s="753"/>
      <c r="Z14" s="767"/>
      <c r="AA14" s="753"/>
      <c r="AB14" s="753"/>
      <c r="AC14" s="753"/>
      <c r="AD14" s="753"/>
      <c r="AE14" s="750"/>
      <c r="AF14" s="751"/>
      <c r="AG14" s="751"/>
      <c r="AH14" s="751"/>
      <c r="AI14" s="751"/>
      <c r="AJ14" s="751"/>
      <c r="AK14" s="751"/>
      <c r="AL14" s="751"/>
      <c r="AM14" s="751"/>
      <c r="AN14" s="751"/>
      <c r="AO14" s="751"/>
      <c r="AP14" s="751"/>
      <c r="AQ14" s="751"/>
      <c r="AR14" s="752"/>
      <c r="AS14" s="752"/>
      <c r="AT14" s="752"/>
      <c r="AU14" s="752"/>
      <c r="AV14" s="752"/>
      <c r="AW14" s="752"/>
      <c r="AX14" s="752"/>
      <c r="AY14" s="753"/>
    </row>
    <row r="15" spans="1:51" s="770" customFormat="1" ht="15" customHeight="1">
      <c r="A15" s="753"/>
      <c r="B15" s="760"/>
      <c r="C15" s="764"/>
      <c r="D15" s="765"/>
      <c r="E15" s="766" t="s">
        <v>3792</v>
      </c>
      <c r="F15" s="753" t="s">
        <v>3793</v>
      </c>
      <c r="G15" s="765"/>
      <c r="H15" s="765"/>
      <c r="I15" s="765"/>
      <c r="J15" s="765"/>
      <c r="K15" s="765"/>
      <c r="L15" s="765"/>
      <c r="M15" s="765"/>
      <c r="N15" s="765"/>
      <c r="O15" s="765"/>
      <c r="P15" s="765"/>
      <c r="Q15" s="765"/>
      <c r="R15" s="765"/>
      <c r="S15" s="765"/>
      <c r="T15" s="771"/>
      <c r="U15" s="769"/>
      <c r="V15" s="753"/>
      <c r="W15" s="753"/>
      <c r="X15" s="753"/>
      <c r="Y15" s="753"/>
      <c r="Z15" s="767"/>
      <c r="AA15" s="753"/>
      <c r="AB15" s="753"/>
      <c r="AC15" s="753"/>
      <c r="AD15" s="753"/>
      <c r="AE15" s="750"/>
      <c r="AF15" s="751"/>
      <c r="AG15" s="751"/>
      <c r="AH15" s="751"/>
      <c r="AI15" s="751"/>
      <c r="AJ15" s="751"/>
      <c r="AK15" s="751"/>
      <c r="AL15" s="751"/>
      <c r="AM15" s="751"/>
      <c r="AN15" s="751"/>
      <c r="AO15" s="751"/>
      <c r="AP15" s="751"/>
      <c r="AQ15" s="751"/>
      <c r="AR15" s="752"/>
      <c r="AS15" s="752"/>
      <c r="AT15" s="752"/>
      <c r="AU15" s="752"/>
      <c r="AV15" s="752"/>
      <c r="AW15" s="752"/>
      <c r="AX15" s="752"/>
      <c r="AY15" s="753"/>
    </row>
    <row r="16" spans="1:51" s="770" customFormat="1" ht="15" customHeight="1">
      <c r="A16" s="753"/>
      <c r="B16" s="760"/>
      <c r="C16" s="764"/>
      <c r="D16" s="765"/>
      <c r="E16" s="766"/>
      <c r="F16" s="753" t="s">
        <v>3794</v>
      </c>
      <c r="G16" s="765"/>
      <c r="H16" s="765"/>
      <c r="I16" s="765"/>
      <c r="J16" s="765"/>
      <c r="K16" s="765"/>
      <c r="L16" s="765"/>
      <c r="M16" s="765"/>
      <c r="N16" s="765"/>
      <c r="O16" s="765"/>
      <c r="P16" s="765"/>
      <c r="Q16" s="765"/>
      <c r="R16" s="765"/>
      <c r="S16" s="765"/>
      <c r="T16" s="771"/>
      <c r="U16" s="769"/>
      <c r="V16" s="753"/>
      <c r="W16" s="753"/>
      <c r="X16" s="753"/>
      <c r="Y16" s="753"/>
      <c r="Z16" s="767"/>
      <c r="AA16" s="753"/>
      <c r="AB16" s="753"/>
      <c r="AC16" s="753"/>
      <c r="AD16" s="753"/>
      <c r="AE16" s="750"/>
      <c r="AF16" s="751"/>
      <c r="AG16" s="751"/>
      <c r="AH16" s="751"/>
      <c r="AI16" s="751"/>
      <c r="AJ16" s="751"/>
      <c r="AK16" s="751"/>
      <c r="AL16" s="751"/>
      <c r="AM16" s="751"/>
      <c r="AN16" s="751"/>
      <c r="AO16" s="751"/>
      <c r="AP16" s="751"/>
      <c r="AQ16" s="751"/>
      <c r="AR16" s="752"/>
      <c r="AS16" s="752"/>
      <c r="AT16" s="752"/>
      <c r="AU16" s="752"/>
      <c r="AV16" s="752"/>
      <c r="AW16" s="752"/>
      <c r="AX16" s="752"/>
      <c r="AY16" s="753"/>
    </row>
    <row r="17" spans="1:51" s="770" customFormat="1" ht="15" customHeight="1">
      <c r="A17" s="753"/>
      <c r="B17" s="760"/>
      <c r="C17" s="764"/>
      <c r="D17" s="765"/>
      <c r="E17" s="766"/>
      <c r="F17" s="753" t="s">
        <v>3795</v>
      </c>
      <c r="G17" s="765"/>
      <c r="H17" s="765"/>
      <c r="I17" s="765"/>
      <c r="J17" s="765"/>
      <c r="K17" s="765"/>
      <c r="L17" s="765"/>
      <c r="M17" s="765"/>
      <c r="N17" s="765"/>
      <c r="O17" s="765"/>
      <c r="P17" s="765"/>
      <c r="Q17" s="765"/>
      <c r="R17" s="765"/>
      <c r="S17" s="765"/>
      <c r="T17" s="771"/>
      <c r="U17" s="769"/>
      <c r="V17" s="753"/>
      <c r="W17" s="753"/>
      <c r="X17" s="753"/>
      <c r="Y17" s="753"/>
      <c r="Z17" s="767"/>
      <c r="AA17" s="753"/>
      <c r="AB17" s="753"/>
      <c r="AC17" s="753"/>
      <c r="AD17" s="753"/>
      <c r="AE17" s="750"/>
      <c r="AF17" s="751"/>
      <c r="AG17" s="751"/>
      <c r="AH17" s="751"/>
      <c r="AI17" s="751"/>
      <c r="AJ17" s="751"/>
      <c r="AK17" s="751"/>
      <c r="AL17" s="751"/>
      <c r="AM17" s="751"/>
      <c r="AN17" s="751"/>
      <c r="AO17" s="751"/>
      <c r="AP17" s="751"/>
      <c r="AQ17" s="751"/>
      <c r="AR17" s="752"/>
      <c r="AS17" s="752"/>
      <c r="AT17" s="752"/>
      <c r="AU17" s="752"/>
      <c r="AV17" s="752"/>
      <c r="AW17" s="752"/>
      <c r="AX17" s="752"/>
      <c r="AY17" s="753"/>
    </row>
    <row r="18" spans="1:51" s="770" customFormat="1" ht="15" customHeight="1">
      <c r="A18" s="753"/>
      <c r="B18" s="760"/>
      <c r="C18" s="764"/>
      <c r="D18" s="765"/>
      <c r="E18" s="766"/>
      <c r="F18" s="753" t="s">
        <v>3796</v>
      </c>
      <c r="G18" s="765"/>
      <c r="H18" s="765"/>
      <c r="I18" s="765"/>
      <c r="J18" s="765"/>
      <c r="K18" s="765"/>
      <c r="L18" s="765"/>
      <c r="M18" s="765"/>
      <c r="N18" s="765"/>
      <c r="O18" s="765"/>
      <c r="P18" s="765"/>
      <c r="Q18" s="765"/>
      <c r="R18" s="765"/>
      <c r="S18" s="765"/>
      <c r="T18" s="771"/>
      <c r="U18" s="769"/>
      <c r="V18" s="753"/>
      <c r="W18" s="753"/>
      <c r="X18" s="753"/>
      <c r="Y18" s="753"/>
      <c r="Z18" s="767"/>
      <c r="AA18" s="753"/>
      <c r="AB18" s="753"/>
      <c r="AC18" s="753"/>
      <c r="AD18" s="753"/>
      <c r="AE18" s="750"/>
      <c r="AF18" s="751"/>
      <c r="AG18" s="751"/>
      <c r="AH18" s="751"/>
      <c r="AI18" s="751"/>
      <c r="AJ18" s="751"/>
      <c r="AK18" s="751"/>
      <c r="AL18" s="751"/>
      <c r="AM18" s="751"/>
      <c r="AN18" s="751"/>
      <c r="AO18" s="751"/>
      <c r="AP18" s="751"/>
      <c r="AQ18" s="751"/>
      <c r="AR18" s="752"/>
      <c r="AS18" s="752"/>
      <c r="AT18" s="752"/>
      <c r="AU18" s="752"/>
      <c r="AV18" s="752"/>
      <c r="AW18" s="752"/>
      <c r="AX18" s="752"/>
      <c r="AY18" s="753"/>
    </row>
    <row r="19" spans="1:51" s="770" customFormat="1" ht="15" customHeight="1">
      <c r="A19" s="753"/>
      <c r="B19" s="760"/>
      <c r="C19" s="764"/>
      <c r="D19" s="765"/>
      <c r="E19" s="766"/>
      <c r="F19" s="772" t="s">
        <v>3797</v>
      </c>
      <c r="G19" s="765"/>
      <c r="H19" s="765"/>
      <c r="I19" s="765"/>
      <c r="J19" s="765"/>
      <c r="K19" s="765"/>
      <c r="L19" s="765"/>
      <c r="M19" s="765"/>
      <c r="N19" s="765"/>
      <c r="O19" s="765"/>
      <c r="P19" s="765"/>
      <c r="Q19" s="765"/>
      <c r="R19" s="765"/>
      <c r="S19" s="765"/>
      <c r="T19" s="771"/>
      <c r="U19" s="769"/>
      <c r="V19" s="753"/>
      <c r="W19" s="753"/>
      <c r="X19" s="753"/>
      <c r="Y19" s="753"/>
      <c r="Z19" s="767"/>
      <c r="AA19" s="753"/>
      <c r="AB19" s="753"/>
      <c r="AC19" s="753"/>
      <c r="AD19" s="753"/>
      <c r="AE19" s="750"/>
      <c r="AF19" s="751"/>
      <c r="AG19" s="751"/>
      <c r="AH19" s="751"/>
      <c r="AI19" s="751"/>
      <c r="AJ19" s="751"/>
      <c r="AK19" s="751"/>
      <c r="AL19" s="751"/>
      <c r="AM19" s="751"/>
      <c r="AN19" s="751"/>
      <c r="AO19" s="751"/>
      <c r="AP19" s="751"/>
      <c r="AQ19" s="751"/>
      <c r="AR19" s="752"/>
      <c r="AS19" s="752"/>
      <c r="AT19" s="752"/>
      <c r="AU19" s="752"/>
      <c r="AV19" s="752"/>
      <c r="AW19" s="752"/>
      <c r="AX19" s="752"/>
      <c r="AY19" s="753"/>
    </row>
    <row r="20" spans="1:51" s="770" customFormat="1" ht="15" customHeight="1">
      <c r="A20" s="753"/>
      <c r="B20" s="760"/>
      <c r="C20" s="764"/>
      <c r="D20" s="765"/>
      <c r="E20" s="766"/>
      <c r="F20" s="773" t="s">
        <v>3798</v>
      </c>
      <c r="G20" s="765"/>
      <c r="H20" s="765"/>
      <c r="I20" s="765"/>
      <c r="J20" s="765"/>
      <c r="K20" s="765"/>
      <c r="L20" s="765"/>
      <c r="M20" s="765"/>
      <c r="N20" s="765"/>
      <c r="O20" s="765"/>
      <c r="P20" s="765"/>
      <c r="Q20" s="765"/>
      <c r="R20" s="765"/>
      <c r="S20" s="765"/>
      <c r="T20" s="771"/>
      <c r="U20" s="769"/>
      <c r="V20" s="753"/>
      <c r="W20" s="753"/>
      <c r="X20" s="753"/>
      <c r="Y20" s="753"/>
      <c r="Z20" s="767"/>
      <c r="AA20" s="753"/>
      <c r="AB20" s="753"/>
      <c r="AC20" s="753"/>
      <c r="AD20" s="753"/>
      <c r="AE20" s="750"/>
      <c r="AF20" s="751"/>
      <c r="AG20" s="751"/>
      <c r="AH20" s="751"/>
      <c r="AI20" s="751"/>
      <c r="AJ20" s="751"/>
      <c r="AK20" s="751"/>
      <c r="AL20" s="751"/>
      <c r="AM20" s="751"/>
      <c r="AN20" s="751"/>
      <c r="AO20" s="751"/>
      <c r="AP20" s="751"/>
      <c r="AQ20" s="751"/>
      <c r="AR20" s="752"/>
      <c r="AS20" s="752"/>
      <c r="AT20" s="752"/>
      <c r="AU20" s="752"/>
      <c r="AV20" s="752"/>
      <c r="AW20" s="752"/>
      <c r="AX20" s="752"/>
      <c r="AY20" s="753"/>
    </row>
    <row r="21" spans="1:51" s="770" customFormat="1" ht="15" customHeight="1">
      <c r="A21" s="753"/>
      <c r="B21" s="760"/>
      <c r="C21" s="764"/>
      <c r="D21" s="765"/>
      <c r="E21" s="766"/>
      <c r="F21" s="753" t="s">
        <v>3799</v>
      </c>
      <c r="G21" s="765"/>
      <c r="H21" s="765"/>
      <c r="I21" s="765"/>
      <c r="J21" s="765"/>
      <c r="K21" s="765"/>
      <c r="L21" s="765"/>
      <c r="M21" s="765"/>
      <c r="N21" s="765"/>
      <c r="O21" s="765"/>
      <c r="P21" s="765"/>
      <c r="Q21" s="765"/>
      <c r="R21" s="765"/>
      <c r="S21" s="765"/>
      <c r="T21" s="771"/>
      <c r="U21" s="769"/>
      <c r="V21" s="753"/>
      <c r="W21" s="753"/>
      <c r="X21" s="753"/>
      <c r="Y21" s="753"/>
      <c r="Z21" s="767"/>
      <c r="AA21" s="753"/>
      <c r="AB21" s="753"/>
      <c r="AC21" s="753"/>
      <c r="AD21" s="753"/>
      <c r="AE21" s="750"/>
      <c r="AF21" s="751"/>
      <c r="AG21" s="751"/>
      <c r="AH21" s="751"/>
      <c r="AI21" s="751"/>
      <c r="AJ21" s="751"/>
      <c r="AK21" s="751"/>
      <c r="AL21" s="751"/>
      <c r="AM21" s="751"/>
      <c r="AN21" s="751"/>
      <c r="AO21" s="751"/>
      <c r="AP21" s="751"/>
      <c r="AQ21" s="751"/>
      <c r="AR21" s="752"/>
      <c r="AS21" s="752"/>
      <c r="AT21" s="752"/>
      <c r="AU21" s="752"/>
      <c r="AV21" s="752"/>
      <c r="AW21" s="752"/>
      <c r="AX21" s="752"/>
      <c r="AY21" s="753"/>
    </row>
    <row r="22" spans="1:51" s="770" customFormat="1" ht="15" customHeight="1">
      <c r="A22" s="753"/>
      <c r="B22" s="760"/>
      <c r="C22" s="764"/>
      <c r="D22" s="765"/>
      <c r="E22" s="766"/>
      <c r="F22" s="753" t="s">
        <v>3800</v>
      </c>
      <c r="G22" s="765"/>
      <c r="H22" s="765"/>
      <c r="I22" s="765"/>
      <c r="J22" s="765"/>
      <c r="K22" s="765"/>
      <c r="L22" s="765"/>
      <c r="M22" s="765"/>
      <c r="N22" s="765"/>
      <c r="O22" s="765"/>
      <c r="P22" s="765"/>
      <c r="Q22" s="765"/>
      <c r="R22" s="765"/>
      <c r="S22" s="765"/>
      <c r="T22" s="771"/>
      <c r="U22" s="769"/>
      <c r="V22" s="753"/>
      <c r="W22" s="753"/>
      <c r="X22" s="753"/>
      <c r="Y22" s="753"/>
      <c r="Z22" s="767"/>
      <c r="AA22" s="753"/>
      <c r="AB22" s="753"/>
      <c r="AC22" s="753"/>
      <c r="AD22" s="753"/>
      <c r="AE22" s="750"/>
      <c r="AF22" s="751"/>
      <c r="AG22" s="751"/>
      <c r="AH22" s="751"/>
      <c r="AI22" s="751"/>
      <c r="AJ22" s="751"/>
      <c r="AK22" s="751"/>
      <c r="AL22" s="751"/>
      <c r="AM22" s="751"/>
      <c r="AN22" s="751"/>
      <c r="AO22" s="751"/>
      <c r="AP22" s="751"/>
      <c r="AQ22" s="751"/>
      <c r="AR22" s="752"/>
      <c r="AS22" s="752"/>
      <c r="AT22" s="752"/>
      <c r="AU22" s="752"/>
      <c r="AV22" s="752"/>
      <c r="AW22" s="752"/>
      <c r="AX22" s="752"/>
      <c r="AY22" s="753"/>
    </row>
    <row r="23" spans="1:51" s="770" customFormat="1" ht="15" customHeight="1">
      <c r="A23" s="753"/>
      <c r="B23" s="760"/>
      <c r="C23" s="764"/>
      <c r="D23" s="765"/>
      <c r="E23" s="766"/>
      <c r="F23" s="753" t="s">
        <v>3801</v>
      </c>
      <c r="G23" s="765"/>
      <c r="H23" s="765"/>
      <c r="I23" s="765"/>
      <c r="J23" s="765"/>
      <c r="K23" s="765"/>
      <c r="L23" s="765"/>
      <c r="M23" s="765"/>
      <c r="N23" s="765"/>
      <c r="O23" s="765"/>
      <c r="P23" s="765"/>
      <c r="Q23" s="765"/>
      <c r="R23" s="765"/>
      <c r="S23" s="765"/>
      <c r="T23" s="771"/>
      <c r="U23" s="769"/>
      <c r="V23" s="753"/>
      <c r="W23" s="753"/>
      <c r="X23" s="753"/>
      <c r="Y23" s="753"/>
      <c r="Z23" s="767"/>
      <c r="AA23" s="753"/>
      <c r="AB23" s="753"/>
      <c r="AC23" s="753"/>
      <c r="AD23" s="753"/>
      <c r="AE23" s="750"/>
      <c r="AF23" s="751"/>
      <c r="AG23" s="751"/>
      <c r="AH23" s="751"/>
      <c r="AI23" s="751"/>
      <c r="AJ23" s="751"/>
      <c r="AK23" s="751"/>
      <c r="AL23" s="751"/>
      <c r="AM23" s="751"/>
      <c r="AN23" s="751"/>
      <c r="AO23" s="751"/>
      <c r="AP23" s="751"/>
      <c r="AQ23" s="751"/>
      <c r="AR23" s="752"/>
      <c r="AS23" s="752"/>
      <c r="AT23" s="752"/>
      <c r="AU23" s="752"/>
      <c r="AV23" s="752"/>
      <c r="AW23" s="752"/>
      <c r="AX23" s="752"/>
      <c r="AY23" s="753"/>
    </row>
    <row r="24" spans="1:51" s="770" customFormat="1" ht="12" customHeight="1">
      <c r="A24" s="753"/>
      <c r="B24" s="760"/>
      <c r="C24" s="764"/>
      <c r="D24" s="765"/>
      <c r="E24" s="766" t="s">
        <v>3802</v>
      </c>
      <c r="F24" s="753" t="s">
        <v>3803</v>
      </c>
      <c r="G24" s="774"/>
      <c r="H24" s="774"/>
      <c r="I24" s="774"/>
      <c r="J24" s="774"/>
      <c r="K24" s="774"/>
      <c r="L24" s="774"/>
      <c r="M24" s="774"/>
      <c r="N24" s="774"/>
      <c r="O24" s="774"/>
      <c r="P24" s="774"/>
      <c r="Q24" s="774"/>
      <c r="R24" s="774"/>
      <c r="S24" s="774"/>
      <c r="T24" s="774"/>
      <c r="U24" s="753"/>
      <c r="V24" s="753"/>
      <c r="W24" s="753"/>
      <c r="X24" s="753"/>
      <c r="Y24" s="753"/>
      <c r="Z24" s="767"/>
      <c r="AA24" s="753"/>
      <c r="AB24" s="753"/>
      <c r="AC24" s="753"/>
      <c r="AD24" s="753"/>
      <c r="AE24" s="750"/>
      <c r="AF24" s="751"/>
      <c r="AG24" s="751"/>
      <c r="AH24" s="751"/>
      <c r="AI24" s="751"/>
      <c r="AJ24" s="751"/>
      <c r="AK24" s="751"/>
      <c r="AL24" s="751"/>
      <c r="AM24" s="751"/>
      <c r="AN24" s="751"/>
      <c r="AO24" s="751"/>
      <c r="AP24" s="751"/>
      <c r="AQ24" s="751"/>
      <c r="AR24" s="752"/>
      <c r="AS24" s="752"/>
      <c r="AT24" s="752"/>
      <c r="AU24" s="752"/>
      <c r="AV24" s="752"/>
      <c r="AW24" s="752"/>
      <c r="AX24" s="752"/>
      <c r="AY24" s="753"/>
    </row>
    <row r="25" spans="1:51" s="770" customFormat="1" ht="15" customHeight="1">
      <c r="A25" s="753"/>
      <c r="B25" s="760"/>
      <c r="C25" s="775"/>
      <c r="D25" s="765"/>
      <c r="E25" s="766" t="s">
        <v>3804</v>
      </c>
      <c r="F25" s="776">
        <v>28</v>
      </c>
      <c r="G25" s="777"/>
      <c r="H25" s="777"/>
      <c r="I25" s="778"/>
      <c r="J25" s="778"/>
      <c r="K25" s="778"/>
      <c r="L25" s="778"/>
      <c r="M25" s="778"/>
      <c r="N25" s="778"/>
      <c r="O25" s="778"/>
      <c r="P25" s="778"/>
      <c r="Q25" s="779"/>
      <c r="R25" s="779"/>
      <c r="S25" s="779"/>
      <c r="T25" s="771"/>
      <c r="U25" s="769"/>
      <c r="V25" s="753"/>
      <c r="W25" s="753"/>
      <c r="X25" s="753"/>
      <c r="Y25" s="753"/>
      <c r="Z25" s="767"/>
      <c r="AA25" s="753"/>
      <c r="AB25" s="753"/>
      <c r="AC25" s="753"/>
      <c r="AD25" s="753"/>
      <c r="AE25" s="750"/>
      <c r="AF25" s="751"/>
      <c r="AG25" s="751"/>
      <c r="AH25" s="751"/>
      <c r="AI25" s="751"/>
      <c r="AJ25" s="751"/>
      <c r="AK25" s="751"/>
      <c r="AL25" s="751"/>
      <c r="AM25" s="751"/>
      <c r="AN25" s="751"/>
      <c r="AO25" s="751"/>
      <c r="AP25" s="751"/>
      <c r="AQ25" s="751"/>
      <c r="AR25" s="752"/>
      <c r="AS25" s="752"/>
      <c r="AT25" s="752"/>
      <c r="AU25" s="752"/>
      <c r="AV25" s="752"/>
      <c r="AW25" s="752"/>
      <c r="AX25" s="752"/>
      <c r="AY25" s="753"/>
    </row>
    <row r="26" spans="1:51" s="770" customFormat="1" ht="15" customHeight="1">
      <c r="A26" s="753"/>
      <c r="B26" s="760"/>
      <c r="C26" s="775"/>
      <c r="D26" s="765"/>
      <c r="E26" s="766"/>
      <c r="F26" s="780">
        <v>7</v>
      </c>
      <c r="G26" s="951">
        <v>3</v>
      </c>
      <c r="H26" s="951"/>
      <c r="I26" s="951"/>
      <c r="J26" s="951"/>
      <c r="K26" s="951"/>
      <c r="L26" s="781"/>
      <c r="M26" s="781"/>
      <c r="N26" s="782"/>
      <c r="O26" s="952">
        <v>1</v>
      </c>
      <c r="P26" s="952"/>
      <c r="Q26" s="952"/>
      <c r="R26" s="952"/>
      <c r="S26" s="952"/>
      <c r="T26" s="771"/>
      <c r="U26" s="769"/>
      <c r="V26" s="753"/>
      <c r="W26" s="753"/>
      <c r="X26" s="753"/>
      <c r="Y26" s="753"/>
      <c r="Z26" s="767"/>
      <c r="AA26" s="753"/>
      <c r="AB26" s="753"/>
      <c r="AC26" s="753"/>
      <c r="AD26" s="753"/>
      <c r="AE26" s="750"/>
      <c r="AF26" s="751"/>
      <c r="AG26" s="751"/>
      <c r="AH26" s="751"/>
      <c r="AI26" s="751"/>
      <c r="AJ26" s="751"/>
      <c r="AK26" s="751"/>
      <c r="AL26" s="751"/>
      <c r="AM26" s="751"/>
      <c r="AN26" s="751"/>
      <c r="AO26" s="751"/>
      <c r="AP26" s="751"/>
      <c r="AQ26" s="751"/>
      <c r="AR26" s="752"/>
      <c r="AS26" s="752"/>
      <c r="AT26" s="752"/>
      <c r="AU26" s="752"/>
      <c r="AV26" s="752"/>
      <c r="AW26" s="752"/>
      <c r="AX26" s="752"/>
      <c r="AY26" s="753"/>
    </row>
    <row r="27" spans="1:51" s="770" customFormat="1" ht="12" customHeight="1">
      <c r="A27" s="753"/>
      <c r="B27" s="760"/>
      <c r="C27" s="764"/>
      <c r="D27" s="765"/>
      <c r="F27" s="783">
        <v>12</v>
      </c>
      <c r="G27" s="953">
        <v>3</v>
      </c>
      <c r="H27" s="953"/>
      <c r="I27" s="953"/>
      <c r="J27" s="953"/>
      <c r="K27" s="953"/>
      <c r="L27" s="784"/>
      <c r="M27" s="784"/>
      <c r="N27" s="785"/>
      <c r="O27" s="954">
        <v>2</v>
      </c>
      <c r="P27" s="954"/>
      <c r="Q27" s="954"/>
      <c r="R27" s="954"/>
      <c r="S27" s="954"/>
      <c r="T27" s="774"/>
      <c r="U27" s="753"/>
      <c r="V27" s="753"/>
      <c r="W27" s="753"/>
      <c r="X27" s="753"/>
      <c r="Y27" s="753"/>
      <c r="Z27" s="767"/>
      <c r="AA27" s="753"/>
      <c r="AB27" s="753"/>
      <c r="AC27" s="753"/>
      <c r="AD27" s="753"/>
      <c r="AE27" s="750"/>
      <c r="AF27" s="751"/>
      <c r="AG27" s="751"/>
      <c r="AH27" s="751"/>
      <c r="AI27" s="751"/>
      <c r="AJ27" s="751"/>
      <c r="AK27" s="751"/>
      <c r="AL27" s="751"/>
      <c r="AM27" s="751"/>
      <c r="AN27" s="751"/>
      <c r="AO27" s="751"/>
      <c r="AP27" s="751"/>
      <c r="AQ27" s="751"/>
      <c r="AR27" s="752"/>
      <c r="AS27" s="752"/>
      <c r="AT27" s="752"/>
      <c r="AU27" s="752"/>
      <c r="AV27" s="752"/>
      <c r="AW27" s="752"/>
      <c r="AX27" s="752"/>
      <c r="AY27" s="753"/>
    </row>
    <row r="28" spans="1:51" s="770" customFormat="1" ht="15" customHeight="1" thickBot="1">
      <c r="A28" s="753"/>
      <c r="B28" s="760"/>
      <c r="C28" s="786"/>
      <c r="D28" s="787"/>
      <c r="E28" s="788"/>
      <c r="F28" s="787"/>
      <c r="G28" s="787"/>
      <c r="H28" s="787"/>
      <c r="I28" s="787"/>
      <c r="J28" s="787"/>
      <c r="K28" s="787"/>
      <c r="L28" s="787"/>
      <c r="M28" s="787"/>
      <c r="N28" s="787"/>
      <c r="O28" s="787"/>
      <c r="P28" s="787"/>
      <c r="Q28" s="787"/>
      <c r="R28" s="787"/>
      <c r="S28" s="787"/>
      <c r="T28" s="787"/>
      <c r="U28" s="787"/>
      <c r="V28" s="787"/>
      <c r="W28" s="787"/>
      <c r="X28" s="787"/>
      <c r="Y28" s="787"/>
      <c r="Z28" s="789"/>
      <c r="AA28" s="753"/>
      <c r="AB28" s="753"/>
      <c r="AC28" s="753"/>
      <c r="AD28" s="768"/>
      <c r="AE28" s="750"/>
      <c r="AF28" s="751"/>
      <c r="AG28" s="751"/>
      <c r="AH28" s="751"/>
      <c r="AI28" s="751"/>
      <c r="AJ28" s="751"/>
      <c r="AK28" s="751"/>
      <c r="AL28" s="751"/>
      <c r="AM28" s="751"/>
      <c r="AN28" s="751"/>
      <c r="AO28" s="751"/>
      <c r="AP28" s="751"/>
      <c r="AQ28" s="751"/>
      <c r="AR28" s="752"/>
      <c r="AS28" s="752"/>
      <c r="AT28" s="752"/>
      <c r="AU28" s="752"/>
      <c r="AV28" s="752"/>
      <c r="AW28" s="752"/>
      <c r="AX28" s="752"/>
      <c r="AY28" s="753"/>
    </row>
    <row r="29" spans="1:51" s="770" customFormat="1">
      <c r="A29" s="744"/>
      <c r="B29" s="745"/>
      <c r="C29" s="746"/>
      <c r="D29" s="744"/>
      <c r="E29" s="747"/>
      <c r="F29" s="744"/>
      <c r="G29" s="748"/>
      <c r="H29" s="748"/>
      <c r="I29" s="748"/>
      <c r="J29" s="748"/>
      <c r="K29" s="748"/>
      <c r="L29" s="748"/>
      <c r="M29" s="748"/>
      <c r="N29" s="748"/>
      <c r="O29" s="748"/>
      <c r="P29" s="748"/>
      <c r="Q29" s="748"/>
      <c r="R29" s="748"/>
      <c r="S29" s="748"/>
      <c r="T29" s="748"/>
      <c r="U29" s="748"/>
      <c r="V29" s="748"/>
      <c r="W29" s="755"/>
      <c r="X29" s="748"/>
      <c r="Y29" s="748"/>
      <c r="Z29" s="748"/>
      <c r="AA29" s="748"/>
      <c r="AB29" s="748"/>
      <c r="AC29" s="748"/>
      <c r="AD29" s="749"/>
      <c r="AE29" s="750"/>
      <c r="AF29" s="751"/>
      <c r="AG29" s="751"/>
      <c r="AH29" s="751"/>
      <c r="AI29" s="751"/>
      <c r="AJ29" s="751"/>
      <c r="AK29" s="751"/>
      <c r="AL29" s="751"/>
      <c r="AM29" s="751"/>
      <c r="AN29" s="751"/>
      <c r="AO29" s="751"/>
      <c r="AP29" s="751"/>
      <c r="AQ29" s="751"/>
      <c r="AR29" s="752"/>
      <c r="AS29" s="752"/>
      <c r="AT29" s="752"/>
      <c r="AU29" s="752"/>
      <c r="AV29" s="752"/>
      <c r="AW29" s="752"/>
      <c r="AX29" s="752"/>
      <c r="AY29" s="753"/>
    </row>
    <row r="30" spans="1:51" s="770" customFormat="1" ht="12" customHeight="1">
      <c r="A30" s="748"/>
      <c r="B30" s="790" t="s">
        <v>3805</v>
      </c>
      <c r="C30" s="791"/>
      <c r="D30" s="791"/>
      <c r="E30" s="791"/>
      <c r="F30" s="791"/>
      <c r="G30" s="791"/>
      <c r="H30" s="791"/>
      <c r="I30" s="791"/>
      <c r="J30" s="791"/>
      <c r="K30" s="791"/>
      <c r="L30" s="791"/>
      <c r="M30" s="791"/>
      <c r="N30" s="791"/>
      <c r="O30" s="791"/>
      <c r="P30" s="791"/>
      <c r="Q30" s="791"/>
      <c r="R30" s="791"/>
      <c r="S30" s="791"/>
      <c r="T30" s="791"/>
      <c r="U30" s="791"/>
      <c r="V30" s="791"/>
      <c r="W30" s="791"/>
      <c r="X30" s="791"/>
      <c r="Y30" s="791"/>
      <c r="Z30" s="791"/>
      <c r="AA30" s="791"/>
      <c r="AB30" s="791"/>
      <c r="AC30" s="791"/>
      <c r="AD30" s="792"/>
      <c r="AE30" s="750"/>
      <c r="AF30" s="751"/>
      <c r="AG30" s="751"/>
      <c r="AH30" s="751"/>
      <c r="AI30" s="751"/>
      <c r="AJ30" s="751"/>
      <c r="AK30" s="751"/>
      <c r="AL30" s="751"/>
      <c r="AM30" s="751"/>
      <c r="AN30" s="751"/>
      <c r="AO30" s="751"/>
      <c r="AP30" s="751"/>
      <c r="AQ30" s="751"/>
      <c r="AR30" s="752"/>
      <c r="AS30" s="752"/>
      <c r="AT30" s="752"/>
      <c r="AU30" s="752"/>
      <c r="AV30" s="752"/>
      <c r="AW30" s="752"/>
      <c r="AX30" s="752"/>
      <c r="AY30" s="753"/>
    </row>
    <row r="31" spans="1:51" s="770" customFormat="1" ht="12" customHeight="1">
      <c r="A31" s="748"/>
      <c r="B31" s="793"/>
      <c r="C31" s="794"/>
      <c r="D31" s="794"/>
      <c r="E31" s="794"/>
      <c r="F31" s="794"/>
      <c r="G31" s="794"/>
      <c r="H31" s="794"/>
      <c r="I31" s="794"/>
      <c r="J31" s="794"/>
      <c r="K31" s="794"/>
      <c r="L31" s="794"/>
      <c r="M31" s="794"/>
      <c r="N31" s="794"/>
      <c r="O31" s="794"/>
      <c r="P31" s="794"/>
      <c r="Q31" s="794"/>
      <c r="R31" s="794"/>
      <c r="S31" s="794"/>
      <c r="T31" s="794"/>
      <c r="U31" s="794"/>
      <c r="V31" s="794"/>
      <c r="W31" s="794"/>
      <c r="X31" s="794"/>
      <c r="Y31" s="794"/>
      <c r="Z31" s="794"/>
      <c r="AA31" s="794"/>
      <c r="AB31" s="794"/>
      <c r="AC31" s="794"/>
      <c r="AD31" s="795"/>
      <c r="AE31" s="750"/>
      <c r="AF31" s="751"/>
      <c r="AG31" s="751"/>
      <c r="AH31" s="751"/>
      <c r="AI31" s="751"/>
      <c r="AJ31" s="751"/>
      <c r="AK31" s="751"/>
      <c r="AL31" s="751"/>
      <c r="AM31" s="751"/>
      <c r="AN31" s="751"/>
      <c r="AO31" s="751"/>
      <c r="AP31" s="751"/>
      <c r="AQ31" s="751"/>
      <c r="AR31" s="752"/>
      <c r="AS31" s="752"/>
      <c r="AT31" s="752"/>
      <c r="AU31" s="752"/>
      <c r="AV31" s="752"/>
      <c r="AW31" s="752"/>
      <c r="AX31" s="752"/>
      <c r="AY31" s="753"/>
    </row>
    <row r="32" spans="1:51" s="753" customFormat="1" ht="12" customHeight="1">
      <c r="B32" s="796" t="s">
        <v>3806</v>
      </c>
      <c r="C32" s="797"/>
      <c r="E32" s="798"/>
      <c r="F32" s="799"/>
      <c r="AE32" s="750"/>
      <c r="AF32" s="751"/>
      <c r="AG32" s="751"/>
      <c r="AH32" s="751"/>
      <c r="AI32" s="751"/>
      <c r="AJ32" s="751"/>
      <c r="AK32" s="751"/>
      <c r="AL32" s="751"/>
      <c r="AM32" s="751"/>
      <c r="AN32" s="751"/>
      <c r="AO32" s="751"/>
      <c r="AP32" s="751"/>
      <c r="AQ32" s="751"/>
      <c r="AR32" s="752"/>
      <c r="AS32" s="752"/>
      <c r="AT32" s="752"/>
      <c r="AU32" s="752"/>
      <c r="AV32" s="752"/>
      <c r="AW32" s="752"/>
      <c r="AX32" s="752"/>
    </row>
    <row r="33" spans="1:51" s="770" customFormat="1" ht="12" customHeight="1">
      <c r="A33" s="744"/>
      <c r="B33" s="800" t="s">
        <v>3807</v>
      </c>
      <c r="C33" s="801"/>
      <c r="D33" s="802"/>
      <c r="E33" s="803"/>
      <c r="F33" s="802"/>
      <c r="G33" s="804"/>
      <c r="H33" s="804"/>
      <c r="I33" s="804"/>
      <c r="J33" s="804"/>
      <c r="K33" s="804"/>
      <c r="L33" s="804"/>
      <c r="M33" s="804"/>
      <c r="N33" s="804"/>
      <c r="O33" s="804"/>
      <c r="P33" s="804"/>
      <c r="Q33" s="804"/>
      <c r="R33" s="804"/>
      <c r="S33" s="804"/>
      <c r="T33" s="804"/>
      <c r="U33" s="804"/>
      <c r="V33" s="804"/>
      <c r="W33" s="804"/>
      <c r="X33" s="804"/>
      <c r="Y33" s="804"/>
      <c r="Z33" s="804"/>
      <c r="AA33" s="805"/>
      <c r="AB33" s="804"/>
      <c r="AC33" s="804"/>
      <c r="AD33" s="806" t="s">
        <v>568</v>
      </c>
      <c r="AE33" s="750"/>
      <c r="AF33" s="751"/>
      <c r="AG33" s="751"/>
      <c r="AH33" s="751"/>
      <c r="AI33" s="751"/>
      <c r="AJ33" s="751"/>
      <c r="AK33" s="751"/>
      <c r="AL33" s="751"/>
      <c r="AM33" s="751"/>
      <c r="AN33" s="751"/>
      <c r="AO33" s="751"/>
      <c r="AP33" s="751"/>
      <c r="AQ33" s="751"/>
      <c r="AR33" s="752"/>
      <c r="AS33" s="752"/>
      <c r="AT33" s="752"/>
      <c r="AU33" s="752"/>
      <c r="AV33" s="752"/>
      <c r="AW33" s="752"/>
      <c r="AX33" s="752"/>
      <c r="AY33" s="753"/>
    </row>
    <row r="34" spans="1:51" s="770" customFormat="1" ht="12" customHeight="1">
      <c r="A34" s="753"/>
      <c r="B34" s="807"/>
      <c r="C34" s="808">
        <v>1</v>
      </c>
      <c r="D34" s="753" t="s">
        <v>3808</v>
      </c>
      <c r="E34" s="809"/>
      <c r="F34" s="809"/>
      <c r="G34" s="809"/>
      <c r="H34" s="809"/>
      <c r="I34" s="809"/>
      <c r="J34" s="809"/>
      <c r="K34" s="809"/>
      <c r="L34" s="759"/>
      <c r="M34" s="809"/>
      <c r="N34" s="809"/>
      <c r="O34" s="809"/>
      <c r="P34" s="809"/>
      <c r="Q34" s="809"/>
      <c r="R34" s="809"/>
      <c r="S34" s="809"/>
      <c r="T34" s="809"/>
      <c r="U34" s="809"/>
      <c r="V34" s="809"/>
      <c r="W34" s="809"/>
      <c r="X34" s="809"/>
      <c r="Y34" s="809"/>
      <c r="Z34" s="809"/>
      <c r="AA34" s="809"/>
      <c r="AB34" s="809"/>
      <c r="AC34" s="809"/>
      <c r="AD34" s="809"/>
      <c r="AE34" s="750"/>
      <c r="AF34" s="751"/>
      <c r="AG34" s="751"/>
      <c r="AH34" s="751"/>
      <c r="AI34" s="751"/>
      <c r="AJ34" s="751"/>
      <c r="AK34" s="751"/>
      <c r="AL34" s="751"/>
      <c r="AM34" s="751"/>
      <c r="AN34" s="751"/>
      <c r="AO34" s="751"/>
      <c r="AP34" s="751"/>
      <c r="AQ34" s="751"/>
      <c r="AR34" s="752"/>
      <c r="AS34" s="752"/>
      <c r="AT34" s="752"/>
      <c r="AU34" s="752"/>
      <c r="AV34" s="752"/>
      <c r="AW34" s="752"/>
      <c r="AX34" s="752"/>
      <c r="AY34" s="753"/>
    </row>
    <row r="35" spans="1:51" s="770" customFormat="1" ht="12" customHeight="1">
      <c r="A35" s="753"/>
      <c r="B35" s="810"/>
      <c r="C35" s="797"/>
      <c r="D35" s="753"/>
      <c r="E35" s="809"/>
      <c r="F35" s="753"/>
      <c r="G35" s="809"/>
      <c r="H35" s="809"/>
      <c r="I35" s="809"/>
      <c r="J35" s="809"/>
      <c r="K35" s="809"/>
      <c r="L35" s="809"/>
      <c r="M35" s="809"/>
      <c r="N35" s="809"/>
      <c r="O35" s="809"/>
      <c r="P35" s="809"/>
      <c r="Q35" s="809"/>
      <c r="R35" s="809"/>
      <c r="S35" s="809"/>
      <c r="T35" s="809"/>
      <c r="U35" s="809"/>
      <c r="V35" s="809"/>
      <c r="W35" s="809"/>
      <c r="X35" s="809"/>
      <c r="Y35" s="809"/>
      <c r="Z35" s="809"/>
      <c r="AA35" s="809"/>
      <c r="AB35" s="809"/>
      <c r="AC35" s="809"/>
      <c r="AD35" s="809"/>
      <c r="AE35" s="750"/>
      <c r="AF35" s="751"/>
      <c r="AG35" s="751"/>
      <c r="AH35" s="751"/>
      <c r="AI35" s="751"/>
      <c r="AJ35" s="751"/>
      <c r="AK35" s="751"/>
      <c r="AL35" s="751"/>
      <c r="AM35" s="751"/>
      <c r="AN35" s="751"/>
      <c r="AO35" s="751"/>
      <c r="AP35" s="751"/>
      <c r="AQ35" s="751"/>
      <c r="AR35" s="752"/>
      <c r="AS35" s="752"/>
      <c r="AT35" s="752"/>
      <c r="AU35" s="752"/>
      <c r="AV35" s="752"/>
      <c r="AW35" s="752"/>
      <c r="AX35" s="752"/>
      <c r="AY35" s="753"/>
    </row>
    <row r="36" spans="1:51" s="819" customFormat="1" ht="12" customHeight="1">
      <c r="A36" s="760"/>
      <c r="B36" s="810"/>
      <c r="C36" s="811"/>
      <c r="D36" s="812" t="s">
        <v>3809</v>
      </c>
      <c r="E36" s="813">
        <v>1</v>
      </c>
      <c r="F36" s="814" t="s">
        <v>3810</v>
      </c>
      <c r="G36" s="815" t="s">
        <v>3811</v>
      </c>
      <c r="H36" s="816"/>
      <c r="I36" s="817"/>
      <c r="J36" s="818"/>
      <c r="K36" s="818"/>
      <c r="L36" s="818"/>
      <c r="M36" s="818"/>
      <c r="N36" s="818"/>
      <c r="O36" s="818"/>
      <c r="P36" s="818"/>
      <c r="Q36" s="818"/>
      <c r="R36" s="818"/>
      <c r="S36" s="818"/>
      <c r="T36" s="818"/>
      <c r="U36" s="818"/>
      <c r="V36" s="818"/>
      <c r="W36" s="818"/>
      <c r="X36" s="818"/>
      <c r="Y36" s="818"/>
      <c r="Z36" s="818"/>
      <c r="AA36" s="818"/>
      <c r="AB36" s="818"/>
      <c r="AC36" s="818"/>
      <c r="AD36" s="818"/>
      <c r="AE36" s="750"/>
      <c r="AF36" s="751"/>
      <c r="AG36" s="751"/>
      <c r="AH36" s="751"/>
      <c r="AI36" s="751"/>
      <c r="AJ36" s="751"/>
      <c r="AK36" s="751"/>
      <c r="AL36" s="751"/>
      <c r="AM36" s="751"/>
      <c r="AN36" s="751"/>
      <c r="AO36" s="751"/>
      <c r="AP36" s="751"/>
      <c r="AQ36" s="751"/>
      <c r="AR36" s="751"/>
      <c r="AS36" s="751"/>
      <c r="AT36" s="751"/>
      <c r="AU36" s="751"/>
      <c r="AV36" s="751"/>
      <c r="AW36" s="751"/>
      <c r="AX36" s="752"/>
      <c r="AY36" s="753"/>
    </row>
    <row r="37" spans="1:51" s="819" customFormat="1" ht="12" customHeight="1">
      <c r="A37" s="760"/>
      <c r="B37" s="810"/>
      <c r="C37" s="811"/>
      <c r="D37" s="812" t="s">
        <v>3809</v>
      </c>
      <c r="E37" s="813">
        <v>2</v>
      </c>
      <c r="F37" s="820" t="s">
        <v>3812</v>
      </c>
      <c r="G37" s="815" t="s">
        <v>3813</v>
      </c>
      <c r="H37" s="816"/>
      <c r="I37" s="817"/>
      <c r="J37" s="818"/>
      <c r="K37" s="818"/>
      <c r="L37" s="818"/>
      <c r="M37" s="818"/>
      <c r="N37" s="818"/>
      <c r="O37" s="818"/>
      <c r="P37" s="818"/>
      <c r="Q37" s="818"/>
      <c r="R37" s="818"/>
      <c r="S37" s="818"/>
      <c r="T37" s="818"/>
      <c r="U37" s="818"/>
      <c r="V37" s="818"/>
      <c r="W37" s="818"/>
      <c r="X37" s="818"/>
      <c r="Y37" s="818"/>
      <c r="Z37" s="818"/>
      <c r="AA37" s="818"/>
      <c r="AB37" s="818"/>
      <c r="AC37" s="818"/>
      <c r="AD37" s="818"/>
      <c r="AE37" s="750"/>
      <c r="AF37" s="751"/>
      <c r="AG37" s="751"/>
      <c r="AH37" s="751"/>
      <c r="AI37" s="751"/>
      <c r="AJ37" s="751"/>
      <c r="AK37" s="751"/>
      <c r="AL37" s="751"/>
      <c r="AM37" s="751"/>
      <c r="AN37" s="751"/>
      <c r="AO37" s="751"/>
      <c r="AP37" s="751"/>
      <c r="AQ37" s="751"/>
      <c r="AR37" s="751"/>
      <c r="AS37" s="751"/>
      <c r="AT37" s="751"/>
      <c r="AU37" s="751"/>
      <c r="AV37" s="751"/>
      <c r="AW37" s="751"/>
      <c r="AX37" s="752"/>
      <c r="AY37" s="753"/>
    </row>
    <row r="38" spans="1:51" s="819" customFormat="1" ht="12" customHeight="1">
      <c r="A38" s="760"/>
      <c r="B38" s="810"/>
      <c r="C38" s="811"/>
      <c r="D38" s="812" t="s">
        <v>3809</v>
      </c>
      <c r="E38" s="813">
        <v>3</v>
      </c>
      <c r="F38" s="814" t="s">
        <v>3814</v>
      </c>
      <c r="G38" s="815" t="s">
        <v>3811</v>
      </c>
      <c r="H38" s="816"/>
      <c r="I38" s="817"/>
      <c r="J38" s="817"/>
      <c r="K38" s="821"/>
      <c r="L38" s="753"/>
      <c r="M38" s="753"/>
      <c r="N38" s="753"/>
      <c r="O38" s="753"/>
      <c r="P38" s="760"/>
      <c r="Q38" s="760"/>
      <c r="R38" s="760"/>
      <c r="S38" s="760"/>
      <c r="T38" s="760"/>
      <c r="U38" s="760"/>
      <c r="V38" s="760"/>
      <c r="W38" s="760"/>
      <c r="X38" s="760"/>
      <c r="Y38" s="760"/>
      <c r="Z38" s="818"/>
      <c r="AA38" s="818"/>
      <c r="AB38" s="818"/>
      <c r="AC38" s="818"/>
      <c r="AD38" s="818"/>
      <c r="AE38" s="750"/>
      <c r="AF38" s="751"/>
      <c r="AG38" s="751"/>
      <c r="AH38" s="751"/>
      <c r="AI38" s="751"/>
      <c r="AJ38" s="751"/>
      <c r="AK38" s="751"/>
      <c r="AL38" s="751"/>
      <c r="AM38" s="751"/>
      <c r="AN38" s="751"/>
      <c r="AO38" s="751"/>
      <c r="AP38" s="751"/>
      <c r="AQ38" s="751"/>
      <c r="AR38" s="751"/>
      <c r="AS38" s="751"/>
      <c r="AT38" s="751"/>
      <c r="AU38" s="751"/>
      <c r="AV38" s="751"/>
      <c r="AW38" s="751"/>
      <c r="AX38" s="752"/>
      <c r="AY38" s="753"/>
    </row>
    <row r="39" spans="1:51" s="819" customFormat="1" ht="12" customHeight="1">
      <c r="A39" s="760"/>
      <c r="B39" s="810"/>
      <c r="C39" s="811"/>
      <c r="D39" s="812" t="s">
        <v>3809</v>
      </c>
      <c r="E39" s="813">
        <v>4</v>
      </c>
      <c r="F39" s="814" t="s">
        <v>3815</v>
      </c>
      <c r="G39" s="815" t="s">
        <v>3811</v>
      </c>
      <c r="H39" s="816"/>
      <c r="I39" s="817"/>
      <c r="J39" s="817"/>
      <c r="K39" s="822"/>
      <c r="L39" s="823"/>
      <c r="M39" s="753"/>
      <c r="N39" s="753"/>
      <c r="O39" s="753"/>
      <c r="P39" s="760"/>
      <c r="Q39" s="760"/>
      <c r="R39" s="760"/>
      <c r="S39" s="760"/>
      <c r="T39" s="760"/>
      <c r="U39" s="760"/>
      <c r="V39" s="760"/>
      <c r="W39" s="760"/>
      <c r="X39" s="760"/>
      <c r="Y39" s="760"/>
      <c r="Z39" s="818"/>
      <c r="AA39" s="818"/>
      <c r="AB39" s="818"/>
      <c r="AC39" s="818"/>
      <c r="AD39" s="818"/>
      <c r="AE39" s="750"/>
      <c r="AF39" s="751"/>
      <c r="AG39" s="751"/>
      <c r="AH39" s="751"/>
      <c r="AI39" s="751"/>
      <c r="AJ39" s="751"/>
      <c r="AK39" s="751"/>
      <c r="AL39" s="751"/>
      <c r="AM39" s="751"/>
      <c r="AN39" s="751"/>
      <c r="AO39" s="751"/>
      <c r="AP39" s="751"/>
      <c r="AQ39" s="751"/>
      <c r="AR39" s="751"/>
      <c r="AS39" s="751"/>
      <c r="AT39" s="751"/>
      <c r="AU39" s="751"/>
      <c r="AV39" s="751"/>
      <c r="AW39" s="751"/>
      <c r="AX39" s="752"/>
      <c r="AY39" s="753"/>
    </row>
    <row r="40" spans="1:51" s="770" customFormat="1" ht="12" customHeight="1">
      <c r="A40" s="753"/>
      <c r="B40" s="807"/>
      <c r="C40" s="797"/>
      <c r="D40" s="753"/>
      <c r="E40" s="824"/>
      <c r="F40" s="753"/>
      <c r="G40" s="759"/>
      <c r="H40" s="759"/>
      <c r="I40" s="759"/>
      <c r="J40" s="809"/>
      <c r="K40" s="809"/>
      <c r="L40" s="809"/>
      <c r="M40" s="809"/>
      <c r="N40" s="809"/>
      <c r="O40" s="809"/>
      <c r="P40" s="809"/>
      <c r="Q40" s="809"/>
      <c r="R40" s="809"/>
      <c r="S40" s="809"/>
      <c r="T40" s="809"/>
      <c r="U40" s="809"/>
      <c r="V40" s="809"/>
      <c r="W40" s="809"/>
      <c r="X40" s="817"/>
      <c r="Y40" s="817"/>
      <c r="Z40" s="817"/>
      <c r="AA40" s="809"/>
      <c r="AB40" s="809"/>
      <c r="AC40" s="809"/>
      <c r="AD40" s="809"/>
      <c r="AE40" s="750"/>
      <c r="AF40" s="751"/>
      <c r="AG40" s="751"/>
      <c r="AH40" s="751"/>
      <c r="AI40" s="751"/>
      <c r="AJ40" s="751"/>
      <c r="AK40" s="751"/>
      <c r="AL40" s="751"/>
      <c r="AM40" s="751"/>
      <c r="AN40" s="751"/>
      <c r="AO40" s="751"/>
      <c r="AP40" s="751"/>
      <c r="AQ40" s="751"/>
      <c r="AR40" s="752"/>
      <c r="AS40" s="752"/>
      <c r="AT40" s="752"/>
      <c r="AU40" s="752"/>
      <c r="AV40" s="752"/>
      <c r="AW40" s="752"/>
      <c r="AX40" s="752"/>
      <c r="AY40" s="753"/>
    </row>
    <row r="41" spans="1:51" s="770" customFormat="1" ht="12" customHeight="1">
      <c r="A41" s="753"/>
      <c r="B41" s="807"/>
      <c r="C41" s="797"/>
      <c r="D41" s="753"/>
      <c r="E41" s="824"/>
      <c r="F41" s="753"/>
      <c r="G41" s="759"/>
      <c r="H41" s="759"/>
      <c r="I41" s="759"/>
      <c r="J41" s="809"/>
      <c r="K41" s="809"/>
      <c r="L41" s="809"/>
      <c r="M41" s="809"/>
      <c r="N41" s="809"/>
      <c r="O41" s="809"/>
      <c r="P41" s="809"/>
      <c r="Q41" s="809"/>
      <c r="R41" s="809"/>
      <c r="S41" s="809"/>
      <c r="T41" s="809"/>
      <c r="U41" s="809"/>
      <c r="V41" s="809"/>
      <c r="W41" s="809"/>
      <c r="X41" s="817"/>
      <c r="Y41" s="817"/>
      <c r="Z41" s="817"/>
      <c r="AA41" s="809"/>
      <c r="AB41" s="809"/>
      <c r="AC41" s="809"/>
      <c r="AD41" s="809"/>
      <c r="AE41" s="750"/>
      <c r="AF41" s="751"/>
      <c r="AG41" s="751"/>
      <c r="AH41" s="751"/>
      <c r="AI41" s="751"/>
      <c r="AJ41" s="751"/>
      <c r="AK41" s="751"/>
      <c r="AL41" s="751"/>
      <c r="AM41" s="751"/>
      <c r="AN41" s="751"/>
      <c r="AO41" s="751"/>
      <c r="AP41" s="751"/>
      <c r="AQ41" s="751"/>
      <c r="AR41" s="752"/>
      <c r="AS41" s="752"/>
      <c r="AT41" s="752"/>
      <c r="AU41" s="752"/>
      <c r="AV41" s="752"/>
      <c r="AW41" s="752"/>
      <c r="AX41" s="752"/>
      <c r="AY41" s="753"/>
    </row>
    <row r="42" spans="1:51" s="753" customFormat="1" ht="12" customHeight="1">
      <c r="B42" s="796" t="s">
        <v>3806</v>
      </c>
      <c r="C42" s="797"/>
      <c r="E42" s="798"/>
      <c r="F42" s="799"/>
      <c r="AE42" s="750"/>
      <c r="AF42" s="751"/>
      <c r="AG42" s="751"/>
      <c r="AH42" s="751"/>
      <c r="AI42" s="751"/>
      <c r="AJ42" s="751"/>
      <c r="AK42" s="751"/>
      <c r="AL42" s="751"/>
      <c r="AM42" s="751"/>
      <c r="AN42" s="751"/>
      <c r="AO42" s="751"/>
      <c r="AP42" s="751"/>
      <c r="AQ42" s="751"/>
      <c r="AR42" s="752"/>
      <c r="AS42" s="752"/>
      <c r="AT42" s="752"/>
      <c r="AU42" s="752"/>
      <c r="AV42" s="752"/>
      <c r="AW42" s="752"/>
      <c r="AX42" s="752"/>
    </row>
    <row r="43" spans="1:51" s="770" customFormat="1" ht="12" customHeight="1">
      <c r="A43" s="744"/>
      <c r="B43" s="800" t="s">
        <v>3816</v>
      </c>
      <c r="C43" s="801"/>
      <c r="D43" s="802"/>
      <c r="E43" s="803"/>
      <c r="F43" s="802"/>
      <c r="G43" s="804"/>
      <c r="H43" s="804"/>
      <c r="I43" s="804"/>
      <c r="J43" s="804"/>
      <c r="K43" s="804"/>
      <c r="L43" s="804"/>
      <c r="M43" s="804"/>
      <c r="N43" s="804"/>
      <c r="O43" s="804"/>
      <c r="P43" s="804"/>
      <c r="Q43" s="804"/>
      <c r="R43" s="804"/>
      <c r="S43" s="804"/>
      <c r="T43" s="804"/>
      <c r="U43" s="804"/>
      <c r="V43" s="804"/>
      <c r="W43" s="804"/>
      <c r="X43" s="804"/>
      <c r="Y43" s="804"/>
      <c r="Z43" s="804"/>
      <c r="AA43" s="805"/>
      <c r="AB43" s="804"/>
      <c r="AC43" s="804"/>
      <c r="AD43" s="806" t="s">
        <v>568</v>
      </c>
      <c r="AE43" s="750"/>
      <c r="AF43" s="751"/>
      <c r="AG43" s="751"/>
      <c r="AH43" s="751"/>
      <c r="AI43" s="751"/>
      <c r="AJ43" s="751"/>
      <c r="AK43" s="751"/>
      <c r="AL43" s="751"/>
      <c r="AM43" s="751"/>
      <c r="AN43" s="751"/>
      <c r="AO43" s="751"/>
      <c r="AP43" s="751"/>
      <c r="AQ43" s="751"/>
      <c r="AR43" s="752"/>
      <c r="AS43" s="752"/>
      <c r="AT43" s="752"/>
      <c r="AU43" s="752"/>
      <c r="AV43" s="752"/>
      <c r="AW43" s="752"/>
      <c r="AX43" s="752"/>
      <c r="AY43" s="753"/>
    </row>
    <row r="44" spans="1:51" s="770" customFormat="1" ht="12" customHeight="1">
      <c r="A44" s="753"/>
      <c r="B44" s="807"/>
      <c r="C44" s="808">
        <v>2</v>
      </c>
      <c r="D44" s="753" t="s">
        <v>3817</v>
      </c>
      <c r="E44" s="809"/>
      <c r="F44" s="809"/>
      <c r="G44" s="809"/>
      <c r="H44" s="809"/>
      <c r="I44" s="809"/>
      <c r="J44" s="809"/>
      <c r="K44" s="809"/>
      <c r="L44" s="809"/>
      <c r="M44" s="809"/>
      <c r="N44" s="809"/>
      <c r="O44" s="809"/>
      <c r="P44" s="809"/>
      <c r="Q44" s="809"/>
      <c r="R44" s="809"/>
      <c r="S44" s="809"/>
      <c r="T44" s="809"/>
      <c r="U44" s="809"/>
      <c r="V44" s="809"/>
      <c r="W44" s="809"/>
      <c r="X44" s="809"/>
      <c r="Y44" s="809"/>
      <c r="Z44" s="809"/>
      <c r="AA44" s="809"/>
      <c r="AB44" s="809"/>
      <c r="AC44" s="809"/>
      <c r="AD44" s="809"/>
      <c r="AE44" s="750"/>
      <c r="AF44" s="751"/>
      <c r="AG44" s="751"/>
      <c r="AH44" s="751"/>
      <c r="AI44" s="751"/>
      <c r="AJ44" s="751"/>
      <c r="AK44" s="751"/>
      <c r="AL44" s="751"/>
      <c r="AM44" s="751"/>
      <c r="AN44" s="751"/>
      <c r="AO44" s="751"/>
      <c r="AP44" s="751"/>
      <c r="AQ44" s="751"/>
      <c r="AR44" s="752"/>
      <c r="AS44" s="752"/>
      <c r="AT44" s="752"/>
      <c r="AU44" s="752"/>
      <c r="AV44" s="752"/>
      <c r="AW44" s="752"/>
      <c r="AX44" s="752"/>
      <c r="AY44" s="753"/>
    </row>
    <row r="45" spans="1:51" s="770" customFormat="1" ht="12" customHeight="1">
      <c r="A45" s="753"/>
      <c r="B45" s="807"/>
      <c r="C45" s="797"/>
      <c r="D45" s="753"/>
      <c r="E45" s="824"/>
      <c r="F45" s="753"/>
      <c r="G45" s="759"/>
      <c r="H45" s="759"/>
      <c r="I45" s="759"/>
      <c r="J45" s="809"/>
      <c r="K45" s="809"/>
      <c r="L45" s="809"/>
      <c r="M45" s="809"/>
      <c r="N45" s="809"/>
      <c r="O45" s="809"/>
      <c r="P45" s="809"/>
      <c r="Q45" s="809"/>
      <c r="R45" s="809"/>
      <c r="S45" s="809"/>
      <c r="T45" s="809"/>
      <c r="U45" s="809"/>
      <c r="V45" s="809"/>
      <c r="W45" s="809"/>
      <c r="X45" s="825"/>
      <c r="Y45" s="825"/>
      <c r="Z45" s="825"/>
      <c r="AA45" s="809"/>
      <c r="AB45" s="809"/>
      <c r="AC45" s="809"/>
      <c r="AD45" s="809"/>
      <c r="AE45" s="750"/>
      <c r="AF45" s="751"/>
      <c r="AG45" s="751"/>
      <c r="AH45" s="751"/>
      <c r="AI45" s="751"/>
      <c r="AJ45" s="751"/>
      <c r="AK45" s="751"/>
      <c r="AL45" s="751"/>
      <c r="AM45" s="751"/>
      <c r="AN45" s="751"/>
      <c r="AO45" s="751"/>
      <c r="AP45" s="751"/>
      <c r="AQ45" s="751"/>
      <c r="AR45" s="752"/>
      <c r="AS45" s="752"/>
      <c r="AT45" s="752"/>
      <c r="AU45" s="752"/>
      <c r="AV45" s="752"/>
      <c r="AW45" s="752"/>
      <c r="AX45" s="752"/>
      <c r="AY45" s="753"/>
    </row>
    <row r="46" spans="1:51" s="770" customFormat="1" ht="12" customHeight="1">
      <c r="A46" s="753"/>
      <c r="B46" s="807"/>
      <c r="C46" s="797"/>
      <c r="D46" s="760" t="s">
        <v>3809</v>
      </c>
      <c r="E46" s="798">
        <v>1</v>
      </c>
      <c r="F46" s="826" t="s">
        <v>3818</v>
      </c>
      <c r="G46" s="815" t="s">
        <v>3819</v>
      </c>
      <c r="H46" s="825"/>
      <c r="I46" s="825"/>
      <c r="J46" s="825"/>
      <c r="K46" s="825"/>
      <c r="L46" s="825"/>
      <c r="M46" s="809"/>
      <c r="N46" s="753"/>
      <c r="O46" s="809"/>
      <c r="P46" s="753" t="s">
        <v>3809</v>
      </c>
      <c r="Q46" s="798">
        <v>7</v>
      </c>
      <c r="R46" s="826" t="s">
        <v>3820</v>
      </c>
      <c r="S46" s="827"/>
      <c r="T46" s="826"/>
      <c r="U46" s="826"/>
      <c r="V46" s="826"/>
      <c r="W46" s="826"/>
      <c r="X46" s="815" t="s">
        <v>3819</v>
      </c>
      <c r="Y46" s="825"/>
      <c r="Z46" s="825"/>
      <c r="AA46" s="828"/>
      <c r="AB46" s="809"/>
      <c r="AC46" s="809"/>
      <c r="AD46" s="809"/>
      <c r="AE46" s="750"/>
      <c r="AF46" s="751"/>
      <c r="AG46" s="751"/>
      <c r="AH46" s="751"/>
      <c r="AI46" s="751"/>
      <c r="AJ46" s="751"/>
      <c r="AK46" s="751"/>
      <c r="AL46" s="751"/>
      <c r="AM46" s="751"/>
      <c r="AN46" s="751"/>
      <c r="AO46" s="751"/>
      <c r="AP46" s="751"/>
      <c r="AQ46" s="751"/>
      <c r="AR46" s="752"/>
      <c r="AS46" s="752"/>
      <c r="AT46" s="752"/>
      <c r="AU46" s="752"/>
      <c r="AV46" s="752"/>
      <c r="AW46" s="752"/>
      <c r="AX46" s="752"/>
      <c r="AY46" s="753"/>
    </row>
    <row r="47" spans="1:51" s="770" customFormat="1" ht="12" customHeight="1">
      <c r="A47" s="753"/>
      <c r="B47" s="807"/>
      <c r="C47" s="797"/>
      <c r="D47" s="760" t="s">
        <v>3809</v>
      </c>
      <c r="E47" s="798">
        <v>2</v>
      </c>
      <c r="F47" s="829" t="s">
        <v>3821</v>
      </c>
      <c r="G47" s="830" t="s">
        <v>3822</v>
      </c>
      <c r="H47" s="825"/>
      <c r="I47" s="825"/>
      <c r="J47" s="825"/>
      <c r="K47" s="825"/>
      <c r="L47" s="825"/>
      <c r="M47" s="809"/>
      <c r="N47" s="753"/>
      <c r="O47" s="809"/>
      <c r="P47" s="753" t="s">
        <v>3809</v>
      </c>
      <c r="Q47" s="798">
        <v>8</v>
      </c>
      <c r="R47" s="829" t="s">
        <v>3823</v>
      </c>
      <c r="S47" s="831"/>
      <c r="T47" s="829"/>
      <c r="U47" s="829"/>
      <c r="V47" s="829"/>
      <c r="X47" s="830" t="s">
        <v>3822</v>
      </c>
      <c r="Y47" s="825"/>
      <c r="Z47" s="825"/>
      <c r="AA47" s="828"/>
      <c r="AB47" s="809"/>
      <c r="AC47" s="809"/>
      <c r="AD47" s="809"/>
      <c r="AE47" s="750"/>
      <c r="AF47" s="751"/>
      <c r="AG47" s="751"/>
      <c r="AH47" s="751"/>
      <c r="AI47" s="751"/>
      <c r="AJ47" s="751"/>
      <c r="AK47" s="751"/>
      <c r="AL47" s="751"/>
      <c r="AM47" s="751"/>
      <c r="AN47" s="751"/>
      <c r="AO47" s="751"/>
      <c r="AP47" s="751"/>
      <c r="AQ47" s="751"/>
      <c r="AR47" s="752"/>
      <c r="AS47" s="752"/>
      <c r="AT47" s="752"/>
      <c r="AU47" s="752"/>
      <c r="AV47" s="752"/>
      <c r="AW47" s="752"/>
      <c r="AX47" s="752"/>
      <c r="AY47" s="753"/>
    </row>
    <row r="48" spans="1:51" s="770" customFormat="1" ht="12" customHeight="1">
      <c r="A48" s="753"/>
      <c r="B48" s="807"/>
      <c r="C48" s="797"/>
      <c r="D48" s="760" t="s">
        <v>3809</v>
      </c>
      <c r="E48" s="798">
        <v>3</v>
      </c>
      <c r="F48" s="799" t="s">
        <v>3824</v>
      </c>
      <c r="G48" s="830" t="s">
        <v>3822</v>
      </c>
      <c r="H48" s="825"/>
      <c r="I48" s="825"/>
      <c r="J48" s="825"/>
      <c r="K48" s="825"/>
      <c r="L48" s="825"/>
      <c r="M48" s="809"/>
      <c r="N48" s="753"/>
      <c r="O48" s="809"/>
      <c r="P48" s="753" t="s">
        <v>3809</v>
      </c>
      <c r="Q48" s="798">
        <v>9</v>
      </c>
      <c r="R48" s="799" t="s">
        <v>3825</v>
      </c>
      <c r="S48" s="753"/>
      <c r="T48" s="809"/>
      <c r="U48" s="753"/>
      <c r="V48" s="799"/>
      <c r="W48" s="753"/>
      <c r="X48" s="830" t="s">
        <v>3822</v>
      </c>
      <c r="Y48" s="825"/>
      <c r="Z48" s="825"/>
      <c r="AA48" s="828"/>
      <c r="AB48" s="809"/>
      <c r="AC48" s="809"/>
      <c r="AD48" s="809"/>
      <c r="AE48" s="832"/>
      <c r="AF48" s="751"/>
      <c r="AG48" s="751"/>
      <c r="AH48" s="751"/>
      <c r="AI48" s="751"/>
      <c r="AJ48" s="751"/>
      <c r="AK48" s="751"/>
      <c r="AL48" s="751"/>
      <c r="AM48" s="751"/>
      <c r="AN48" s="751"/>
      <c r="AO48" s="751"/>
      <c r="AP48" s="751"/>
      <c r="AQ48" s="751"/>
      <c r="AR48" s="752"/>
      <c r="AS48" s="752"/>
      <c r="AT48" s="752"/>
      <c r="AU48" s="752"/>
      <c r="AV48" s="752"/>
      <c r="AW48" s="752"/>
      <c r="AX48" s="752"/>
      <c r="AY48" s="753"/>
    </row>
    <row r="49" spans="1:51" s="770" customFormat="1" ht="12" customHeight="1">
      <c r="A49" s="753"/>
      <c r="B49" s="807"/>
      <c r="C49" s="797"/>
      <c r="D49" s="760" t="s">
        <v>3809</v>
      </c>
      <c r="E49" s="798">
        <v>4</v>
      </c>
      <c r="F49" s="799" t="s">
        <v>3826</v>
      </c>
      <c r="G49" s="830" t="s">
        <v>3822</v>
      </c>
      <c r="H49" s="825"/>
      <c r="I49" s="825"/>
      <c r="J49" s="825"/>
      <c r="K49" s="825"/>
      <c r="L49" s="825"/>
      <c r="M49" s="809"/>
      <c r="N49" s="753"/>
      <c r="O49" s="809"/>
      <c r="P49" s="753" t="s">
        <v>3809</v>
      </c>
      <c r="Q49" s="798">
        <v>10</v>
      </c>
      <c r="R49" s="799" t="s">
        <v>3827</v>
      </c>
      <c r="S49" s="753"/>
      <c r="T49" s="809"/>
      <c r="U49" s="753"/>
      <c r="V49" s="799"/>
      <c r="W49" s="753"/>
      <c r="X49" s="830" t="s">
        <v>3822</v>
      </c>
      <c r="Y49" s="825"/>
      <c r="Z49" s="825"/>
      <c r="AA49" s="828"/>
      <c r="AB49" s="809"/>
      <c r="AC49" s="809"/>
      <c r="AD49" s="809"/>
      <c r="AE49" s="832"/>
      <c r="AF49" s="751"/>
      <c r="AG49" s="751"/>
      <c r="AH49" s="751"/>
      <c r="AI49" s="751"/>
      <c r="AJ49" s="751"/>
      <c r="AK49" s="751"/>
      <c r="AL49" s="751"/>
      <c r="AM49" s="751"/>
      <c r="AN49" s="751"/>
      <c r="AO49" s="751"/>
      <c r="AP49" s="751"/>
      <c r="AQ49" s="751"/>
      <c r="AR49" s="752"/>
      <c r="AS49" s="752"/>
      <c r="AT49" s="752"/>
      <c r="AU49" s="752"/>
      <c r="AV49" s="752"/>
      <c r="AW49" s="752"/>
      <c r="AX49" s="752"/>
      <c r="AY49" s="753"/>
    </row>
    <row r="50" spans="1:51" s="770" customFormat="1" ht="12" customHeight="1">
      <c r="A50" s="753"/>
      <c r="B50" s="807"/>
      <c r="C50" s="797"/>
      <c r="D50" s="760" t="s">
        <v>3809</v>
      </c>
      <c r="E50" s="798">
        <v>5</v>
      </c>
      <c r="F50" s="799" t="s">
        <v>3828</v>
      </c>
      <c r="G50" s="830" t="s">
        <v>3822</v>
      </c>
      <c r="H50" s="825"/>
      <c r="I50" s="825"/>
      <c r="J50" s="825"/>
      <c r="K50" s="825"/>
      <c r="L50" s="825"/>
      <c r="M50" s="809"/>
      <c r="N50" s="809"/>
      <c r="O50" s="809"/>
      <c r="P50" s="753" t="s">
        <v>3809</v>
      </c>
      <c r="Q50" s="798">
        <v>11</v>
      </c>
      <c r="R50" s="799" t="s">
        <v>3829</v>
      </c>
      <c r="S50" s="753"/>
      <c r="T50" s="809"/>
      <c r="U50" s="809"/>
      <c r="V50" s="799"/>
      <c r="W50" s="753"/>
      <c r="X50" s="830" t="s">
        <v>3822</v>
      </c>
      <c r="Y50" s="825"/>
      <c r="Z50" s="825"/>
      <c r="AA50" s="828"/>
      <c r="AB50" s="753"/>
      <c r="AC50" s="753"/>
      <c r="AD50" s="753"/>
      <c r="AE50" s="832"/>
      <c r="AF50" s="751"/>
      <c r="AG50" s="751"/>
      <c r="AH50" s="751"/>
      <c r="AI50" s="751"/>
      <c r="AJ50" s="751"/>
      <c r="AK50" s="751"/>
      <c r="AL50" s="751"/>
      <c r="AM50" s="751"/>
      <c r="AN50" s="751"/>
      <c r="AO50" s="751"/>
      <c r="AP50" s="751"/>
      <c r="AQ50" s="751"/>
      <c r="AR50" s="752"/>
      <c r="AS50" s="752"/>
      <c r="AT50" s="752"/>
      <c r="AU50" s="752"/>
      <c r="AV50" s="752"/>
      <c r="AW50" s="752"/>
      <c r="AX50" s="752"/>
      <c r="AY50" s="753"/>
    </row>
    <row r="51" spans="1:51" s="770" customFormat="1" ht="12" customHeight="1">
      <c r="A51" s="753"/>
      <c r="B51" s="807"/>
      <c r="C51" s="797"/>
      <c r="D51" s="760" t="s">
        <v>3809</v>
      </c>
      <c r="E51" s="798">
        <v>6</v>
      </c>
      <c r="F51" s="799" t="s">
        <v>3830</v>
      </c>
      <c r="G51" s="830" t="s">
        <v>3822</v>
      </c>
      <c r="H51" s="825"/>
      <c r="I51" s="825"/>
      <c r="J51" s="825"/>
      <c r="K51" s="825"/>
      <c r="L51" s="825"/>
      <c r="M51" s="809"/>
      <c r="N51" s="809"/>
      <c r="O51" s="809"/>
      <c r="P51" s="753" t="s">
        <v>3809</v>
      </c>
      <c r="Q51" s="798">
        <v>12</v>
      </c>
      <c r="R51" s="799" t="s">
        <v>3831</v>
      </c>
      <c r="S51" s="753"/>
      <c r="T51" s="809"/>
      <c r="U51" s="809"/>
      <c r="V51" s="799"/>
      <c r="W51" s="753"/>
      <c r="X51" s="830" t="s">
        <v>3822</v>
      </c>
      <c r="Y51" s="825"/>
      <c r="Z51" s="825"/>
      <c r="AA51" s="828"/>
      <c r="AB51" s="753"/>
      <c r="AC51" s="753"/>
      <c r="AD51" s="753"/>
      <c r="AE51" s="832"/>
      <c r="AF51" s="751"/>
      <c r="AG51" s="751"/>
      <c r="AH51" s="751"/>
      <c r="AI51" s="751"/>
      <c r="AJ51" s="751"/>
      <c r="AK51" s="751"/>
      <c r="AL51" s="751"/>
      <c r="AM51" s="751"/>
      <c r="AN51" s="751"/>
      <c r="AO51" s="751"/>
      <c r="AP51" s="751"/>
      <c r="AQ51" s="751"/>
      <c r="AR51" s="752"/>
      <c r="AS51" s="752"/>
      <c r="AT51" s="752"/>
      <c r="AU51" s="752"/>
      <c r="AV51" s="752"/>
      <c r="AW51" s="752"/>
      <c r="AX51" s="752"/>
      <c r="AY51" s="753"/>
    </row>
    <row r="52" spans="1:51" s="770" customFormat="1" ht="12" customHeight="1">
      <c r="A52" s="753"/>
      <c r="B52" s="807"/>
      <c r="C52" s="797"/>
      <c r="D52" s="760" t="s">
        <v>3809</v>
      </c>
      <c r="E52" s="798">
        <v>7</v>
      </c>
      <c r="F52" s="799" t="s">
        <v>3832</v>
      </c>
      <c r="G52" s="830" t="s">
        <v>3822</v>
      </c>
      <c r="H52" s="825"/>
      <c r="I52" s="825"/>
      <c r="J52" s="825"/>
      <c r="K52" s="825"/>
      <c r="L52" s="825"/>
      <c r="M52" s="809"/>
      <c r="N52" s="809"/>
      <c r="O52" s="809"/>
      <c r="P52" s="753" t="s">
        <v>3809</v>
      </c>
      <c r="Q52" s="798">
        <v>13</v>
      </c>
      <c r="R52" s="799" t="s">
        <v>3833</v>
      </c>
      <c r="S52" s="753"/>
      <c r="T52" s="809"/>
      <c r="U52" s="809"/>
      <c r="V52" s="799"/>
      <c r="W52" s="753"/>
      <c r="X52" s="830" t="s">
        <v>3822</v>
      </c>
      <c r="Y52" s="825"/>
      <c r="Z52" s="825"/>
      <c r="AA52" s="828"/>
      <c r="AB52" s="753"/>
      <c r="AC52" s="753"/>
      <c r="AD52" s="753"/>
      <c r="AE52" s="832"/>
      <c r="AF52" s="751"/>
      <c r="AG52" s="751"/>
      <c r="AH52" s="751"/>
      <c r="AI52" s="751"/>
      <c r="AJ52" s="751"/>
      <c r="AK52" s="751"/>
      <c r="AL52" s="751"/>
      <c r="AM52" s="751"/>
      <c r="AN52" s="751"/>
      <c r="AO52" s="751"/>
      <c r="AP52" s="751"/>
      <c r="AQ52" s="751"/>
      <c r="AR52" s="752"/>
      <c r="AS52" s="752"/>
      <c r="AT52" s="752"/>
      <c r="AU52" s="752"/>
      <c r="AV52" s="752"/>
      <c r="AW52" s="752"/>
      <c r="AX52" s="752"/>
      <c r="AY52" s="753"/>
    </row>
    <row r="53" spans="1:51" s="770" customFormat="1" ht="12" customHeight="1">
      <c r="A53" s="753"/>
      <c r="B53" s="807"/>
      <c r="C53" s="797"/>
      <c r="D53" s="760" t="s">
        <v>3809</v>
      </c>
      <c r="E53" s="798">
        <v>8</v>
      </c>
      <c r="F53" s="826" t="s">
        <v>3834</v>
      </c>
      <c r="G53" s="815" t="s">
        <v>3819</v>
      </c>
      <c r="H53" s="825"/>
      <c r="I53" s="825"/>
      <c r="J53" s="825"/>
      <c r="K53" s="825"/>
      <c r="L53" s="825"/>
      <c r="M53" s="753"/>
      <c r="N53" s="753"/>
      <c r="O53" s="753"/>
      <c r="P53" s="753" t="s">
        <v>3809</v>
      </c>
      <c r="Q53" s="798">
        <v>14</v>
      </c>
      <c r="R53" s="826" t="s">
        <v>3835</v>
      </c>
      <c r="S53" s="827"/>
      <c r="T53" s="826"/>
      <c r="U53" s="826"/>
      <c r="V53" s="826"/>
      <c r="W53" s="827"/>
      <c r="X53" s="815" t="s">
        <v>3819</v>
      </c>
      <c r="Y53" s="825"/>
      <c r="Z53" s="825"/>
      <c r="AA53" s="760"/>
      <c r="AB53" s="753"/>
      <c r="AC53" s="753"/>
      <c r="AD53" s="753"/>
      <c r="AE53" s="832"/>
      <c r="AF53" s="751"/>
      <c r="AG53" s="751"/>
      <c r="AH53" s="751"/>
      <c r="AI53" s="751"/>
      <c r="AJ53" s="751"/>
      <c r="AK53" s="751"/>
      <c r="AL53" s="751"/>
      <c r="AM53" s="751"/>
      <c r="AN53" s="751"/>
      <c r="AO53" s="751"/>
      <c r="AP53" s="751"/>
      <c r="AQ53" s="751"/>
      <c r="AR53" s="752"/>
      <c r="AS53" s="752"/>
      <c r="AT53" s="752"/>
      <c r="AU53" s="752"/>
      <c r="AV53" s="752"/>
      <c r="AW53" s="752"/>
      <c r="AX53" s="752"/>
      <c r="AY53" s="753"/>
    </row>
    <row r="54" spans="1:51" s="770" customFormat="1" ht="12" customHeight="1">
      <c r="A54" s="753"/>
      <c r="B54" s="807"/>
      <c r="C54" s="797"/>
      <c r="D54" s="760" t="s">
        <v>3809</v>
      </c>
      <c r="E54" s="798">
        <v>9</v>
      </c>
      <c r="F54" s="826" t="s">
        <v>3836</v>
      </c>
      <c r="G54" s="815" t="s">
        <v>3819</v>
      </c>
      <c r="H54" s="825"/>
      <c r="I54" s="825"/>
      <c r="J54" s="825"/>
      <c r="K54" s="825"/>
      <c r="L54" s="825"/>
      <c r="M54" s="753"/>
      <c r="N54" s="753"/>
      <c r="O54" s="753"/>
      <c r="P54" s="753" t="s">
        <v>3809</v>
      </c>
      <c r="Q54" s="798">
        <v>15</v>
      </c>
      <c r="R54" s="826" t="s">
        <v>3837</v>
      </c>
      <c r="S54" s="827"/>
      <c r="T54" s="826"/>
      <c r="U54" s="826"/>
      <c r="V54" s="826"/>
      <c r="W54" s="827"/>
      <c r="X54" s="815" t="s">
        <v>3819</v>
      </c>
      <c r="Y54" s="825"/>
      <c r="Z54" s="825"/>
      <c r="AA54" s="760"/>
      <c r="AB54" s="753"/>
      <c r="AC54" s="753"/>
      <c r="AD54" s="753"/>
      <c r="AE54" s="832"/>
      <c r="AF54" s="751"/>
      <c r="AG54" s="751"/>
      <c r="AH54" s="751"/>
      <c r="AI54" s="751"/>
      <c r="AJ54" s="751"/>
      <c r="AK54" s="751"/>
      <c r="AL54" s="751"/>
      <c r="AM54" s="751"/>
      <c r="AN54" s="751"/>
      <c r="AO54" s="751"/>
      <c r="AP54" s="751"/>
      <c r="AQ54" s="751"/>
      <c r="AR54" s="752"/>
      <c r="AS54" s="752"/>
      <c r="AT54" s="752"/>
      <c r="AU54" s="752"/>
      <c r="AV54" s="752"/>
      <c r="AW54" s="752"/>
      <c r="AX54" s="752"/>
      <c r="AY54" s="753"/>
    </row>
    <row r="55" spans="1:51" s="770" customFormat="1" ht="12" customHeight="1">
      <c r="A55" s="753"/>
      <c r="B55" s="807"/>
      <c r="C55" s="797"/>
      <c r="D55" s="760" t="s">
        <v>3809</v>
      </c>
      <c r="E55" s="798">
        <v>10</v>
      </c>
      <c r="F55" s="826" t="s">
        <v>3838</v>
      </c>
      <c r="G55" s="815" t="s">
        <v>3819</v>
      </c>
      <c r="H55" s="825"/>
      <c r="I55" s="825"/>
      <c r="J55" s="825"/>
      <c r="K55" s="825"/>
      <c r="L55" s="825"/>
      <c r="M55" s="753"/>
      <c r="N55" s="753"/>
      <c r="O55" s="753"/>
      <c r="P55" s="753" t="s">
        <v>3809</v>
      </c>
      <c r="Q55" s="798">
        <v>16</v>
      </c>
      <c r="R55" s="826" t="s">
        <v>3839</v>
      </c>
      <c r="S55" s="827"/>
      <c r="T55" s="826"/>
      <c r="U55" s="826"/>
      <c r="V55" s="826"/>
      <c r="W55" s="827"/>
      <c r="X55" s="815" t="s">
        <v>3819</v>
      </c>
      <c r="Y55" s="825"/>
      <c r="Z55" s="825"/>
      <c r="AA55" s="760"/>
      <c r="AB55" s="753"/>
      <c r="AC55" s="753"/>
      <c r="AD55" s="753"/>
      <c r="AE55" s="832"/>
      <c r="AF55" s="751"/>
      <c r="AG55" s="751"/>
      <c r="AH55" s="751"/>
      <c r="AI55" s="751"/>
      <c r="AJ55" s="751"/>
      <c r="AK55" s="751"/>
      <c r="AL55" s="751"/>
      <c r="AM55" s="751"/>
      <c r="AN55" s="751"/>
      <c r="AO55" s="751"/>
      <c r="AP55" s="751"/>
      <c r="AQ55" s="751"/>
      <c r="AR55" s="752"/>
      <c r="AS55" s="752"/>
      <c r="AT55" s="752"/>
      <c r="AU55" s="752"/>
      <c r="AV55" s="752"/>
      <c r="AW55" s="752"/>
      <c r="AX55" s="752"/>
      <c r="AY55" s="753"/>
    </row>
    <row r="56" spans="1:51" s="770" customFormat="1" ht="12" customHeight="1">
      <c r="A56" s="753"/>
      <c r="B56" s="807"/>
      <c r="C56" s="833"/>
      <c r="D56" s="753"/>
      <c r="E56" s="809"/>
      <c r="F56" s="809"/>
      <c r="G56" s="809"/>
      <c r="H56" s="809"/>
      <c r="I56" s="809"/>
      <c r="J56" s="809"/>
      <c r="K56" s="809"/>
      <c r="L56" s="809"/>
      <c r="M56" s="809"/>
      <c r="N56" s="809"/>
      <c r="O56" s="809"/>
      <c r="P56" s="809"/>
      <c r="Q56" s="809"/>
      <c r="R56" s="809"/>
      <c r="S56" s="809"/>
      <c r="T56" s="809"/>
      <c r="U56" s="809"/>
      <c r="V56" s="809"/>
      <c r="W56" s="809"/>
      <c r="X56" s="825"/>
      <c r="Y56" s="825"/>
      <c r="Z56" s="825"/>
      <c r="AA56" s="809"/>
      <c r="AB56" s="753"/>
      <c r="AC56" s="753"/>
      <c r="AD56" s="753"/>
      <c r="AE56" s="832"/>
      <c r="AF56" s="751"/>
      <c r="AG56" s="751"/>
      <c r="AH56" s="751"/>
      <c r="AI56" s="751"/>
      <c r="AJ56" s="751"/>
      <c r="AK56" s="751"/>
      <c r="AL56" s="751"/>
      <c r="AM56" s="751"/>
      <c r="AN56" s="751"/>
      <c r="AO56" s="751"/>
      <c r="AP56" s="751"/>
      <c r="AQ56" s="751"/>
      <c r="AR56" s="752"/>
      <c r="AS56" s="752"/>
      <c r="AT56" s="752"/>
      <c r="AU56" s="752"/>
      <c r="AV56" s="752"/>
      <c r="AW56" s="752"/>
      <c r="AX56" s="752"/>
      <c r="AY56" s="753"/>
    </row>
    <row r="57" spans="1:51" s="770" customFormat="1" ht="12" customHeight="1">
      <c r="A57" s="753"/>
      <c r="B57" s="807"/>
      <c r="C57" s="833"/>
      <c r="D57" s="753"/>
      <c r="E57" s="809"/>
      <c r="F57" s="809"/>
      <c r="G57" s="809"/>
      <c r="H57" s="809"/>
      <c r="I57" s="809"/>
      <c r="J57" s="809"/>
      <c r="K57" s="809"/>
      <c r="L57" s="809"/>
      <c r="M57" s="809"/>
      <c r="N57" s="809"/>
      <c r="O57" s="809"/>
      <c r="P57" s="809"/>
      <c r="Q57" s="809"/>
      <c r="R57" s="809"/>
      <c r="S57" s="809"/>
      <c r="T57" s="809"/>
      <c r="U57" s="809"/>
      <c r="V57" s="809"/>
      <c r="W57" s="809"/>
      <c r="X57" s="809"/>
      <c r="Y57" s="809"/>
      <c r="Z57" s="809"/>
      <c r="AA57" s="809"/>
      <c r="AB57" s="809"/>
      <c r="AC57" s="809"/>
      <c r="AD57" s="809"/>
      <c r="AE57" s="750"/>
      <c r="AF57" s="751"/>
      <c r="AG57" s="751"/>
      <c r="AH57" s="751"/>
      <c r="AI57" s="751"/>
      <c r="AJ57" s="751"/>
      <c r="AK57" s="751"/>
      <c r="AL57" s="751"/>
      <c r="AM57" s="751"/>
      <c r="AN57" s="751"/>
      <c r="AO57" s="751"/>
      <c r="AP57" s="751"/>
      <c r="AQ57" s="751"/>
      <c r="AR57" s="752"/>
      <c r="AS57" s="752"/>
      <c r="AT57" s="752"/>
      <c r="AU57" s="752"/>
      <c r="AV57" s="752"/>
      <c r="AW57" s="752"/>
      <c r="AX57" s="752"/>
      <c r="AY57" s="753"/>
    </row>
    <row r="58" spans="1:51" s="753" customFormat="1" ht="12" customHeight="1">
      <c r="B58" s="796" t="s">
        <v>3806</v>
      </c>
      <c r="C58" s="797"/>
      <c r="E58" s="798"/>
      <c r="F58" s="799"/>
      <c r="AE58" s="750"/>
      <c r="AF58" s="751"/>
      <c r="AG58" s="751"/>
      <c r="AH58" s="751"/>
      <c r="AI58" s="751"/>
      <c r="AJ58" s="751"/>
      <c r="AK58" s="751"/>
      <c r="AL58" s="751"/>
      <c r="AM58" s="751"/>
      <c r="AN58" s="751"/>
      <c r="AO58" s="751"/>
      <c r="AP58" s="751"/>
      <c r="AQ58" s="751"/>
      <c r="AR58" s="752"/>
      <c r="AS58" s="752"/>
      <c r="AT58" s="752"/>
      <c r="AU58" s="752"/>
      <c r="AV58" s="752"/>
      <c r="AW58" s="752"/>
      <c r="AX58" s="752"/>
    </row>
    <row r="59" spans="1:51" s="770" customFormat="1" ht="12" customHeight="1">
      <c r="A59" s="744"/>
      <c r="B59" s="800" t="s">
        <v>3840</v>
      </c>
      <c r="C59" s="801"/>
      <c r="D59" s="802"/>
      <c r="E59" s="803"/>
      <c r="F59" s="802"/>
      <c r="G59" s="804"/>
      <c r="H59" s="804"/>
      <c r="I59" s="804"/>
      <c r="J59" s="804"/>
      <c r="K59" s="804"/>
      <c r="L59" s="804"/>
      <c r="M59" s="804"/>
      <c r="N59" s="804"/>
      <c r="O59" s="804"/>
      <c r="P59" s="804"/>
      <c r="Q59" s="804"/>
      <c r="R59" s="804"/>
      <c r="S59" s="804"/>
      <c r="T59" s="804"/>
      <c r="U59" s="804"/>
      <c r="V59" s="804"/>
      <c r="W59" s="804"/>
      <c r="X59" s="804"/>
      <c r="Y59" s="804"/>
      <c r="Z59" s="804"/>
      <c r="AA59" s="805"/>
      <c r="AB59" s="804"/>
      <c r="AC59" s="804"/>
      <c r="AD59" s="806" t="s">
        <v>568</v>
      </c>
      <c r="AE59" s="750"/>
      <c r="AF59" s="751"/>
      <c r="AG59" s="751"/>
      <c r="AH59" s="751"/>
      <c r="AI59" s="751"/>
      <c r="AJ59" s="751"/>
      <c r="AK59" s="751"/>
      <c r="AL59" s="751"/>
      <c r="AM59" s="751"/>
      <c r="AN59" s="751"/>
      <c r="AO59" s="751"/>
      <c r="AP59" s="751"/>
      <c r="AQ59" s="751"/>
      <c r="AR59" s="752"/>
      <c r="AS59" s="752"/>
      <c r="AT59" s="752"/>
      <c r="AU59" s="752"/>
      <c r="AV59" s="752"/>
      <c r="AW59" s="752"/>
      <c r="AX59" s="752"/>
      <c r="AY59" s="753"/>
    </row>
    <row r="60" spans="1:51" s="770" customFormat="1" ht="12" customHeight="1">
      <c r="A60" s="753"/>
      <c r="B60" s="810"/>
      <c r="C60" s="808">
        <v>3</v>
      </c>
      <c r="D60" s="753" t="s">
        <v>3841</v>
      </c>
      <c r="E60" s="809"/>
      <c r="F60" s="809"/>
      <c r="G60" s="809"/>
      <c r="H60" s="809"/>
      <c r="I60" s="809"/>
      <c r="J60" s="809"/>
      <c r="K60" s="809"/>
      <c r="L60" s="809"/>
      <c r="M60" s="809"/>
      <c r="N60" s="809"/>
      <c r="O60" s="809"/>
      <c r="P60" s="809"/>
      <c r="Q60" s="809"/>
      <c r="R60" s="809"/>
      <c r="S60" s="809"/>
      <c r="T60" s="809"/>
      <c r="U60" s="809"/>
      <c r="V60" s="809"/>
      <c r="W60" s="809"/>
      <c r="X60" s="809"/>
      <c r="Y60" s="809"/>
      <c r="Z60" s="809"/>
      <c r="AA60" s="809"/>
      <c r="AB60" s="809"/>
      <c r="AC60" s="809"/>
      <c r="AD60" s="809"/>
      <c r="AE60" s="750"/>
      <c r="AF60" s="751"/>
      <c r="AG60" s="751"/>
      <c r="AH60" s="751"/>
      <c r="AI60" s="751"/>
      <c r="AJ60" s="751"/>
      <c r="AK60" s="751"/>
      <c r="AL60" s="751"/>
      <c r="AM60" s="751"/>
      <c r="AN60" s="751"/>
      <c r="AO60" s="751"/>
      <c r="AP60" s="751"/>
      <c r="AQ60" s="751"/>
      <c r="AR60" s="752"/>
      <c r="AS60" s="752"/>
      <c r="AT60" s="752"/>
      <c r="AU60" s="752"/>
      <c r="AV60" s="752"/>
      <c r="AW60" s="752"/>
      <c r="AX60" s="752"/>
      <c r="AY60" s="753"/>
    </row>
    <row r="61" spans="1:51" s="770" customFormat="1" ht="12" customHeight="1">
      <c r="A61" s="753"/>
      <c r="B61" s="810"/>
      <c r="C61" s="797"/>
      <c r="D61" s="753"/>
      <c r="E61" s="809"/>
      <c r="F61" s="834"/>
      <c r="G61" s="809"/>
      <c r="H61" s="809"/>
      <c r="I61" s="809"/>
      <c r="J61" s="809"/>
      <c r="K61" s="809"/>
      <c r="L61" s="809"/>
      <c r="M61" s="809"/>
      <c r="N61" s="809"/>
      <c r="O61" s="809"/>
      <c r="P61" s="809"/>
      <c r="Q61" s="809"/>
      <c r="R61" s="809"/>
      <c r="S61" s="809"/>
      <c r="T61" s="809"/>
      <c r="U61" s="809"/>
      <c r="V61" s="809"/>
      <c r="W61" s="809"/>
      <c r="X61" s="809"/>
      <c r="Y61" s="809"/>
      <c r="Z61" s="809"/>
      <c r="AA61" s="809"/>
      <c r="AB61" s="809"/>
      <c r="AC61" s="809"/>
      <c r="AD61" s="809"/>
      <c r="AE61" s="750"/>
      <c r="AF61" s="751"/>
      <c r="AG61" s="751"/>
      <c r="AH61" s="751"/>
      <c r="AI61" s="751"/>
      <c r="AJ61" s="751"/>
      <c r="AK61" s="751"/>
      <c r="AL61" s="751"/>
      <c r="AM61" s="751"/>
      <c r="AN61" s="751"/>
      <c r="AO61" s="751"/>
      <c r="AP61" s="751"/>
      <c r="AQ61" s="751"/>
      <c r="AR61" s="752"/>
      <c r="AS61" s="752"/>
      <c r="AT61" s="752"/>
      <c r="AU61" s="752"/>
      <c r="AV61" s="752"/>
      <c r="AW61" s="752"/>
      <c r="AX61" s="752"/>
      <c r="AY61" s="753"/>
    </row>
    <row r="62" spans="1:51" s="770" customFormat="1" ht="12" customHeight="1">
      <c r="A62" s="753"/>
      <c r="B62" s="810"/>
      <c r="C62" s="835"/>
      <c r="D62" s="753" t="s">
        <v>3809</v>
      </c>
      <c r="E62" s="798">
        <v>1</v>
      </c>
      <c r="F62" s="753" t="s">
        <v>3842</v>
      </c>
      <c r="G62" s="836"/>
      <c r="H62" s="753"/>
      <c r="I62" s="753"/>
      <c r="J62" s="760"/>
      <c r="K62" s="760"/>
      <c r="L62" s="760"/>
      <c r="M62" s="760"/>
      <c r="N62" s="812"/>
      <c r="O62" s="812"/>
      <c r="P62" s="753" t="s">
        <v>3809</v>
      </c>
      <c r="Q62" s="798">
        <v>20</v>
      </c>
      <c r="R62" s="753" t="s">
        <v>3843</v>
      </c>
      <c r="S62" s="753"/>
      <c r="T62" s="753"/>
      <c r="U62" s="753"/>
      <c r="V62" s="753"/>
      <c r="W62" s="753"/>
      <c r="X62" s="753"/>
      <c r="Y62" s="760"/>
      <c r="Z62" s="760"/>
      <c r="AA62" s="817"/>
      <c r="AB62" s="817"/>
      <c r="AC62" s="817"/>
      <c r="AD62" s="799"/>
      <c r="AE62" s="750"/>
      <c r="AF62" s="751"/>
      <c r="AG62" s="751"/>
      <c r="AH62" s="751"/>
      <c r="AI62" s="751"/>
      <c r="AJ62" s="751"/>
      <c r="AK62" s="751"/>
      <c r="AL62" s="751"/>
      <c r="AM62" s="751"/>
      <c r="AN62" s="751"/>
      <c r="AO62" s="751"/>
      <c r="AP62" s="751"/>
      <c r="AQ62" s="751"/>
      <c r="AR62" s="752"/>
      <c r="AS62" s="752"/>
      <c r="AT62" s="752"/>
      <c r="AU62" s="752"/>
      <c r="AV62" s="752"/>
      <c r="AW62" s="752"/>
      <c r="AX62" s="752"/>
      <c r="AY62" s="753"/>
    </row>
    <row r="63" spans="1:51" s="770" customFormat="1" ht="12" customHeight="1">
      <c r="A63" s="753"/>
      <c r="B63" s="810"/>
      <c r="C63" s="835"/>
      <c r="D63" s="753" t="s">
        <v>3809</v>
      </c>
      <c r="E63" s="798">
        <v>2</v>
      </c>
      <c r="F63" s="753" t="s">
        <v>3844</v>
      </c>
      <c r="G63" s="836"/>
      <c r="H63" s="753"/>
      <c r="I63" s="753"/>
      <c r="J63" s="760"/>
      <c r="K63" s="760"/>
      <c r="L63" s="760"/>
      <c r="M63" s="760"/>
      <c r="N63" s="812"/>
      <c r="O63" s="812"/>
      <c r="P63" s="753" t="s">
        <v>3809</v>
      </c>
      <c r="Q63" s="798">
        <v>21</v>
      </c>
      <c r="R63" s="753" t="s">
        <v>3845</v>
      </c>
      <c r="S63" s="753"/>
      <c r="T63" s="753"/>
      <c r="U63" s="753"/>
      <c r="V63" s="753"/>
      <c r="W63" s="753"/>
      <c r="X63" s="753"/>
      <c r="Y63" s="760"/>
      <c r="Z63" s="760"/>
      <c r="AA63" s="817"/>
      <c r="AB63" s="817"/>
      <c r="AC63" s="817"/>
      <c r="AD63" s="799"/>
      <c r="AE63" s="750"/>
      <c r="AF63" s="751"/>
      <c r="AG63" s="751"/>
      <c r="AH63" s="751"/>
      <c r="AI63" s="751"/>
      <c r="AJ63" s="751"/>
      <c r="AK63" s="751"/>
      <c r="AL63" s="751"/>
      <c r="AM63" s="751"/>
      <c r="AN63" s="751"/>
      <c r="AO63" s="751"/>
      <c r="AP63" s="751"/>
      <c r="AQ63" s="751"/>
      <c r="AR63" s="752"/>
      <c r="AS63" s="752"/>
      <c r="AT63" s="752"/>
      <c r="AU63" s="752"/>
      <c r="AV63" s="752"/>
      <c r="AW63" s="752"/>
      <c r="AX63" s="752"/>
      <c r="AY63" s="753"/>
    </row>
    <row r="64" spans="1:51" s="770" customFormat="1" ht="12" customHeight="1">
      <c r="A64" s="753"/>
      <c r="B64" s="810"/>
      <c r="C64" s="835"/>
      <c r="D64" s="753" t="s">
        <v>3809</v>
      </c>
      <c r="E64" s="798">
        <v>3</v>
      </c>
      <c r="F64" s="753" t="s">
        <v>3846</v>
      </c>
      <c r="G64" s="753"/>
      <c r="H64" s="759"/>
      <c r="I64" s="753"/>
      <c r="J64" s="760"/>
      <c r="K64" s="760"/>
      <c r="L64" s="760"/>
      <c r="M64" s="760"/>
      <c r="N64" s="812"/>
      <c r="O64" s="812"/>
      <c r="P64" s="753" t="s">
        <v>3809</v>
      </c>
      <c r="Q64" s="798">
        <v>22</v>
      </c>
      <c r="R64" s="753" t="s">
        <v>3847</v>
      </c>
      <c r="S64" s="753"/>
      <c r="T64" s="753"/>
      <c r="U64" s="753"/>
      <c r="V64" s="753"/>
      <c r="W64" s="753"/>
      <c r="X64" s="753"/>
      <c r="Y64" s="760"/>
      <c r="Z64" s="760"/>
      <c r="AA64" s="817"/>
      <c r="AB64" s="817"/>
      <c r="AC64" s="817"/>
      <c r="AD64" s="799"/>
      <c r="AE64" s="750"/>
      <c r="AF64" s="751"/>
      <c r="AG64" s="751"/>
      <c r="AH64" s="751"/>
      <c r="AI64" s="751"/>
      <c r="AJ64" s="751"/>
      <c r="AK64" s="751"/>
      <c r="AL64" s="751"/>
      <c r="AM64" s="751"/>
      <c r="AN64" s="751"/>
      <c r="AO64" s="751"/>
      <c r="AP64" s="751"/>
      <c r="AQ64" s="751"/>
      <c r="AR64" s="752"/>
      <c r="AS64" s="752"/>
      <c r="AT64" s="752"/>
      <c r="AU64" s="752"/>
      <c r="AV64" s="752"/>
      <c r="AW64" s="752"/>
      <c r="AX64" s="752"/>
      <c r="AY64" s="753"/>
    </row>
    <row r="65" spans="1:51" s="770" customFormat="1" ht="12" customHeight="1">
      <c r="A65" s="753"/>
      <c r="B65" s="810"/>
      <c r="C65" s="835"/>
      <c r="D65" s="753" t="s">
        <v>3809</v>
      </c>
      <c r="E65" s="798">
        <v>4</v>
      </c>
      <c r="F65" s="753" t="s">
        <v>3848</v>
      </c>
      <c r="G65" s="753"/>
      <c r="H65" s="759"/>
      <c r="I65" s="753"/>
      <c r="J65" s="760"/>
      <c r="K65" s="760"/>
      <c r="L65" s="760"/>
      <c r="M65" s="760"/>
      <c r="N65" s="812"/>
      <c r="O65" s="812"/>
      <c r="P65" s="753" t="s">
        <v>3809</v>
      </c>
      <c r="Q65" s="798">
        <v>23</v>
      </c>
      <c r="R65" s="753" t="s">
        <v>3849</v>
      </c>
      <c r="S65" s="753"/>
      <c r="T65" s="753"/>
      <c r="U65" s="753"/>
      <c r="V65" s="753"/>
      <c r="W65" s="753"/>
      <c r="X65" s="753"/>
      <c r="Y65" s="760"/>
      <c r="Z65" s="760"/>
      <c r="AA65" s="817"/>
      <c r="AB65" s="817"/>
      <c r="AC65" s="817"/>
      <c r="AD65" s="799"/>
      <c r="AE65" s="750"/>
      <c r="AF65" s="751"/>
      <c r="AG65" s="751"/>
      <c r="AH65" s="751"/>
      <c r="AI65" s="751"/>
      <c r="AJ65" s="751"/>
      <c r="AK65" s="751"/>
      <c r="AL65" s="751"/>
      <c r="AM65" s="751"/>
      <c r="AN65" s="751"/>
      <c r="AO65" s="751"/>
      <c r="AP65" s="751"/>
      <c r="AQ65" s="751"/>
      <c r="AR65" s="752"/>
      <c r="AS65" s="752"/>
      <c r="AT65" s="752"/>
      <c r="AU65" s="752"/>
      <c r="AV65" s="752"/>
      <c r="AW65" s="752"/>
      <c r="AX65" s="752"/>
      <c r="AY65" s="753"/>
    </row>
    <row r="66" spans="1:51" s="770" customFormat="1" ht="12" customHeight="1">
      <c r="A66" s="753"/>
      <c r="B66" s="810"/>
      <c r="C66" s="835"/>
      <c r="D66" s="753" t="s">
        <v>3809</v>
      </c>
      <c r="E66" s="798">
        <v>5</v>
      </c>
      <c r="F66" s="753" t="s">
        <v>3850</v>
      </c>
      <c r="G66" s="753"/>
      <c r="H66" s="759"/>
      <c r="I66" s="753"/>
      <c r="J66" s="760"/>
      <c r="K66" s="760"/>
      <c r="L66" s="760"/>
      <c r="M66" s="760"/>
      <c r="N66" s="812"/>
      <c r="O66" s="812"/>
      <c r="P66" s="753" t="s">
        <v>3809</v>
      </c>
      <c r="Q66" s="798">
        <v>24</v>
      </c>
      <c r="R66" s="753" t="s">
        <v>3851</v>
      </c>
      <c r="S66" s="753"/>
      <c r="T66" s="753"/>
      <c r="U66" s="753"/>
      <c r="V66" s="753"/>
      <c r="W66" s="753"/>
      <c r="X66" s="753"/>
      <c r="Y66" s="760"/>
      <c r="Z66" s="760"/>
      <c r="AA66" s="817"/>
      <c r="AB66" s="817"/>
      <c r="AC66" s="817"/>
      <c r="AD66" s="799"/>
      <c r="AE66" s="750"/>
      <c r="AF66" s="751"/>
      <c r="AG66" s="751"/>
      <c r="AH66" s="751"/>
      <c r="AI66" s="751"/>
      <c r="AJ66" s="751"/>
      <c r="AK66" s="751"/>
      <c r="AL66" s="751"/>
      <c r="AM66" s="751"/>
      <c r="AN66" s="751"/>
      <c r="AO66" s="751"/>
      <c r="AP66" s="751"/>
      <c r="AQ66" s="751"/>
      <c r="AR66" s="752"/>
      <c r="AS66" s="752"/>
      <c r="AT66" s="752"/>
      <c r="AU66" s="752"/>
      <c r="AV66" s="752"/>
      <c r="AW66" s="752"/>
      <c r="AX66" s="752"/>
      <c r="AY66" s="753"/>
    </row>
    <row r="67" spans="1:51" s="770" customFormat="1" ht="12" customHeight="1">
      <c r="A67" s="753"/>
      <c r="B67" s="810"/>
      <c r="C67" s="835"/>
      <c r="D67" s="753" t="s">
        <v>3809</v>
      </c>
      <c r="E67" s="798">
        <v>6</v>
      </c>
      <c r="F67" s="753" t="s">
        <v>3852</v>
      </c>
      <c r="G67" s="753"/>
      <c r="H67" s="759"/>
      <c r="I67" s="753"/>
      <c r="J67" s="760"/>
      <c r="K67" s="760"/>
      <c r="L67" s="760"/>
      <c r="M67" s="760"/>
      <c r="N67" s="812"/>
      <c r="O67" s="812"/>
      <c r="P67" s="753" t="s">
        <v>3809</v>
      </c>
      <c r="Q67" s="798">
        <v>25</v>
      </c>
      <c r="R67" s="753" t="s">
        <v>3853</v>
      </c>
      <c r="S67" s="809"/>
      <c r="T67" s="809"/>
      <c r="U67" s="809"/>
      <c r="V67" s="809"/>
      <c r="W67" s="809"/>
      <c r="X67" s="809"/>
      <c r="Y67" s="828"/>
      <c r="Z67" s="828"/>
      <c r="AA67" s="817"/>
      <c r="AB67" s="817"/>
      <c r="AC67" s="817"/>
      <c r="AD67" s="799"/>
      <c r="AE67" s="750"/>
      <c r="AF67" s="751"/>
      <c r="AG67" s="751"/>
      <c r="AH67" s="751"/>
      <c r="AI67" s="751"/>
      <c r="AJ67" s="751"/>
      <c r="AK67" s="751"/>
      <c r="AL67" s="751"/>
      <c r="AM67" s="751"/>
      <c r="AN67" s="751"/>
      <c r="AO67" s="751"/>
      <c r="AP67" s="751"/>
      <c r="AQ67" s="751"/>
      <c r="AR67" s="752"/>
      <c r="AS67" s="752"/>
      <c r="AT67" s="752"/>
      <c r="AU67" s="752"/>
      <c r="AV67" s="752"/>
      <c r="AW67" s="752"/>
      <c r="AX67" s="752"/>
      <c r="AY67" s="753"/>
    </row>
    <row r="68" spans="1:51" s="770" customFormat="1" ht="12" customHeight="1" thickBot="1">
      <c r="A68" s="753"/>
      <c r="B68" s="810"/>
      <c r="C68" s="835"/>
      <c r="D68" s="753" t="s">
        <v>3809</v>
      </c>
      <c r="E68" s="798">
        <v>7</v>
      </c>
      <c r="F68" s="753" t="s">
        <v>3854</v>
      </c>
      <c r="G68" s="836"/>
      <c r="H68" s="809"/>
      <c r="I68" s="809"/>
      <c r="J68" s="828"/>
      <c r="K68" s="828"/>
      <c r="L68" s="828"/>
      <c r="M68" s="828"/>
      <c r="N68" s="812"/>
      <c r="O68" s="812"/>
      <c r="P68" s="753" t="s">
        <v>3809</v>
      </c>
      <c r="Q68" s="798">
        <v>26</v>
      </c>
      <c r="R68" s="753" t="s">
        <v>3855</v>
      </c>
      <c r="S68" s="809"/>
      <c r="T68" s="809"/>
      <c r="U68" s="809"/>
      <c r="V68" s="809"/>
      <c r="W68" s="809"/>
      <c r="X68" s="809"/>
      <c r="Y68" s="828"/>
      <c r="Z68" s="828"/>
      <c r="AA68" s="817"/>
      <c r="AB68" s="817"/>
      <c r="AC68" s="817"/>
      <c r="AD68" s="799"/>
      <c r="AE68" s="750"/>
      <c r="AF68" s="751"/>
      <c r="AG68" s="751"/>
      <c r="AH68" s="751"/>
      <c r="AI68" s="751"/>
      <c r="AJ68" s="751"/>
      <c r="AK68" s="751"/>
      <c r="AL68" s="751"/>
      <c r="AM68" s="751"/>
      <c r="AN68" s="751"/>
      <c r="AO68" s="751"/>
      <c r="AP68" s="751"/>
      <c r="AQ68" s="751"/>
      <c r="AR68" s="752"/>
      <c r="AS68" s="752"/>
      <c r="AT68" s="752"/>
      <c r="AU68" s="752"/>
      <c r="AV68" s="752"/>
      <c r="AW68" s="752"/>
      <c r="AX68" s="752"/>
      <c r="AY68" s="753"/>
    </row>
    <row r="69" spans="1:51" s="770" customFormat="1" ht="12" customHeight="1" thickBot="1">
      <c r="A69" s="753"/>
      <c r="B69" s="810"/>
      <c r="C69" s="835"/>
      <c r="D69" s="753" t="s">
        <v>3809</v>
      </c>
      <c r="E69" s="798">
        <v>8</v>
      </c>
      <c r="F69" s="837" t="s">
        <v>3856</v>
      </c>
      <c r="G69" s="838"/>
      <c r="H69" s="839"/>
      <c r="I69" s="815" t="s">
        <v>3819</v>
      </c>
      <c r="J69" s="815"/>
      <c r="K69" s="828"/>
      <c r="L69" s="828"/>
      <c r="M69" s="828"/>
      <c r="N69" s="812"/>
      <c r="O69" s="812"/>
      <c r="P69" s="753" t="s">
        <v>3809</v>
      </c>
      <c r="Q69" s="798">
        <v>27</v>
      </c>
      <c r="R69" s="753" t="s">
        <v>3857</v>
      </c>
      <c r="S69" s="809"/>
      <c r="T69" s="809"/>
      <c r="U69" s="809"/>
      <c r="V69" s="809"/>
      <c r="W69" s="809"/>
      <c r="X69" s="809"/>
      <c r="Y69" s="828"/>
      <c r="Z69" s="828"/>
      <c r="AA69" s="817"/>
      <c r="AB69" s="817"/>
      <c r="AC69" s="817"/>
      <c r="AD69" s="799"/>
      <c r="AE69" s="750"/>
      <c r="AF69" s="751"/>
      <c r="AG69" s="751"/>
      <c r="AH69" s="751"/>
      <c r="AI69" s="751"/>
      <c r="AJ69" s="751"/>
      <c r="AK69" s="751"/>
      <c r="AL69" s="751"/>
      <c r="AM69" s="751"/>
      <c r="AN69" s="751"/>
      <c r="AO69" s="751"/>
      <c r="AP69" s="751"/>
      <c r="AQ69" s="751"/>
      <c r="AR69" s="752"/>
      <c r="AS69" s="752"/>
      <c r="AT69" s="752"/>
      <c r="AU69" s="752"/>
      <c r="AV69" s="752"/>
      <c r="AW69" s="752"/>
      <c r="AX69" s="752"/>
      <c r="AY69" s="753"/>
    </row>
    <row r="70" spans="1:51" s="770" customFormat="1" ht="12" customHeight="1" thickBot="1">
      <c r="A70" s="753"/>
      <c r="B70" s="810"/>
      <c r="C70" s="835"/>
      <c r="D70" s="753" t="s">
        <v>3809</v>
      </c>
      <c r="E70" s="798">
        <v>9</v>
      </c>
      <c r="F70" s="753" t="s">
        <v>3858</v>
      </c>
      <c r="G70" s="836"/>
      <c r="H70" s="809"/>
      <c r="I70" s="828"/>
      <c r="J70" s="828"/>
      <c r="K70" s="828"/>
      <c r="L70" s="828"/>
      <c r="M70" s="828"/>
      <c r="N70" s="812"/>
      <c r="O70" s="812"/>
      <c r="P70" s="753" t="s">
        <v>3809</v>
      </c>
      <c r="Q70" s="798">
        <v>28</v>
      </c>
      <c r="R70" s="753" t="s">
        <v>3859</v>
      </c>
      <c r="S70" s="809"/>
      <c r="T70" s="809"/>
      <c r="U70" s="809"/>
      <c r="V70" s="809"/>
      <c r="W70" s="809"/>
      <c r="X70" s="809"/>
      <c r="Y70" s="828"/>
      <c r="Z70" s="828"/>
      <c r="AA70" s="817"/>
      <c r="AB70" s="817"/>
      <c r="AC70" s="817"/>
      <c r="AD70" s="799"/>
      <c r="AE70" s="750"/>
      <c r="AF70" s="751"/>
      <c r="AG70" s="751"/>
      <c r="AH70" s="751"/>
      <c r="AI70" s="751"/>
      <c r="AJ70" s="751"/>
      <c r="AK70" s="751"/>
      <c r="AL70" s="751"/>
      <c r="AM70" s="751"/>
      <c r="AN70" s="751"/>
      <c r="AO70" s="751"/>
      <c r="AP70" s="751"/>
      <c r="AQ70" s="751"/>
      <c r="AR70" s="752"/>
      <c r="AS70" s="752"/>
      <c r="AT70" s="752"/>
      <c r="AU70" s="752"/>
      <c r="AV70" s="752"/>
      <c r="AW70" s="752"/>
      <c r="AX70" s="752"/>
      <c r="AY70" s="753"/>
    </row>
    <row r="71" spans="1:51" s="770" customFormat="1" ht="12" customHeight="1" thickBot="1">
      <c r="A71" s="753"/>
      <c r="B71" s="810"/>
      <c r="C71" s="835"/>
      <c r="D71" s="753" t="s">
        <v>3809</v>
      </c>
      <c r="E71" s="798">
        <v>10</v>
      </c>
      <c r="F71" s="837" t="s">
        <v>3860</v>
      </c>
      <c r="G71" s="838"/>
      <c r="H71" s="839"/>
      <c r="I71" s="815" t="s">
        <v>3819</v>
      </c>
      <c r="J71" s="815"/>
      <c r="K71" s="828"/>
      <c r="L71" s="828"/>
      <c r="M71" s="828"/>
      <c r="N71" s="812"/>
      <c r="O71" s="812"/>
      <c r="P71" s="753" t="s">
        <v>3809</v>
      </c>
      <c r="Q71" s="798">
        <v>29</v>
      </c>
      <c r="R71" s="753" t="s">
        <v>3861</v>
      </c>
      <c r="S71" s="809"/>
      <c r="T71" s="809"/>
      <c r="U71" s="809"/>
      <c r="V71" s="809"/>
      <c r="W71" s="809"/>
      <c r="X71" s="809"/>
      <c r="Y71" s="828"/>
      <c r="Z71" s="828"/>
      <c r="AA71" s="817"/>
      <c r="AB71" s="817"/>
      <c r="AC71" s="817"/>
      <c r="AD71" s="799"/>
      <c r="AE71" s="750"/>
      <c r="AF71" s="751"/>
      <c r="AG71" s="751"/>
      <c r="AH71" s="751"/>
      <c r="AI71" s="751"/>
      <c r="AJ71" s="751"/>
      <c r="AK71" s="751"/>
      <c r="AL71" s="751"/>
      <c r="AM71" s="751"/>
      <c r="AN71" s="751"/>
      <c r="AO71" s="751"/>
      <c r="AP71" s="751"/>
      <c r="AQ71" s="751"/>
      <c r="AR71" s="752"/>
      <c r="AS71" s="752"/>
      <c r="AT71" s="752"/>
      <c r="AU71" s="752"/>
      <c r="AV71" s="752"/>
      <c r="AW71" s="752"/>
      <c r="AX71" s="752"/>
      <c r="AY71" s="753"/>
    </row>
    <row r="72" spans="1:51" s="770" customFormat="1" ht="12" customHeight="1" thickBot="1">
      <c r="A72" s="753"/>
      <c r="B72" s="810"/>
      <c r="C72" s="835"/>
      <c r="D72" s="753" t="s">
        <v>3809</v>
      </c>
      <c r="E72" s="798">
        <v>11</v>
      </c>
      <c r="F72" s="837" t="s">
        <v>3862</v>
      </c>
      <c r="G72" s="838"/>
      <c r="H72" s="839"/>
      <c r="I72" s="815" t="s">
        <v>3819</v>
      </c>
      <c r="J72" s="815"/>
      <c r="K72" s="828"/>
      <c r="L72" s="828"/>
      <c r="M72" s="828"/>
      <c r="N72" s="812"/>
      <c r="O72" s="812"/>
      <c r="P72" s="753" t="s">
        <v>3809</v>
      </c>
      <c r="Q72" s="798">
        <v>30</v>
      </c>
      <c r="R72" s="753" t="s">
        <v>3863</v>
      </c>
      <c r="S72" s="809"/>
      <c r="T72" s="809"/>
      <c r="U72" s="809"/>
      <c r="V72" s="809"/>
      <c r="W72" s="809"/>
      <c r="X72" s="809"/>
      <c r="Y72" s="828"/>
      <c r="Z72" s="828"/>
      <c r="AA72" s="799"/>
      <c r="AB72" s="799"/>
      <c r="AC72" s="799"/>
      <c r="AD72" s="799"/>
      <c r="AE72" s="750"/>
      <c r="AF72" s="751"/>
      <c r="AG72" s="751"/>
      <c r="AH72" s="751"/>
      <c r="AI72" s="751"/>
      <c r="AJ72" s="751"/>
      <c r="AK72" s="751"/>
      <c r="AL72" s="751"/>
      <c r="AM72" s="751"/>
      <c r="AN72" s="751"/>
      <c r="AO72" s="751"/>
      <c r="AP72" s="751"/>
      <c r="AQ72" s="751"/>
      <c r="AR72" s="752"/>
      <c r="AS72" s="752"/>
      <c r="AT72" s="752"/>
      <c r="AU72" s="752"/>
      <c r="AV72" s="752"/>
      <c r="AW72" s="752"/>
      <c r="AX72" s="752"/>
      <c r="AY72" s="753"/>
    </row>
    <row r="73" spans="1:51" s="770" customFormat="1" ht="12" customHeight="1" thickBot="1">
      <c r="A73" s="753"/>
      <c r="B73" s="810"/>
      <c r="C73" s="835"/>
      <c r="D73" s="753" t="s">
        <v>3809</v>
      </c>
      <c r="E73" s="798">
        <v>12</v>
      </c>
      <c r="F73" s="837" t="s">
        <v>3864</v>
      </c>
      <c r="G73" s="838"/>
      <c r="H73" s="839"/>
      <c r="I73" s="815" t="s">
        <v>3819</v>
      </c>
      <c r="J73" s="815"/>
      <c r="K73" s="828"/>
      <c r="L73" s="828"/>
      <c r="M73" s="828"/>
      <c r="N73" s="812"/>
      <c r="O73" s="812"/>
      <c r="P73" s="753" t="s">
        <v>3809</v>
      </c>
      <c r="Q73" s="798">
        <v>31</v>
      </c>
      <c r="R73" s="753" t="s">
        <v>3865</v>
      </c>
      <c r="S73" s="809"/>
      <c r="T73" s="809"/>
      <c r="U73" s="809"/>
      <c r="V73" s="809"/>
      <c r="W73" s="809"/>
      <c r="X73" s="809"/>
      <c r="Y73" s="828"/>
      <c r="Z73" s="828"/>
      <c r="AA73" s="799"/>
      <c r="AB73" s="799"/>
      <c r="AC73" s="799"/>
      <c r="AD73" s="799"/>
      <c r="AE73" s="750"/>
      <c r="AF73" s="751"/>
      <c r="AG73" s="751"/>
      <c r="AH73" s="751"/>
      <c r="AI73" s="751"/>
      <c r="AJ73" s="751"/>
      <c r="AK73" s="751"/>
      <c r="AL73" s="751"/>
      <c r="AM73" s="751"/>
      <c r="AN73" s="751"/>
      <c r="AO73" s="751"/>
      <c r="AP73" s="751"/>
      <c r="AQ73" s="751"/>
      <c r="AR73" s="752"/>
      <c r="AS73" s="752"/>
      <c r="AT73" s="752"/>
      <c r="AU73" s="752"/>
      <c r="AV73" s="752"/>
      <c r="AW73" s="752"/>
      <c r="AX73" s="752"/>
      <c r="AY73" s="753"/>
    </row>
    <row r="74" spans="1:51" s="770" customFormat="1" ht="12" customHeight="1">
      <c r="A74" s="753"/>
      <c r="B74" s="810"/>
      <c r="C74" s="811"/>
      <c r="D74" s="753" t="s">
        <v>3809</v>
      </c>
      <c r="E74" s="798">
        <v>13</v>
      </c>
      <c r="F74" s="753" t="s">
        <v>3866</v>
      </c>
      <c r="G74" s="836"/>
      <c r="H74" s="809"/>
      <c r="I74" s="828"/>
      <c r="J74" s="828"/>
      <c r="K74" s="828"/>
      <c r="L74" s="828"/>
      <c r="M74" s="828"/>
      <c r="N74" s="812"/>
      <c r="O74" s="812"/>
      <c r="P74" s="753" t="s">
        <v>3809</v>
      </c>
      <c r="Q74" s="798">
        <v>32</v>
      </c>
      <c r="R74" s="753" t="s">
        <v>3867</v>
      </c>
      <c r="S74" s="809"/>
      <c r="T74" s="809"/>
      <c r="U74" s="809"/>
      <c r="V74" s="809"/>
      <c r="W74" s="809"/>
      <c r="X74" s="809"/>
      <c r="Y74" s="828"/>
      <c r="Z74" s="828"/>
      <c r="AA74" s="799"/>
      <c r="AB74" s="799"/>
      <c r="AC74" s="799"/>
      <c r="AD74" s="799"/>
      <c r="AE74" s="750"/>
      <c r="AF74" s="751"/>
      <c r="AG74" s="751"/>
      <c r="AH74" s="751"/>
      <c r="AI74" s="751"/>
      <c r="AJ74" s="751"/>
      <c r="AK74" s="751"/>
      <c r="AL74" s="751"/>
      <c r="AM74" s="751"/>
      <c r="AN74" s="751"/>
      <c r="AO74" s="751"/>
      <c r="AP74" s="751"/>
      <c r="AQ74" s="751"/>
      <c r="AR74" s="752"/>
      <c r="AS74" s="752"/>
      <c r="AT74" s="752"/>
      <c r="AU74" s="752"/>
      <c r="AV74" s="752"/>
      <c r="AW74" s="752"/>
      <c r="AX74" s="752"/>
      <c r="AY74" s="753"/>
    </row>
    <row r="75" spans="1:51" s="753" customFormat="1" ht="12" customHeight="1">
      <c r="B75" s="810"/>
      <c r="C75" s="811"/>
      <c r="D75" s="753" t="s">
        <v>3809</v>
      </c>
      <c r="E75" s="798">
        <v>14</v>
      </c>
      <c r="F75" s="753" t="s">
        <v>3868</v>
      </c>
      <c r="G75" s="836"/>
      <c r="H75" s="809"/>
      <c r="I75" s="840"/>
      <c r="J75" s="840"/>
      <c r="K75" s="828"/>
      <c r="L75" s="828"/>
      <c r="M75" s="828"/>
      <c r="N75" s="812"/>
      <c r="O75" s="812"/>
      <c r="P75" s="753" t="s">
        <v>3809</v>
      </c>
      <c r="Q75" s="798">
        <v>33</v>
      </c>
      <c r="R75" s="753" t="s">
        <v>3869</v>
      </c>
      <c r="S75" s="809"/>
      <c r="T75" s="809"/>
      <c r="U75" s="809"/>
      <c r="V75" s="809"/>
      <c r="W75" s="809"/>
      <c r="X75" s="809"/>
      <c r="Y75" s="828"/>
      <c r="Z75" s="828"/>
      <c r="AA75" s="799"/>
      <c r="AB75" s="799"/>
      <c r="AC75" s="799"/>
      <c r="AD75" s="799"/>
      <c r="AE75" s="750"/>
      <c r="AF75" s="751"/>
      <c r="AG75" s="751"/>
      <c r="AH75" s="751"/>
      <c r="AI75" s="751"/>
      <c r="AJ75" s="751"/>
      <c r="AK75" s="751"/>
      <c r="AL75" s="751"/>
      <c r="AM75" s="751"/>
      <c r="AN75" s="751"/>
      <c r="AO75" s="751"/>
      <c r="AP75" s="751"/>
      <c r="AQ75" s="751"/>
      <c r="AR75" s="752"/>
      <c r="AS75" s="752"/>
      <c r="AT75" s="752"/>
      <c r="AU75" s="752"/>
      <c r="AV75" s="752"/>
      <c r="AW75" s="752"/>
      <c r="AX75" s="752"/>
    </row>
    <row r="76" spans="1:51" s="753" customFormat="1" ht="12" customHeight="1">
      <c r="B76" s="810"/>
      <c r="C76" s="811"/>
      <c r="D76" s="753" t="s">
        <v>3809</v>
      </c>
      <c r="E76" s="798">
        <v>15</v>
      </c>
      <c r="F76" s="753" t="s">
        <v>3870</v>
      </c>
      <c r="G76" s="836"/>
      <c r="H76" s="809"/>
      <c r="I76" s="828"/>
      <c r="J76" s="828"/>
      <c r="K76" s="828"/>
      <c r="L76" s="828"/>
      <c r="M76" s="828"/>
      <c r="N76" s="812"/>
      <c r="O76" s="812"/>
      <c r="P76" s="753" t="s">
        <v>3809</v>
      </c>
      <c r="Q76" s="798">
        <v>34</v>
      </c>
      <c r="R76" s="841" t="s">
        <v>3871</v>
      </c>
      <c r="S76" s="842"/>
      <c r="T76" s="842"/>
      <c r="U76" s="842"/>
      <c r="V76" s="842"/>
      <c r="W76" s="842"/>
      <c r="X76" s="842"/>
      <c r="Y76" s="843"/>
      <c r="Z76" s="844"/>
      <c r="AA76" s="845"/>
      <c r="AB76" s="815" t="s">
        <v>3819</v>
      </c>
      <c r="AC76" s="799"/>
      <c r="AD76" s="799"/>
      <c r="AE76" s="750"/>
      <c r="AF76" s="751"/>
      <c r="AG76" s="751"/>
      <c r="AH76" s="751"/>
      <c r="AI76" s="751"/>
      <c r="AJ76" s="751"/>
      <c r="AK76" s="751"/>
      <c r="AL76" s="751"/>
      <c r="AM76" s="751"/>
      <c r="AN76" s="751"/>
      <c r="AO76" s="751"/>
      <c r="AP76" s="751"/>
      <c r="AQ76" s="751"/>
      <c r="AR76" s="752"/>
      <c r="AS76" s="752"/>
      <c r="AT76" s="752"/>
      <c r="AU76" s="752"/>
      <c r="AV76" s="752"/>
      <c r="AW76" s="752"/>
      <c r="AX76" s="752"/>
    </row>
    <row r="77" spans="1:51" s="753" customFormat="1" ht="12" customHeight="1">
      <c r="B77" s="810"/>
      <c r="C77" s="811"/>
      <c r="D77" s="753" t="s">
        <v>3809</v>
      </c>
      <c r="E77" s="798">
        <v>16</v>
      </c>
      <c r="F77" s="753" t="s">
        <v>3872</v>
      </c>
      <c r="G77" s="836"/>
      <c r="H77" s="809"/>
      <c r="I77" s="828"/>
      <c r="J77" s="828"/>
      <c r="K77" s="828"/>
      <c r="L77" s="828"/>
      <c r="M77" s="828"/>
      <c r="N77" s="812"/>
      <c r="O77" s="812"/>
      <c r="P77" s="753" t="s">
        <v>3809</v>
      </c>
      <c r="Q77" s="798">
        <v>35</v>
      </c>
      <c r="R77" s="841" t="s">
        <v>3873</v>
      </c>
      <c r="S77" s="842"/>
      <c r="T77" s="842"/>
      <c r="U77" s="842"/>
      <c r="V77" s="842"/>
      <c r="W77" s="842"/>
      <c r="X77" s="842"/>
      <c r="Y77" s="843"/>
      <c r="Z77" s="844"/>
      <c r="AA77" s="845"/>
      <c r="AB77" s="815" t="s">
        <v>3819</v>
      </c>
      <c r="AC77" s="799"/>
      <c r="AD77" s="799"/>
      <c r="AE77" s="750"/>
      <c r="AF77" s="751"/>
      <c r="AG77" s="751"/>
      <c r="AH77" s="751"/>
      <c r="AI77" s="751"/>
      <c r="AJ77" s="751"/>
      <c r="AK77" s="751"/>
      <c r="AL77" s="751"/>
      <c r="AM77" s="751"/>
      <c r="AN77" s="751"/>
      <c r="AO77" s="751"/>
      <c r="AP77" s="751"/>
      <c r="AQ77" s="751"/>
      <c r="AR77" s="752"/>
      <c r="AS77" s="752"/>
      <c r="AT77" s="752"/>
      <c r="AU77" s="752"/>
      <c r="AV77" s="752"/>
      <c r="AW77" s="752"/>
      <c r="AX77" s="752"/>
    </row>
    <row r="78" spans="1:51" s="753" customFormat="1" ht="12" customHeight="1">
      <c r="B78" s="810"/>
      <c r="C78" s="811"/>
      <c r="D78" s="753" t="s">
        <v>3809</v>
      </c>
      <c r="E78" s="798">
        <v>17</v>
      </c>
      <c r="F78" s="846" t="s">
        <v>3874</v>
      </c>
      <c r="G78" s="847"/>
      <c r="H78" s="848"/>
      <c r="I78" s="815" t="s">
        <v>3819</v>
      </c>
      <c r="J78" s="815"/>
      <c r="K78" s="828"/>
      <c r="L78" s="828"/>
      <c r="M78" s="828"/>
      <c r="N78" s="812"/>
      <c r="O78" s="812"/>
      <c r="P78" s="753" t="s">
        <v>3809</v>
      </c>
      <c r="Q78" s="798">
        <v>36</v>
      </c>
      <c r="R78" s="841" t="s">
        <v>3875</v>
      </c>
      <c r="S78" s="842"/>
      <c r="T78" s="842"/>
      <c r="U78" s="842"/>
      <c r="V78" s="842"/>
      <c r="W78" s="842"/>
      <c r="X78" s="842"/>
      <c r="Y78" s="843"/>
      <c r="Z78" s="844"/>
      <c r="AA78" s="845"/>
      <c r="AB78" s="815" t="s">
        <v>3819</v>
      </c>
      <c r="AC78" s="799"/>
      <c r="AD78" s="799"/>
      <c r="AE78" s="750"/>
      <c r="AF78" s="751"/>
      <c r="AG78" s="751"/>
      <c r="AH78" s="751"/>
      <c r="AI78" s="751"/>
      <c r="AJ78" s="751"/>
      <c r="AK78" s="751"/>
      <c r="AL78" s="751"/>
      <c r="AM78" s="751"/>
      <c r="AN78" s="751"/>
      <c r="AO78" s="751"/>
      <c r="AP78" s="751"/>
      <c r="AQ78" s="751"/>
      <c r="AR78" s="752"/>
      <c r="AS78" s="752"/>
      <c r="AT78" s="752"/>
      <c r="AU78" s="752"/>
      <c r="AV78" s="752"/>
      <c r="AW78" s="752"/>
      <c r="AX78" s="752"/>
    </row>
    <row r="79" spans="1:51" s="753" customFormat="1" ht="12" customHeight="1">
      <c r="B79" s="810"/>
      <c r="C79" s="811"/>
      <c r="D79" s="753" t="s">
        <v>3809</v>
      </c>
      <c r="E79" s="798">
        <v>18</v>
      </c>
      <c r="F79" s="753" t="s">
        <v>3876</v>
      </c>
      <c r="G79" s="836"/>
      <c r="H79" s="809"/>
      <c r="I79" s="809"/>
      <c r="J79" s="828"/>
      <c r="K79" s="828"/>
      <c r="L79" s="828"/>
      <c r="M79" s="828"/>
      <c r="N79" s="812"/>
      <c r="O79" s="812"/>
      <c r="P79" s="753" t="s">
        <v>3809</v>
      </c>
      <c r="Q79" s="798">
        <v>37</v>
      </c>
      <c r="R79" s="753" t="s">
        <v>3877</v>
      </c>
      <c r="S79" s="809"/>
      <c r="T79" s="809"/>
      <c r="U79" s="809"/>
      <c r="V79" s="809"/>
      <c r="W79" s="809"/>
      <c r="X79" s="809"/>
      <c r="Y79" s="828"/>
      <c r="AA79" s="809"/>
      <c r="AB79" s="799"/>
      <c r="AC79" s="799"/>
      <c r="AD79" s="799"/>
      <c r="AE79" s="750"/>
      <c r="AF79" s="751"/>
      <c r="AG79" s="751"/>
      <c r="AH79" s="751"/>
      <c r="AI79" s="751"/>
      <c r="AJ79" s="751"/>
      <c r="AK79" s="751"/>
      <c r="AL79" s="751"/>
      <c r="AM79" s="751"/>
      <c r="AN79" s="751"/>
      <c r="AO79" s="751"/>
      <c r="AP79" s="751"/>
      <c r="AQ79" s="751"/>
      <c r="AR79" s="752"/>
      <c r="AS79" s="752"/>
      <c r="AT79" s="752"/>
      <c r="AU79" s="752"/>
      <c r="AV79" s="752"/>
      <c r="AW79" s="752"/>
      <c r="AX79" s="752"/>
    </row>
    <row r="80" spans="1:51" s="753" customFormat="1" ht="12" customHeight="1">
      <c r="B80" s="810"/>
      <c r="C80" s="811"/>
      <c r="D80" s="753" t="s">
        <v>3809</v>
      </c>
      <c r="E80" s="798">
        <v>19</v>
      </c>
      <c r="F80" s="753" t="s">
        <v>3878</v>
      </c>
      <c r="G80" s="836"/>
      <c r="H80" s="809"/>
      <c r="I80" s="809"/>
      <c r="J80" s="828"/>
      <c r="K80" s="828"/>
      <c r="L80" s="828"/>
      <c r="M80" s="828"/>
      <c r="N80" s="828"/>
      <c r="O80" s="812"/>
      <c r="P80" s="753" t="s">
        <v>3809</v>
      </c>
      <c r="Q80" s="798">
        <v>38</v>
      </c>
      <c r="R80" s="753" t="s">
        <v>620</v>
      </c>
      <c r="S80" s="809"/>
      <c r="T80" s="809"/>
      <c r="U80" s="809"/>
      <c r="V80" s="809"/>
      <c r="W80" s="809"/>
      <c r="X80" s="809"/>
      <c r="Y80" s="828"/>
      <c r="Z80" s="828"/>
      <c r="AA80" s="799"/>
      <c r="AB80" s="799"/>
      <c r="AC80" s="799"/>
      <c r="AD80" s="799"/>
      <c r="AE80" s="750"/>
      <c r="AF80" s="751"/>
      <c r="AG80" s="751"/>
      <c r="AH80" s="751"/>
      <c r="AI80" s="751"/>
      <c r="AJ80" s="751"/>
      <c r="AK80" s="751"/>
      <c r="AL80" s="751"/>
      <c r="AM80" s="751"/>
      <c r="AN80" s="751"/>
      <c r="AO80" s="751"/>
      <c r="AP80" s="751"/>
      <c r="AQ80" s="751"/>
      <c r="AR80" s="752"/>
      <c r="AS80" s="752"/>
      <c r="AT80" s="752"/>
      <c r="AU80" s="752"/>
      <c r="AV80" s="752"/>
      <c r="AW80" s="752"/>
      <c r="AX80" s="752"/>
    </row>
    <row r="81" spans="1:51" s="753" customFormat="1" ht="12" customHeight="1">
      <c r="B81" s="810"/>
      <c r="C81" s="811"/>
      <c r="D81" s="759"/>
      <c r="E81" s="849"/>
      <c r="G81" s="836"/>
      <c r="H81" s="809"/>
      <c r="I81" s="809"/>
      <c r="J81" s="828"/>
      <c r="K81" s="828"/>
      <c r="L81" s="828"/>
      <c r="M81" s="828"/>
      <c r="R81" s="799"/>
      <c r="S81" s="799"/>
      <c r="T81" s="799"/>
      <c r="U81" s="799"/>
      <c r="V81" s="799"/>
      <c r="W81" s="799"/>
      <c r="X81" s="799"/>
      <c r="Y81" s="799"/>
      <c r="Z81" s="799"/>
      <c r="AA81" s="799"/>
      <c r="AB81" s="799"/>
      <c r="AC81" s="799"/>
      <c r="AD81" s="799"/>
      <c r="AE81" s="750"/>
      <c r="AF81" s="751"/>
      <c r="AG81" s="751"/>
      <c r="AH81" s="751"/>
      <c r="AI81" s="751"/>
      <c r="AJ81" s="751"/>
      <c r="AK81" s="751"/>
      <c r="AL81" s="751"/>
      <c r="AM81" s="751"/>
      <c r="AN81" s="751"/>
      <c r="AO81" s="751"/>
      <c r="AP81" s="751"/>
      <c r="AQ81" s="751"/>
      <c r="AR81" s="752"/>
      <c r="AS81" s="752"/>
      <c r="AT81" s="752"/>
      <c r="AU81" s="752"/>
      <c r="AV81" s="752"/>
      <c r="AW81" s="752"/>
      <c r="AX81" s="752"/>
    </row>
    <row r="82" spans="1:51" s="753" customFormat="1" ht="12" customHeight="1">
      <c r="B82" s="810"/>
      <c r="C82" s="811"/>
      <c r="D82" s="759"/>
      <c r="E82" s="849"/>
      <c r="F82" s="850"/>
      <c r="G82" s="836"/>
      <c r="H82" s="799"/>
      <c r="I82" s="799"/>
      <c r="J82" s="821"/>
      <c r="R82" s="799"/>
      <c r="S82" s="799"/>
      <c r="T82" s="799"/>
      <c r="U82" s="799"/>
      <c r="V82" s="799"/>
      <c r="W82" s="799"/>
      <c r="X82" s="799"/>
      <c r="Y82" s="799"/>
      <c r="Z82" s="799"/>
      <c r="AA82" s="799"/>
      <c r="AB82" s="799"/>
      <c r="AC82" s="799"/>
      <c r="AD82" s="799"/>
      <c r="AE82" s="750"/>
      <c r="AF82" s="751"/>
      <c r="AG82" s="751"/>
      <c r="AH82" s="751"/>
      <c r="AI82" s="751"/>
      <c r="AJ82" s="751"/>
      <c r="AK82" s="751"/>
      <c r="AL82" s="751"/>
      <c r="AM82" s="751"/>
      <c r="AN82" s="751"/>
      <c r="AO82" s="751"/>
      <c r="AP82" s="751"/>
      <c r="AQ82" s="751"/>
      <c r="AR82" s="752"/>
      <c r="AS82" s="752"/>
      <c r="AT82" s="752"/>
      <c r="AU82" s="752"/>
      <c r="AV82" s="752"/>
      <c r="AW82" s="752"/>
      <c r="AX82" s="752"/>
    </row>
    <row r="83" spans="1:51" s="753" customFormat="1" ht="12" customHeight="1">
      <c r="B83" s="796" t="s">
        <v>3806</v>
      </c>
      <c r="C83" s="797"/>
      <c r="E83" s="798"/>
      <c r="F83" s="799"/>
      <c r="AE83" s="750"/>
      <c r="AF83" s="751"/>
      <c r="AG83" s="751"/>
      <c r="AH83" s="751"/>
      <c r="AI83" s="751"/>
      <c r="AJ83" s="751"/>
      <c r="AK83" s="751"/>
      <c r="AL83" s="751"/>
      <c r="AM83" s="751"/>
      <c r="AN83" s="751"/>
      <c r="AO83" s="751"/>
      <c r="AP83" s="751"/>
      <c r="AQ83" s="751"/>
      <c r="AR83" s="752"/>
      <c r="AS83" s="752"/>
      <c r="AT83" s="752"/>
      <c r="AU83" s="752"/>
      <c r="AV83" s="752"/>
      <c r="AW83" s="752"/>
      <c r="AX83" s="752"/>
    </row>
    <row r="84" spans="1:51" s="770" customFormat="1" ht="12" customHeight="1">
      <c r="A84" s="744"/>
      <c r="B84" s="800" t="s">
        <v>3879</v>
      </c>
      <c r="C84" s="801"/>
      <c r="D84" s="802"/>
      <c r="E84" s="803"/>
      <c r="F84" s="802"/>
      <c r="G84" s="804"/>
      <c r="H84" s="804"/>
      <c r="I84" s="804"/>
      <c r="J84" s="804"/>
      <c r="K84" s="804"/>
      <c r="L84" s="804"/>
      <c r="M84" s="804"/>
      <c r="N84" s="804"/>
      <c r="O84" s="804"/>
      <c r="P84" s="804"/>
      <c r="Q84" s="804"/>
      <c r="R84" s="804"/>
      <c r="S84" s="804"/>
      <c r="T84" s="804"/>
      <c r="U84" s="804"/>
      <c r="V84" s="804"/>
      <c r="W84" s="804"/>
      <c r="X84" s="804"/>
      <c r="Y84" s="804"/>
      <c r="Z84" s="804"/>
      <c r="AA84" s="805"/>
      <c r="AB84" s="804"/>
      <c r="AC84" s="804"/>
      <c r="AD84" s="806" t="s">
        <v>584</v>
      </c>
      <c r="AE84" s="750"/>
      <c r="AF84" s="751"/>
      <c r="AG84" s="751"/>
      <c r="AH84" s="751"/>
      <c r="AI84" s="751"/>
      <c r="AJ84" s="751"/>
      <c r="AK84" s="751"/>
      <c r="AL84" s="751"/>
      <c r="AM84" s="751"/>
      <c r="AN84" s="751"/>
      <c r="AO84" s="751"/>
      <c r="AP84" s="751"/>
      <c r="AQ84" s="751"/>
      <c r="AR84" s="752"/>
      <c r="AS84" s="752"/>
      <c r="AT84" s="752"/>
      <c r="AU84" s="752"/>
      <c r="AV84" s="752"/>
      <c r="AW84" s="752"/>
      <c r="AX84" s="752"/>
      <c r="AY84" s="753"/>
    </row>
    <row r="85" spans="1:51" s="770" customFormat="1" ht="12" customHeight="1">
      <c r="A85" s="753"/>
      <c r="B85" s="810"/>
      <c r="C85" s="808">
        <v>4</v>
      </c>
      <c r="D85" s="753" t="s">
        <v>3880</v>
      </c>
      <c r="E85" s="809"/>
      <c r="F85" s="809"/>
      <c r="G85" s="809"/>
      <c r="H85" s="809"/>
      <c r="I85" s="809"/>
      <c r="J85" s="809"/>
      <c r="K85" s="809"/>
      <c r="L85" s="809"/>
      <c r="M85" s="809"/>
      <c r="N85" s="809"/>
      <c r="O85" s="809"/>
      <c r="P85" s="809"/>
      <c r="Q85" s="809"/>
      <c r="R85" s="809"/>
      <c r="S85" s="809"/>
      <c r="T85" s="809"/>
      <c r="U85" s="809"/>
      <c r="V85" s="809"/>
      <c r="W85" s="809"/>
      <c r="X85" s="809"/>
      <c r="Y85" s="809"/>
      <c r="Z85" s="809"/>
      <c r="AA85" s="809"/>
      <c r="AB85" s="809"/>
      <c r="AC85" s="809"/>
      <c r="AD85" s="809"/>
      <c r="AE85" s="750"/>
      <c r="AF85" s="751"/>
      <c r="AG85" s="751"/>
      <c r="AH85" s="751"/>
      <c r="AI85" s="751"/>
      <c r="AJ85" s="751"/>
      <c r="AK85" s="751"/>
      <c r="AL85" s="751"/>
      <c r="AM85" s="751"/>
      <c r="AN85" s="751"/>
      <c r="AO85" s="751"/>
      <c r="AP85" s="751"/>
      <c r="AQ85" s="751"/>
      <c r="AR85" s="752"/>
      <c r="AS85" s="752"/>
      <c r="AT85" s="752"/>
      <c r="AU85" s="752"/>
      <c r="AV85" s="752"/>
      <c r="AW85" s="752"/>
      <c r="AX85" s="752"/>
      <c r="AY85" s="753"/>
    </row>
    <row r="86" spans="1:51" s="770" customFormat="1" ht="12" customHeight="1">
      <c r="A86" s="753"/>
      <c r="B86" s="810"/>
      <c r="C86" s="833"/>
      <c r="D86" s="753"/>
      <c r="E86" s="809"/>
      <c r="F86" s="809"/>
      <c r="G86" s="809"/>
      <c r="H86" s="809"/>
      <c r="I86" s="809"/>
      <c r="J86" s="809"/>
      <c r="K86" s="809"/>
      <c r="L86" s="809"/>
      <c r="M86" s="809"/>
      <c r="N86" s="809"/>
      <c r="O86" s="809"/>
      <c r="P86" s="809"/>
      <c r="Q86" s="809"/>
      <c r="R86" s="809"/>
      <c r="S86" s="809"/>
      <c r="T86" s="809"/>
      <c r="U86" s="809"/>
      <c r="V86" s="809"/>
      <c r="W86" s="809"/>
      <c r="X86" s="809"/>
      <c r="Y86" s="809"/>
      <c r="Z86" s="809"/>
      <c r="AA86" s="809"/>
      <c r="AB86" s="809"/>
      <c r="AC86" s="809"/>
      <c r="AD86" s="809"/>
      <c r="AE86" s="750"/>
      <c r="AF86" s="751"/>
      <c r="AG86" s="751"/>
      <c r="AH86" s="751"/>
      <c r="AI86" s="751"/>
      <c r="AJ86" s="751"/>
      <c r="AK86" s="751"/>
      <c r="AL86" s="751"/>
      <c r="AM86" s="751"/>
      <c r="AN86" s="751"/>
      <c r="AO86" s="751"/>
      <c r="AP86" s="751"/>
      <c r="AQ86" s="751"/>
      <c r="AR86" s="752"/>
      <c r="AS86" s="752"/>
      <c r="AT86" s="752"/>
      <c r="AU86" s="752"/>
      <c r="AV86" s="752"/>
      <c r="AW86" s="752"/>
      <c r="AX86" s="752"/>
      <c r="AY86" s="753"/>
    </row>
    <row r="87" spans="1:51" s="770" customFormat="1" ht="12" customHeight="1">
      <c r="A87" s="753"/>
      <c r="B87" s="810"/>
      <c r="C87" s="797"/>
      <c r="D87" s="753"/>
      <c r="E87" s="824"/>
      <c r="F87" s="753"/>
      <c r="G87" s="851" t="s">
        <v>4104</v>
      </c>
      <c r="H87" s="759"/>
      <c r="I87" s="759"/>
      <c r="J87" s="809"/>
      <c r="K87" s="809"/>
      <c r="L87" s="809"/>
      <c r="M87" s="809"/>
      <c r="N87" s="809"/>
      <c r="O87" s="809"/>
      <c r="P87" s="809"/>
      <c r="Q87" s="809"/>
      <c r="R87" s="809"/>
      <c r="S87" s="809"/>
      <c r="T87" s="809"/>
      <c r="U87" s="809"/>
      <c r="V87" s="809"/>
      <c r="W87" s="809"/>
      <c r="X87" s="809"/>
      <c r="Y87" s="809"/>
      <c r="Z87" s="809"/>
      <c r="AA87" s="809"/>
      <c r="AB87" s="809"/>
      <c r="AC87" s="809"/>
      <c r="AD87" s="809"/>
      <c r="AE87" s="750"/>
      <c r="AF87" s="751"/>
      <c r="AG87" s="751"/>
      <c r="AH87" s="751"/>
      <c r="AI87" s="751"/>
      <c r="AJ87" s="751"/>
      <c r="AK87" s="751"/>
      <c r="AL87" s="751"/>
      <c r="AM87" s="751"/>
      <c r="AN87" s="751"/>
      <c r="AO87" s="751"/>
      <c r="AP87" s="751"/>
      <c r="AQ87" s="751"/>
      <c r="AR87" s="752"/>
      <c r="AS87" s="752"/>
      <c r="AT87" s="752"/>
      <c r="AU87" s="752"/>
      <c r="AV87" s="752"/>
      <c r="AW87" s="752"/>
      <c r="AX87" s="752"/>
      <c r="AY87" s="753"/>
    </row>
    <row r="88" spans="1:51" s="770" customFormat="1" ht="12" customHeight="1">
      <c r="A88" s="753"/>
      <c r="B88" s="810"/>
      <c r="C88" s="835"/>
      <c r="D88" s="753"/>
      <c r="E88" s="852"/>
      <c r="F88" s="811"/>
      <c r="G88" s="853">
        <v>1</v>
      </c>
      <c r="H88" s="853">
        <v>2</v>
      </c>
      <c r="J88" s="753"/>
      <c r="K88" s="753"/>
      <c r="P88" s="753"/>
      <c r="Q88" s="753"/>
      <c r="R88" s="799"/>
      <c r="S88" s="799"/>
      <c r="T88" s="799"/>
      <c r="U88" s="799"/>
      <c r="V88" s="799"/>
      <c r="W88" s="799"/>
      <c r="X88" s="799"/>
      <c r="Y88" s="799"/>
      <c r="Z88" s="799"/>
      <c r="AA88" s="799"/>
      <c r="AB88" s="799"/>
      <c r="AC88" s="799"/>
      <c r="AD88" s="799"/>
      <c r="AE88" s="750"/>
      <c r="AF88" s="751"/>
      <c r="AG88" s="751"/>
      <c r="AH88" s="751"/>
      <c r="AI88" s="751"/>
      <c r="AJ88" s="751"/>
      <c r="AK88" s="751"/>
      <c r="AL88" s="751"/>
      <c r="AM88" s="751"/>
      <c r="AN88" s="751"/>
      <c r="AO88" s="751"/>
      <c r="AP88" s="751"/>
      <c r="AQ88" s="751"/>
      <c r="AR88" s="752"/>
      <c r="AS88" s="752"/>
      <c r="AT88" s="752"/>
      <c r="AU88" s="752"/>
      <c r="AV88" s="752"/>
      <c r="AW88" s="752"/>
      <c r="AX88" s="752"/>
      <c r="AY88" s="753"/>
    </row>
    <row r="89" spans="1:51" s="770" customFormat="1" ht="72" customHeight="1">
      <c r="A89" s="753"/>
      <c r="B89" s="810"/>
      <c r="C89" s="811"/>
      <c r="D89" s="811"/>
      <c r="E89" s="852"/>
      <c r="F89" s="854"/>
      <c r="G89" s="855" t="s">
        <v>585</v>
      </c>
      <c r="H89" s="855" t="s">
        <v>606</v>
      </c>
      <c r="I89" s="753"/>
      <c r="J89" s="753"/>
      <c r="K89" s="753"/>
      <c r="L89" s="753"/>
      <c r="M89" s="753"/>
      <c r="N89" s="753"/>
      <c r="O89" s="753"/>
      <c r="P89" s="753"/>
      <c r="Q89" s="753"/>
      <c r="R89" s="799"/>
      <c r="S89" s="799"/>
      <c r="T89" s="799"/>
      <c r="U89" s="799"/>
      <c r="V89" s="799"/>
      <c r="W89" s="799"/>
      <c r="X89" s="799"/>
      <c r="Y89" s="799"/>
      <c r="Z89" s="799"/>
      <c r="AA89" s="799"/>
      <c r="AB89" s="799"/>
      <c r="AC89" s="799"/>
      <c r="AD89" s="799"/>
      <c r="AE89" s="750"/>
      <c r="AF89" s="751"/>
      <c r="AG89" s="856"/>
      <c r="AH89" s="856"/>
      <c r="AI89" s="751"/>
      <c r="AJ89" s="751"/>
      <c r="AK89" s="751"/>
      <c r="AL89" s="751"/>
      <c r="AM89" s="751"/>
      <c r="AN89" s="751"/>
      <c r="AO89" s="751"/>
      <c r="AP89" s="751"/>
      <c r="AQ89" s="751"/>
      <c r="AR89" s="752"/>
      <c r="AS89" s="752"/>
      <c r="AT89" s="752"/>
      <c r="AU89" s="752"/>
      <c r="AV89" s="752"/>
      <c r="AW89" s="752"/>
      <c r="AX89" s="752"/>
      <c r="AY89" s="753"/>
    </row>
    <row r="90" spans="1:51" s="770" customFormat="1" ht="12" customHeight="1">
      <c r="A90" s="753"/>
      <c r="B90" s="760"/>
      <c r="C90" s="811"/>
      <c r="D90" s="811"/>
      <c r="E90" s="852"/>
      <c r="F90" s="857"/>
      <c r="G90" s="858" t="s">
        <v>3881</v>
      </c>
      <c r="H90" s="858" t="s">
        <v>3881</v>
      </c>
      <c r="I90" s="753"/>
      <c r="J90" s="753"/>
      <c r="K90" s="753"/>
      <c r="L90" s="753"/>
      <c r="M90" s="753"/>
      <c r="N90" s="753"/>
      <c r="O90" s="753"/>
      <c r="P90" s="753"/>
      <c r="Q90" s="753"/>
      <c r="R90" s="799"/>
      <c r="S90" s="799"/>
      <c r="T90" s="799"/>
      <c r="U90" s="799"/>
      <c r="V90" s="799"/>
      <c r="W90" s="799"/>
      <c r="X90" s="799"/>
      <c r="Y90" s="799"/>
      <c r="Z90" s="799"/>
      <c r="AA90" s="799"/>
      <c r="AB90" s="799"/>
      <c r="AC90" s="799"/>
      <c r="AD90" s="799"/>
      <c r="AE90" s="750"/>
      <c r="AF90" s="751"/>
      <c r="AG90" s="751"/>
      <c r="AH90" s="751"/>
      <c r="AI90" s="751"/>
      <c r="AJ90" s="751"/>
      <c r="AK90" s="751"/>
      <c r="AL90" s="751"/>
      <c r="AM90" s="751"/>
      <c r="AN90" s="751"/>
      <c r="AO90" s="751"/>
      <c r="AP90" s="751"/>
      <c r="AQ90" s="751"/>
      <c r="AR90" s="752"/>
      <c r="AS90" s="752"/>
      <c r="AT90" s="752"/>
      <c r="AU90" s="752"/>
      <c r="AV90" s="752"/>
      <c r="AW90" s="752"/>
      <c r="AX90" s="752"/>
      <c r="AY90" s="753"/>
    </row>
    <row r="91" spans="1:51" s="770" customFormat="1" ht="12" customHeight="1">
      <c r="A91" s="753"/>
      <c r="B91" s="760"/>
      <c r="C91" s="811"/>
      <c r="D91" s="859"/>
      <c r="E91" s="860">
        <v>1</v>
      </c>
      <c r="F91" s="861" t="s">
        <v>3882</v>
      </c>
      <c r="G91" s="862" t="s">
        <v>3809</v>
      </c>
      <c r="H91" s="862" t="s">
        <v>3809</v>
      </c>
      <c r="I91" s="851" t="s">
        <v>3883</v>
      </c>
      <c r="J91" s="753"/>
      <c r="K91" s="817"/>
      <c r="L91" s="817"/>
      <c r="M91" s="817"/>
      <c r="N91" s="817"/>
      <c r="O91" s="817"/>
      <c r="P91" s="817"/>
      <c r="Q91" s="817"/>
      <c r="R91" s="817"/>
      <c r="S91" s="817"/>
      <c r="T91" s="817"/>
      <c r="U91" s="817"/>
      <c r="V91" s="799"/>
      <c r="W91" s="799"/>
      <c r="X91" s="799"/>
      <c r="Y91" s="799"/>
      <c r="Z91" s="799"/>
      <c r="AA91" s="799"/>
      <c r="AB91" s="799"/>
      <c r="AC91" s="799"/>
      <c r="AD91" s="799"/>
      <c r="AE91" s="750"/>
      <c r="AF91" s="751"/>
      <c r="AG91" s="751"/>
      <c r="AH91" s="751"/>
      <c r="AI91" s="751"/>
      <c r="AJ91" s="751"/>
      <c r="AK91" s="751"/>
      <c r="AL91" s="751"/>
      <c r="AM91" s="751"/>
      <c r="AN91" s="751"/>
      <c r="AO91" s="751"/>
      <c r="AP91" s="751"/>
      <c r="AQ91" s="751"/>
      <c r="AR91" s="752"/>
      <c r="AS91" s="752"/>
      <c r="AT91" s="752"/>
      <c r="AU91" s="752"/>
      <c r="AV91" s="752"/>
      <c r="AW91" s="752"/>
      <c r="AX91" s="752"/>
      <c r="AY91" s="753"/>
    </row>
    <row r="92" spans="1:51" s="770" customFormat="1" ht="12" customHeight="1">
      <c r="A92" s="753"/>
      <c r="B92" s="810"/>
      <c r="C92" s="811"/>
      <c r="D92" s="749"/>
      <c r="E92" s="860">
        <v>2</v>
      </c>
      <c r="F92" s="861" t="s">
        <v>3884</v>
      </c>
      <c r="G92" s="862" t="s">
        <v>3809</v>
      </c>
      <c r="H92" s="862" t="s">
        <v>3809</v>
      </c>
      <c r="I92" s="851"/>
      <c r="K92" s="753"/>
      <c r="L92" s="753"/>
      <c r="M92" s="753"/>
      <c r="N92" s="753"/>
      <c r="O92" s="753"/>
      <c r="P92" s="753"/>
      <c r="Q92" s="753"/>
      <c r="R92" s="799"/>
      <c r="S92" s="799"/>
      <c r="T92" s="799"/>
      <c r="U92" s="799"/>
      <c r="V92" s="799"/>
      <c r="W92" s="799"/>
      <c r="X92" s="799"/>
      <c r="Y92" s="799"/>
      <c r="Z92" s="799"/>
      <c r="AA92" s="799"/>
      <c r="AB92" s="799"/>
      <c r="AC92" s="799"/>
      <c r="AD92" s="799"/>
      <c r="AE92" s="750"/>
      <c r="AF92" s="751"/>
      <c r="AG92" s="751"/>
      <c r="AH92" s="751"/>
      <c r="AI92" s="751"/>
      <c r="AJ92" s="751"/>
      <c r="AK92" s="751"/>
      <c r="AL92" s="751"/>
      <c r="AM92" s="751"/>
      <c r="AN92" s="751"/>
      <c r="AO92" s="751"/>
      <c r="AP92" s="751"/>
      <c r="AQ92" s="751"/>
      <c r="AR92" s="752"/>
      <c r="AS92" s="752"/>
      <c r="AT92" s="752"/>
      <c r="AU92" s="752"/>
      <c r="AV92" s="752"/>
      <c r="AW92" s="752"/>
      <c r="AX92" s="752"/>
      <c r="AY92" s="753"/>
    </row>
    <row r="93" spans="1:51" s="770" customFormat="1" ht="12" customHeight="1">
      <c r="A93" s="753"/>
      <c r="B93" s="760"/>
      <c r="C93" s="811"/>
      <c r="D93" s="749"/>
      <c r="E93" s="860">
        <v>3</v>
      </c>
      <c r="F93" s="861" t="s">
        <v>3885</v>
      </c>
      <c r="G93" s="862" t="s">
        <v>3809</v>
      </c>
      <c r="H93" s="862" t="s">
        <v>3809</v>
      </c>
      <c r="I93" s="759"/>
      <c r="J93" s="753"/>
      <c r="K93" s="753"/>
      <c r="L93" s="753"/>
      <c r="M93" s="753"/>
      <c r="N93" s="753"/>
      <c r="O93" s="753"/>
      <c r="P93" s="753"/>
      <c r="Q93" s="753"/>
      <c r="R93" s="799"/>
      <c r="S93" s="799"/>
      <c r="T93" s="799"/>
      <c r="U93" s="799"/>
      <c r="V93" s="799"/>
      <c r="W93" s="799"/>
      <c r="X93" s="799"/>
      <c r="Y93" s="799"/>
      <c r="Z93" s="799"/>
      <c r="AA93" s="799"/>
      <c r="AB93" s="799"/>
      <c r="AC93" s="799"/>
      <c r="AD93" s="799"/>
      <c r="AE93" s="750"/>
      <c r="AF93" s="751"/>
      <c r="AG93" s="751"/>
      <c r="AH93" s="751"/>
      <c r="AI93" s="751"/>
      <c r="AJ93" s="751"/>
      <c r="AK93" s="751"/>
      <c r="AL93" s="751"/>
      <c r="AM93" s="751"/>
      <c r="AN93" s="751"/>
      <c r="AO93" s="751"/>
      <c r="AP93" s="751"/>
      <c r="AQ93" s="751"/>
      <c r="AR93" s="752"/>
      <c r="AS93" s="752"/>
      <c r="AT93" s="752"/>
      <c r="AU93" s="752"/>
      <c r="AV93" s="752"/>
      <c r="AW93" s="752"/>
      <c r="AX93" s="752"/>
      <c r="AY93" s="753"/>
    </row>
    <row r="94" spans="1:51" s="770" customFormat="1" ht="12" customHeight="1">
      <c r="A94" s="753"/>
      <c r="B94" s="810"/>
      <c r="C94" s="811"/>
      <c r="D94" s="749"/>
      <c r="E94" s="860">
        <v>4</v>
      </c>
      <c r="F94" s="861" t="s">
        <v>3886</v>
      </c>
      <c r="G94" s="759" t="s">
        <v>3809</v>
      </c>
      <c r="H94" s="862" t="s">
        <v>3809</v>
      </c>
      <c r="I94" s="759"/>
      <c r="J94" s="753"/>
      <c r="K94" s="753"/>
      <c r="L94" s="753"/>
      <c r="M94" s="753"/>
      <c r="N94" s="753"/>
      <c r="O94" s="753"/>
      <c r="P94" s="753"/>
      <c r="Q94" s="753"/>
      <c r="R94" s="799"/>
      <c r="S94" s="799"/>
      <c r="T94" s="799"/>
      <c r="U94" s="799"/>
      <c r="V94" s="799"/>
      <c r="W94" s="799"/>
      <c r="X94" s="799"/>
      <c r="Y94" s="799"/>
      <c r="Z94" s="799"/>
      <c r="AA94" s="799"/>
      <c r="AB94" s="799"/>
      <c r="AC94" s="799"/>
      <c r="AD94" s="799"/>
      <c r="AE94" s="750"/>
      <c r="AF94" s="751"/>
      <c r="AG94" s="751"/>
      <c r="AH94" s="751"/>
      <c r="AI94" s="751"/>
      <c r="AJ94" s="751"/>
      <c r="AK94" s="751"/>
      <c r="AL94" s="751"/>
      <c r="AM94" s="751"/>
      <c r="AN94" s="751"/>
      <c r="AO94" s="751"/>
      <c r="AP94" s="751"/>
      <c r="AQ94" s="751"/>
      <c r="AR94" s="752"/>
      <c r="AS94" s="752"/>
      <c r="AT94" s="752"/>
      <c r="AU94" s="752"/>
      <c r="AV94" s="752"/>
      <c r="AW94" s="752"/>
      <c r="AX94" s="752"/>
      <c r="AY94" s="753"/>
    </row>
    <row r="95" spans="1:51" s="770" customFormat="1" ht="12" customHeight="1">
      <c r="A95" s="753"/>
      <c r="B95" s="760"/>
      <c r="C95" s="811"/>
      <c r="D95" s="749"/>
      <c r="E95" s="860">
        <v>5</v>
      </c>
      <c r="F95" s="861" t="s">
        <v>3887</v>
      </c>
      <c r="G95" s="759" t="s">
        <v>3809</v>
      </c>
      <c r="H95" s="862" t="s">
        <v>3809</v>
      </c>
      <c r="I95" s="759"/>
      <c r="J95" s="753"/>
      <c r="K95" s="753"/>
      <c r="L95" s="753"/>
      <c r="M95" s="753"/>
      <c r="N95" s="753"/>
      <c r="O95" s="753"/>
      <c r="P95" s="753"/>
      <c r="Q95" s="753"/>
      <c r="R95" s="799"/>
      <c r="S95" s="799"/>
      <c r="T95" s="799"/>
      <c r="U95" s="799"/>
      <c r="V95" s="799"/>
      <c r="W95" s="799"/>
      <c r="X95" s="799"/>
      <c r="Y95" s="799"/>
      <c r="Z95" s="799"/>
      <c r="AA95" s="799"/>
      <c r="AB95" s="799"/>
      <c r="AC95" s="799"/>
      <c r="AD95" s="799"/>
      <c r="AE95" s="750"/>
      <c r="AF95" s="751"/>
      <c r="AG95" s="751"/>
      <c r="AH95" s="751"/>
      <c r="AI95" s="751"/>
      <c r="AJ95" s="751"/>
      <c r="AK95" s="751"/>
      <c r="AL95" s="751"/>
      <c r="AM95" s="751"/>
      <c r="AN95" s="751"/>
      <c r="AO95" s="751"/>
      <c r="AP95" s="751"/>
      <c r="AQ95" s="751"/>
      <c r="AR95" s="752"/>
      <c r="AS95" s="752"/>
      <c r="AT95" s="752"/>
      <c r="AU95" s="752"/>
      <c r="AV95" s="752"/>
      <c r="AW95" s="752"/>
      <c r="AX95" s="752"/>
      <c r="AY95" s="753"/>
    </row>
    <row r="96" spans="1:51" s="770" customFormat="1" ht="12" customHeight="1">
      <c r="A96" s="753"/>
      <c r="B96" s="810"/>
      <c r="C96" s="811"/>
      <c r="D96" s="749"/>
      <c r="E96" s="860">
        <v>6</v>
      </c>
      <c r="F96" s="861" t="s">
        <v>3888</v>
      </c>
      <c r="G96" s="759" t="s">
        <v>3809</v>
      </c>
      <c r="H96" s="862" t="s">
        <v>3809</v>
      </c>
      <c r="I96" s="759"/>
      <c r="J96" s="753"/>
      <c r="K96" s="753"/>
      <c r="L96" s="753"/>
      <c r="M96" s="753"/>
      <c r="N96" s="753"/>
      <c r="O96" s="753"/>
      <c r="P96" s="753"/>
      <c r="Q96" s="753"/>
      <c r="R96" s="799"/>
      <c r="S96" s="799"/>
      <c r="T96" s="799"/>
      <c r="U96" s="799"/>
      <c r="V96" s="799"/>
      <c r="W96" s="799"/>
      <c r="X96" s="799"/>
      <c r="Y96" s="799"/>
      <c r="Z96" s="799"/>
      <c r="AA96" s="799"/>
      <c r="AB96" s="799"/>
      <c r="AC96" s="799"/>
      <c r="AD96" s="799"/>
      <c r="AE96" s="750"/>
      <c r="AF96" s="751"/>
      <c r="AG96" s="751"/>
      <c r="AH96" s="751"/>
      <c r="AI96" s="751"/>
      <c r="AJ96" s="751"/>
      <c r="AK96" s="751"/>
      <c r="AL96" s="751"/>
      <c r="AM96" s="751"/>
      <c r="AN96" s="751"/>
      <c r="AO96" s="751"/>
      <c r="AP96" s="751"/>
      <c r="AQ96" s="751"/>
      <c r="AR96" s="752"/>
      <c r="AS96" s="752"/>
      <c r="AT96" s="752"/>
      <c r="AU96" s="752"/>
      <c r="AV96" s="752"/>
      <c r="AW96" s="752"/>
      <c r="AX96" s="752"/>
      <c r="AY96" s="753"/>
    </row>
    <row r="97" spans="1:52" s="770" customFormat="1" ht="12" customHeight="1">
      <c r="A97" s="753"/>
      <c r="B97" s="810"/>
      <c r="C97" s="811"/>
      <c r="D97" s="749"/>
      <c r="E97" s="860">
        <v>7</v>
      </c>
      <c r="F97" s="861" t="s">
        <v>3889</v>
      </c>
      <c r="G97" s="759" t="s">
        <v>3809</v>
      </c>
      <c r="H97" s="862" t="s">
        <v>3809</v>
      </c>
      <c r="I97" s="759"/>
      <c r="J97" s="753"/>
      <c r="K97" s="753"/>
      <c r="L97" s="753"/>
      <c r="M97" s="753"/>
      <c r="N97" s="753"/>
      <c r="O97" s="753"/>
      <c r="P97" s="753"/>
      <c r="Q97" s="753"/>
      <c r="R97" s="799"/>
      <c r="S97" s="799"/>
      <c r="T97" s="799"/>
      <c r="U97" s="799"/>
      <c r="V97" s="799"/>
      <c r="W97" s="799"/>
      <c r="X97" s="799"/>
      <c r="Y97" s="799"/>
      <c r="Z97" s="799"/>
      <c r="AA97" s="799"/>
      <c r="AB97" s="799"/>
      <c r="AC97" s="799"/>
      <c r="AD97" s="799"/>
      <c r="AE97" s="750"/>
      <c r="AF97" s="751"/>
      <c r="AG97" s="751"/>
      <c r="AH97" s="751"/>
      <c r="AI97" s="751"/>
      <c r="AJ97" s="751"/>
      <c r="AK97" s="751"/>
      <c r="AL97" s="751"/>
      <c r="AM97" s="751"/>
      <c r="AN97" s="751"/>
      <c r="AO97" s="751"/>
      <c r="AP97" s="751"/>
      <c r="AQ97" s="751"/>
      <c r="AR97" s="752"/>
      <c r="AS97" s="752"/>
      <c r="AT97" s="752"/>
      <c r="AU97" s="752"/>
      <c r="AV97" s="752"/>
      <c r="AW97" s="752"/>
      <c r="AX97" s="752"/>
      <c r="AY97" s="753"/>
    </row>
    <row r="98" spans="1:52" s="770" customFormat="1" ht="12" customHeight="1">
      <c r="A98" s="753"/>
      <c r="B98" s="810"/>
      <c r="C98" s="811"/>
      <c r="D98" s="749"/>
      <c r="E98" s="860">
        <v>8</v>
      </c>
      <c r="F98" s="861" t="s">
        <v>3890</v>
      </c>
      <c r="G98" s="759" t="s">
        <v>3809</v>
      </c>
      <c r="H98" s="862" t="s">
        <v>3809</v>
      </c>
      <c r="I98" s="759"/>
      <c r="J98" s="753"/>
      <c r="K98" s="753"/>
      <c r="L98" s="753"/>
      <c r="M98" s="753"/>
      <c r="N98" s="753"/>
      <c r="O98" s="753"/>
      <c r="P98" s="753"/>
      <c r="Q98" s="753"/>
      <c r="R98" s="799"/>
      <c r="S98" s="799"/>
      <c r="T98" s="799"/>
      <c r="U98" s="799"/>
      <c r="V98" s="799"/>
      <c r="W98" s="799"/>
      <c r="X98" s="799"/>
      <c r="Y98" s="799"/>
      <c r="Z98" s="799"/>
      <c r="AA98" s="799"/>
      <c r="AB98" s="799"/>
      <c r="AC98" s="799"/>
      <c r="AD98" s="799"/>
      <c r="AE98" s="750"/>
      <c r="AF98" s="751"/>
      <c r="AG98" s="751"/>
      <c r="AH98" s="751"/>
      <c r="AI98" s="751"/>
      <c r="AJ98" s="751"/>
      <c r="AK98" s="751"/>
      <c r="AL98" s="751"/>
      <c r="AM98" s="751"/>
      <c r="AN98" s="751"/>
      <c r="AO98" s="751"/>
      <c r="AP98" s="751"/>
      <c r="AQ98" s="751"/>
      <c r="AR98" s="752"/>
      <c r="AS98" s="752"/>
      <c r="AT98" s="752"/>
      <c r="AU98" s="752"/>
      <c r="AV98" s="752"/>
      <c r="AW98" s="752"/>
      <c r="AX98" s="752"/>
      <c r="AY98" s="753"/>
    </row>
    <row r="99" spans="1:52" s="770" customFormat="1" ht="12" customHeight="1">
      <c r="A99" s="753"/>
      <c r="B99" s="810"/>
      <c r="C99" s="811"/>
      <c r="D99" s="749"/>
      <c r="E99" s="860">
        <v>9</v>
      </c>
      <c r="F99" s="861" t="s">
        <v>3891</v>
      </c>
      <c r="G99" s="759" t="s">
        <v>3809</v>
      </c>
      <c r="H99" s="759" t="s">
        <v>3809</v>
      </c>
      <c r="I99" s="759"/>
      <c r="J99" s="753"/>
      <c r="K99" s="753"/>
      <c r="L99" s="753"/>
      <c r="M99" s="753"/>
      <c r="N99" s="753"/>
      <c r="O99" s="753"/>
      <c r="P99" s="753"/>
      <c r="Q99" s="753"/>
      <c r="R99" s="799"/>
      <c r="S99" s="799"/>
      <c r="T99" s="799"/>
      <c r="U99" s="799"/>
      <c r="V99" s="799"/>
      <c r="W99" s="799"/>
      <c r="X99" s="799"/>
      <c r="Y99" s="799"/>
      <c r="Z99" s="799"/>
      <c r="AA99" s="799"/>
      <c r="AB99" s="799"/>
      <c r="AC99" s="799"/>
      <c r="AD99" s="799"/>
      <c r="AE99" s="750"/>
      <c r="AF99" s="751"/>
      <c r="AG99" s="751"/>
      <c r="AH99" s="751"/>
      <c r="AI99" s="751"/>
      <c r="AJ99" s="751"/>
      <c r="AK99" s="751"/>
      <c r="AL99" s="751"/>
      <c r="AM99" s="751"/>
      <c r="AN99" s="751"/>
      <c r="AO99" s="751"/>
      <c r="AP99" s="751"/>
      <c r="AQ99" s="751"/>
      <c r="AR99" s="752"/>
      <c r="AS99" s="752"/>
      <c r="AT99" s="752"/>
      <c r="AU99" s="752"/>
      <c r="AV99" s="752"/>
      <c r="AW99" s="752"/>
      <c r="AX99" s="752"/>
      <c r="AY99" s="753"/>
    </row>
    <row r="100" spans="1:52" s="770" customFormat="1" ht="12" customHeight="1">
      <c r="A100" s="753"/>
      <c r="B100" s="810"/>
      <c r="C100" s="811"/>
      <c r="D100" s="749"/>
      <c r="E100" s="860">
        <v>10</v>
      </c>
      <c r="F100" s="861" t="s">
        <v>3892</v>
      </c>
      <c r="G100" s="759" t="s">
        <v>3809</v>
      </c>
      <c r="H100" s="759" t="s">
        <v>3809</v>
      </c>
      <c r="I100" s="759"/>
      <c r="J100" s="753"/>
      <c r="K100" s="753"/>
      <c r="L100" s="753"/>
      <c r="M100" s="753"/>
      <c r="N100" s="753"/>
      <c r="O100" s="753"/>
      <c r="P100" s="753"/>
      <c r="Q100" s="753"/>
      <c r="R100" s="799"/>
      <c r="S100" s="799"/>
      <c r="T100" s="799"/>
      <c r="U100" s="799"/>
      <c r="V100" s="799"/>
      <c r="W100" s="799"/>
      <c r="X100" s="799"/>
      <c r="Y100" s="799"/>
      <c r="Z100" s="799"/>
      <c r="AA100" s="799"/>
      <c r="AB100" s="799"/>
      <c r="AC100" s="799"/>
      <c r="AD100" s="799"/>
      <c r="AE100" s="750"/>
      <c r="AF100" s="751"/>
      <c r="AG100" s="751"/>
      <c r="AH100" s="751"/>
      <c r="AI100" s="751"/>
      <c r="AJ100" s="751"/>
      <c r="AK100" s="751"/>
      <c r="AL100" s="751"/>
      <c r="AM100" s="751"/>
      <c r="AN100" s="751"/>
      <c r="AO100" s="751"/>
      <c r="AP100" s="751"/>
      <c r="AQ100" s="751"/>
      <c r="AR100" s="752"/>
      <c r="AS100" s="752"/>
      <c r="AT100" s="752"/>
      <c r="AU100" s="752"/>
      <c r="AV100" s="752"/>
      <c r="AW100" s="752"/>
      <c r="AX100" s="752"/>
      <c r="AY100" s="753"/>
    </row>
    <row r="101" spans="1:52" s="770" customFormat="1" ht="12" customHeight="1">
      <c r="A101" s="753"/>
      <c r="B101" s="810"/>
      <c r="C101" s="811"/>
      <c r="D101" s="749"/>
      <c r="E101" s="860">
        <v>11</v>
      </c>
      <c r="F101" s="861" t="s">
        <v>3893</v>
      </c>
      <c r="G101" s="759" t="s">
        <v>3809</v>
      </c>
      <c r="H101" s="759" t="s">
        <v>3809</v>
      </c>
      <c r="I101" s="759"/>
      <c r="J101" s="753"/>
      <c r="K101" s="753"/>
      <c r="L101" s="753"/>
      <c r="M101" s="753"/>
      <c r="N101" s="753"/>
      <c r="O101" s="753"/>
      <c r="P101" s="753"/>
      <c r="Q101" s="753"/>
      <c r="R101" s="799"/>
      <c r="S101" s="799"/>
      <c r="T101" s="799"/>
      <c r="U101" s="799"/>
      <c r="V101" s="799"/>
      <c r="W101" s="799"/>
      <c r="X101" s="799"/>
      <c r="Y101" s="799"/>
      <c r="Z101" s="799"/>
      <c r="AA101" s="799"/>
      <c r="AB101" s="799"/>
      <c r="AC101" s="799"/>
      <c r="AD101" s="799"/>
      <c r="AE101" s="750"/>
      <c r="AF101" s="751"/>
      <c r="AG101" s="751"/>
      <c r="AH101" s="751"/>
      <c r="AI101" s="751"/>
      <c r="AJ101" s="751"/>
      <c r="AK101" s="751"/>
      <c r="AL101" s="751"/>
      <c r="AM101" s="751"/>
      <c r="AN101" s="751"/>
      <c r="AO101" s="751"/>
      <c r="AP101" s="751"/>
      <c r="AQ101" s="751"/>
      <c r="AR101" s="752"/>
      <c r="AS101" s="752"/>
      <c r="AT101" s="752"/>
      <c r="AU101" s="752"/>
      <c r="AV101" s="752"/>
      <c r="AW101" s="752"/>
      <c r="AX101" s="752"/>
      <c r="AY101" s="753"/>
    </row>
    <row r="102" spans="1:52" s="770" customFormat="1" ht="12" customHeight="1">
      <c r="A102" s="753"/>
      <c r="B102" s="810"/>
      <c r="C102" s="811"/>
      <c r="D102" s="749"/>
      <c r="E102" s="860">
        <v>12</v>
      </c>
      <c r="F102" s="861" t="s">
        <v>3894</v>
      </c>
      <c r="G102" s="759" t="s">
        <v>3809</v>
      </c>
      <c r="H102" s="759" t="s">
        <v>3809</v>
      </c>
      <c r="I102" s="759"/>
      <c r="J102" s="753"/>
      <c r="K102" s="753"/>
      <c r="L102" s="753"/>
      <c r="M102" s="753"/>
      <c r="N102" s="753"/>
      <c r="O102" s="753"/>
      <c r="P102" s="753"/>
      <c r="Q102" s="753"/>
      <c r="R102" s="799"/>
      <c r="S102" s="799"/>
      <c r="T102" s="799"/>
      <c r="U102" s="799"/>
      <c r="V102" s="799"/>
      <c r="W102" s="799"/>
      <c r="X102" s="799"/>
      <c r="Y102" s="799"/>
      <c r="Z102" s="799"/>
      <c r="AA102" s="799"/>
      <c r="AB102" s="799"/>
      <c r="AC102" s="799"/>
      <c r="AD102" s="799"/>
      <c r="AE102" s="750"/>
      <c r="AF102" s="751"/>
      <c r="AG102" s="751"/>
      <c r="AH102" s="751"/>
      <c r="AI102" s="751"/>
      <c r="AJ102" s="751"/>
      <c r="AK102" s="751"/>
      <c r="AL102" s="751"/>
      <c r="AM102" s="751"/>
      <c r="AN102" s="751"/>
      <c r="AO102" s="751"/>
      <c r="AP102" s="751"/>
      <c r="AQ102" s="751"/>
      <c r="AR102" s="752"/>
      <c r="AS102" s="752"/>
      <c r="AT102" s="752"/>
      <c r="AU102" s="752"/>
      <c r="AV102" s="752"/>
      <c r="AW102" s="752"/>
      <c r="AX102" s="752"/>
      <c r="AY102" s="753"/>
    </row>
    <row r="103" spans="1:52" s="770" customFormat="1" ht="12" customHeight="1">
      <c r="A103" s="753"/>
      <c r="B103" s="810"/>
      <c r="C103" s="811"/>
      <c r="D103" s="749"/>
      <c r="E103" s="860">
        <v>13</v>
      </c>
      <c r="F103" s="861" t="s">
        <v>3895</v>
      </c>
      <c r="G103" s="759" t="s">
        <v>3809</v>
      </c>
      <c r="H103" s="759" t="s">
        <v>3809</v>
      </c>
      <c r="I103" s="759"/>
      <c r="J103" s="753"/>
      <c r="K103" s="753"/>
      <c r="L103" s="753"/>
      <c r="M103" s="753"/>
      <c r="N103" s="753"/>
      <c r="O103" s="753"/>
      <c r="P103" s="753"/>
      <c r="Q103" s="753"/>
      <c r="R103" s="799"/>
      <c r="S103" s="799"/>
      <c r="T103" s="799"/>
      <c r="U103" s="799"/>
      <c r="V103" s="799"/>
      <c r="W103" s="799"/>
      <c r="X103" s="799"/>
      <c r="Y103" s="799"/>
      <c r="Z103" s="799"/>
      <c r="AA103" s="799"/>
      <c r="AB103" s="799"/>
      <c r="AC103" s="799"/>
      <c r="AD103" s="799"/>
      <c r="AE103" s="750"/>
      <c r="AF103" s="751"/>
      <c r="AG103" s="751"/>
      <c r="AH103" s="751"/>
      <c r="AI103" s="751"/>
      <c r="AJ103" s="751"/>
      <c r="AK103" s="751"/>
      <c r="AL103" s="751"/>
      <c r="AM103" s="751"/>
      <c r="AN103" s="751"/>
      <c r="AO103" s="751"/>
      <c r="AP103" s="751"/>
      <c r="AQ103" s="751"/>
      <c r="AR103" s="752"/>
      <c r="AS103" s="752"/>
      <c r="AT103" s="752"/>
      <c r="AU103" s="752"/>
      <c r="AV103" s="752"/>
      <c r="AW103" s="752"/>
      <c r="AX103" s="752"/>
      <c r="AY103" s="753"/>
    </row>
    <row r="104" spans="1:52" s="770" customFormat="1" ht="12" customHeight="1">
      <c r="A104" s="753"/>
      <c r="B104" s="810"/>
      <c r="C104" s="811"/>
      <c r="D104" s="749"/>
      <c r="E104" s="860">
        <v>14</v>
      </c>
      <c r="F104" s="861" t="s">
        <v>3896</v>
      </c>
      <c r="G104" s="759" t="s">
        <v>3809</v>
      </c>
      <c r="H104" s="759" t="s">
        <v>3809</v>
      </c>
      <c r="I104" s="759"/>
      <c r="J104" s="753"/>
      <c r="K104" s="753"/>
      <c r="L104" s="753"/>
      <c r="M104" s="753"/>
      <c r="N104" s="753"/>
      <c r="O104" s="753"/>
      <c r="P104" s="753"/>
      <c r="Q104" s="753"/>
      <c r="R104" s="799"/>
      <c r="S104" s="799"/>
      <c r="T104" s="799"/>
      <c r="U104" s="799"/>
      <c r="V104" s="799"/>
      <c r="W104" s="799"/>
      <c r="X104" s="799"/>
      <c r="Y104" s="799"/>
      <c r="Z104" s="799"/>
      <c r="AA104" s="799"/>
      <c r="AB104" s="799"/>
      <c r="AC104" s="799"/>
      <c r="AD104" s="799"/>
      <c r="AE104" s="750"/>
      <c r="AF104" s="751"/>
      <c r="AG104" s="751"/>
      <c r="AH104" s="751"/>
      <c r="AI104" s="751"/>
      <c r="AJ104" s="751"/>
      <c r="AK104" s="751"/>
      <c r="AL104" s="751"/>
      <c r="AM104" s="751"/>
      <c r="AN104" s="751"/>
      <c r="AO104" s="751"/>
      <c r="AP104" s="751"/>
      <c r="AQ104" s="751"/>
      <c r="AR104" s="752"/>
      <c r="AS104" s="752"/>
      <c r="AT104" s="752"/>
      <c r="AU104" s="752"/>
      <c r="AV104" s="752"/>
      <c r="AW104" s="752"/>
      <c r="AX104" s="752"/>
      <c r="AY104" s="753"/>
    </row>
    <row r="105" spans="1:52" s="770" customFormat="1" ht="12" customHeight="1">
      <c r="A105" s="753"/>
      <c r="B105" s="810"/>
      <c r="C105" s="811"/>
      <c r="D105" s="749"/>
      <c r="E105" s="860">
        <v>15</v>
      </c>
      <c r="F105" s="861" t="s">
        <v>3897</v>
      </c>
      <c r="G105" s="759" t="s">
        <v>3809</v>
      </c>
      <c r="H105" s="759" t="s">
        <v>3809</v>
      </c>
      <c r="I105" s="759"/>
      <c r="J105" s="753"/>
      <c r="K105" s="753"/>
      <c r="L105" s="753"/>
      <c r="M105" s="753"/>
      <c r="N105" s="753"/>
      <c r="O105" s="753"/>
      <c r="P105" s="753"/>
      <c r="Q105" s="753"/>
      <c r="R105" s="799"/>
      <c r="S105" s="799"/>
      <c r="T105" s="799"/>
      <c r="U105" s="799"/>
      <c r="V105" s="799"/>
      <c r="W105" s="799"/>
      <c r="X105" s="799"/>
      <c r="Y105" s="799"/>
      <c r="Z105" s="799"/>
      <c r="AA105" s="799"/>
      <c r="AB105" s="799"/>
      <c r="AC105" s="799"/>
      <c r="AD105" s="799"/>
      <c r="AE105" s="750"/>
      <c r="AF105" s="751"/>
      <c r="AG105" s="751"/>
      <c r="AH105" s="751"/>
      <c r="AI105" s="751"/>
      <c r="AJ105" s="751"/>
      <c r="AK105" s="751"/>
      <c r="AL105" s="751"/>
      <c r="AM105" s="751"/>
      <c r="AN105" s="751"/>
      <c r="AO105" s="751"/>
      <c r="AP105" s="751"/>
      <c r="AQ105" s="751"/>
      <c r="AR105" s="752"/>
      <c r="AS105" s="752"/>
      <c r="AT105" s="752"/>
      <c r="AU105" s="752"/>
      <c r="AV105" s="752"/>
      <c r="AW105" s="752"/>
      <c r="AX105" s="752"/>
      <c r="AY105" s="753"/>
    </row>
    <row r="106" spans="1:52" s="770" customFormat="1" ht="12" customHeight="1">
      <c r="A106" s="753"/>
      <c r="B106" s="810"/>
      <c r="C106" s="811"/>
      <c r="D106" s="749"/>
      <c r="E106" s="860">
        <v>16</v>
      </c>
      <c r="F106" s="861" t="s">
        <v>603</v>
      </c>
      <c r="G106" s="759" t="s">
        <v>3809</v>
      </c>
      <c r="H106" s="759" t="s">
        <v>3809</v>
      </c>
      <c r="I106" s="759"/>
      <c r="J106" s="753"/>
      <c r="K106" s="753"/>
      <c r="L106" s="753"/>
      <c r="M106" s="753"/>
      <c r="N106" s="753"/>
      <c r="O106" s="753"/>
      <c r="P106" s="753"/>
      <c r="Q106" s="753"/>
      <c r="R106" s="799"/>
      <c r="S106" s="799"/>
      <c r="T106" s="799"/>
      <c r="U106" s="799"/>
      <c r="V106" s="799"/>
      <c r="W106" s="799"/>
      <c r="X106" s="799"/>
      <c r="Y106" s="799"/>
      <c r="Z106" s="799"/>
      <c r="AA106" s="799"/>
      <c r="AB106" s="799"/>
      <c r="AC106" s="799"/>
      <c r="AD106" s="799"/>
      <c r="AE106" s="750"/>
      <c r="AF106" s="751"/>
      <c r="AG106" s="751"/>
      <c r="AH106" s="751"/>
      <c r="AI106" s="751"/>
      <c r="AJ106" s="751"/>
      <c r="AK106" s="751"/>
      <c r="AL106" s="751"/>
      <c r="AM106" s="751"/>
      <c r="AN106" s="751"/>
      <c r="AO106" s="751"/>
      <c r="AP106" s="751"/>
      <c r="AQ106" s="751"/>
      <c r="AR106" s="752"/>
      <c r="AS106" s="752"/>
      <c r="AT106" s="752"/>
      <c r="AU106" s="752"/>
      <c r="AV106" s="752"/>
      <c r="AW106" s="752"/>
      <c r="AX106" s="752"/>
      <c r="AY106" s="753"/>
    </row>
    <row r="107" spans="1:52" s="770" customFormat="1" ht="12" customHeight="1">
      <c r="A107" s="753"/>
      <c r="B107" s="810"/>
      <c r="C107" s="811"/>
      <c r="D107" s="749"/>
      <c r="E107" s="860">
        <v>17</v>
      </c>
      <c r="F107" s="861" t="s">
        <v>604</v>
      </c>
      <c r="G107" s="759" t="s">
        <v>3809</v>
      </c>
      <c r="H107" s="759" t="s">
        <v>3809</v>
      </c>
      <c r="I107" s="759"/>
      <c r="J107" s="753"/>
      <c r="K107" s="753"/>
      <c r="L107" s="753"/>
      <c r="M107" s="753"/>
      <c r="N107" s="753"/>
      <c r="O107" s="753"/>
      <c r="P107" s="753"/>
      <c r="Q107" s="753"/>
      <c r="R107" s="799"/>
      <c r="S107" s="799"/>
      <c r="T107" s="799"/>
      <c r="U107" s="799"/>
      <c r="V107" s="799"/>
      <c r="W107" s="799"/>
      <c r="X107" s="799"/>
      <c r="Y107" s="799"/>
      <c r="Z107" s="799"/>
      <c r="AA107" s="799"/>
      <c r="AB107" s="799"/>
      <c r="AC107" s="799"/>
      <c r="AD107" s="799"/>
      <c r="AE107" s="750"/>
      <c r="AF107" s="751"/>
      <c r="AG107" s="751"/>
      <c r="AH107" s="751"/>
      <c r="AI107" s="751"/>
      <c r="AJ107" s="751"/>
      <c r="AK107" s="751"/>
      <c r="AL107" s="751"/>
      <c r="AM107" s="751"/>
      <c r="AN107" s="751"/>
      <c r="AO107" s="751"/>
      <c r="AP107" s="751"/>
      <c r="AQ107" s="751"/>
      <c r="AR107" s="752"/>
      <c r="AS107" s="752"/>
      <c r="AT107" s="752"/>
      <c r="AU107" s="752"/>
      <c r="AV107" s="752"/>
      <c r="AW107" s="752"/>
      <c r="AX107" s="752"/>
      <c r="AY107" s="753"/>
    </row>
    <row r="108" spans="1:52" s="770" customFormat="1" ht="12" customHeight="1">
      <c r="A108" s="753"/>
      <c r="B108" s="810"/>
      <c r="C108" s="811"/>
      <c r="D108" s="749"/>
      <c r="E108" s="860">
        <v>18</v>
      </c>
      <c r="F108" s="861" t="s">
        <v>1822</v>
      </c>
      <c r="G108" s="759" t="s">
        <v>3809</v>
      </c>
      <c r="H108" s="759" t="s">
        <v>3809</v>
      </c>
      <c r="I108" s="759"/>
      <c r="J108" s="753"/>
      <c r="K108" s="753"/>
      <c r="L108" s="753"/>
      <c r="M108" s="753"/>
      <c r="N108" s="753"/>
      <c r="O108" s="753"/>
      <c r="P108" s="753"/>
      <c r="Q108" s="753"/>
      <c r="R108" s="799"/>
      <c r="S108" s="799"/>
      <c r="T108" s="799"/>
      <c r="U108" s="799"/>
      <c r="V108" s="799"/>
      <c r="W108" s="799"/>
      <c r="X108" s="799"/>
      <c r="Y108" s="799"/>
      <c r="Z108" s="799"/>
      <c r="AA108" s="799"/>
      <c r="AB108" s="799"/>
      <c r="AC108" s="799"/>
      <c r="AD108" s="799"/>
      <c r="AE108" s="750"/>
      <c r="AF108" s="751"/>
      <c r="AG108" s="751"/>
      <c r="AH108" s="751"/>
      <c r="AI108" s="751"/>
      <c r="AJ108" s="751"/>
      <c r="AK108" s="751"/>
      <c r="AL108" s="751"/>
      <c r="AM108" s="751"/>
      <c r="AN108" s="751"/>
      <c r="AO108" s="751"/>
      <c r="AP108" s="751"/>
      <c r="AQ108" s="751"/>
      <c r="AR108" s="752"/>
      <c r="AS108" s="752"/>
      <c r="AT108" s="752"/>
      <c r="AU108" s="752"/>
      <c r="AV108" s="752"/>
      <c r="AW108" s="752"/>
      <c r="AX108" s="752"/>
      <c r="AY108" s="753"/>
    </row>
    <row r="109" spans="1:52" s="770" customFormat="1" ht="12" customHeight="1">
      <c r="A109" s="753"/>
      <c r="B109" s="810"/>
      <c r="C109" s="811"/>
      <c r="D109" s="759"/>
      <c r="E109" s="849"/>
      <c r="F109" s="850"/>
      <c r="G109" s="836"/>
      <c r="H109" s="799"/>
      <c r="I109" s="799"/>
      <c r="J109" s="821"/>
      <c r="K109" s="753"/>
      <c r="L109" s="753"/>
      <c r="M109" s="753"/>
      <c r="N109" s="753"/>
      <c r="O109" s="753"/>
      <c r="P109" s="753"/>
      <c r="Q109" s="753"/>
      <c r="R109" s="799"/>
      <c r="S109" s="799"/>
      <c r="T109" s="799"/>
      <c r="U109" s="799"/>
      <c r="V109" s="799"/>
      <c r="W109" s="799"/>
      <c r="X109" s="799"/>
      <c r="Y109" s="799"/>
      <c r="Z109" s="799"/>
      <c r="AA109" s="799"/>
      <c r="AB109" s="799"/>
      <c r="AC109" s="799"/>
      <c r="AD109" s="799"/>
      <c r="AE109" s="750"/>
      <c r="AF109" s="751"/>
      <c r="AG109" s="751"/>
      <c r="AH109" s="751"/>
      <c r="AI109" s="751"/>
      <c r="AJ109" s="751"/>
      <c r="AK109" s="751"/>
      <c r="AL109" s="751"/>
      <c r="AM109" s="751"/>
      <c r="AN109" s="751"/>
      <c r="AO109" s="751"/>
      <c r="AP109" s="751"/>
      <c r="AQ109" s="751"/>
      <c r="AR109" s="752"/>
      <c r="AS109" s="752"/>
      <c r="AT109" s="752"/>
      <c r="AU109" s="752"/>
      <c r="AV109" s="752"/>
      <c r="AW109" s="752"/>
      <c r="AX109" s="752"/>
      <c r="AY109" s="753"/>
    </row>
    <row r="110" spans="1:52" s="753" customFormat="1" ht="12" customHeight="1">
      <c r="B110" s="796" t="s">
        <v>3806</v>
      </c>
      <c r="C110" s="797"/>
      <c r="E110" s="798"/>
      <c r="F110" s="799"/>
      <c r="AE110" s="750"/>
      <c r="AF110" s="751"/>
      <c r="AG110" s="751"/>
      <c r="AH110" s="751"/>
      <c r="AI110" s="751"/>
      <c r="AJ110" s="751"/>
      <c r="AK110" s="751"/>
      <c r="AL110" s="751"/>
      <c r="AM110" s="751"/>
      <c r="AN110" s="751"/>
      <c r="AO110" s="751"/>
      <c r="AP110" s="751"/>
      <c r="AQ110" s="751"/>
      <c r="AR110" s="752"/>
      <c r="AS110" s="752"/>
      <c r="AT110" s="752"/>
      <c r="AU110" s="752"/>
      <c r="AV110" s="752"/>
      <c r="AW110" s="752"/>
      <c r="AX110" s="752"/>
    </row>
    <row r="111" spans="1:52" s="812" customFormat="1" ht="12.9" customHeight="1">
      <c r="B111" s="800" t="s">
        <v>3898</v>
      </c>
      <c r="C111" s="801"/>
      <c r="D111" s="863"/>
      <c r="E111" s="864"/>
      <c r="F111" s="863"/>
      <c r="G111" s="865"/>
      <c r="H111" s="865"/>
      <c r="I111" s="865"/>
      <c r="J111" s="865"/>
      <c r="K111" s="865"/>
      <c r="L111" s="865"/>
      <c r="M111" s="865"/>
      <c r="N111" s="865"/>
      <c r="O111" s="865"/>
      <c r="P111" s="865"/>
      <c r="Q111" s="865"/>
      <c r="R111" s="865"/>
      <c r="S111" s="865"/>
      <c r="T111" s="865"/>
      <c r="U111" s="865"/>
      <c r="V111" s="865"/>
      <c r="W111" s="865"/>
      <c r="X111" s="865"/>
      <c r="Y111" s="865"/>
      <c r="Z111" s="865"/>
      <c r="AA111" s="865"/>
      <c r="AB111" s="865"/>
      <c r="AC111" s="865"/>
      <c r="AD111" s="806" t="s">
        <v>611</v>
      </c>
      <c r="AE111" s="750"/>
      <c r="AF111" s="751"/>
      <c r="AG111" s="751"/>
      <c r="AH111" s="751"/>
      <c r="AI111" s="751"/>
      <c r="AJ111" s="751"/>
      <c r="AK111" s="751"/>
      <c r="AL111" s="751"/>
      <c r="AM111" s="751"/>
      <c r="AN111" s="751"/>
      <c r="AO111" s="751"/>
      <c r="AP111" s="751"/>
      <c r="AQ111" s="751"/>
      <c r="AR111" s="752"/>
      <c r="AS111" s="752"/>
      <c r="AT111" s="752"/>
      <c r="AU111" s="752"/>
      <c r="AV111" s="752"/>
      <c r="AW111" s="752"/>
      <c r="AX111" s="752"/>
      <c r="AY111" s="753"/>
      <c r="AZ111" s="770"/>
    </row>
    <row r="112" spans="1:52" s="812" customFormat="1" ht="12.9" customHeight="1">
      <c r="B112" s="866"/>
      <c r="C112" s="808">
        <v>5</v>
      </c>
      <c r="D112" s="753" t="s">
        <v>3899</v>
      </c>
      <c r="E112" s="828"/>
      <c r="F112" s="828"/>
      <c r="G112" s="809"/>
      <c r="H112" s="809"/>
      <c r="I112" s="809"/>
      <c r="J112" s="809"/>
      <c r="K112" s="809"/>
      <c r="L112" s="809"/>
      <c r="M112" s="809"/>
      <c r="N112" s="828"/>
      <c r="O112" s="828"/>
      <c r="P112" s="828"/>
      <c r="Q112" s="828"/>
      <c r="Z112" s="818"/>
      <c r="AE112" s="750"/>
      <c r="AF112" s="751"/>
      <c r="AG112" s="751"/>
      <c r="AH112" s="751"/>
      <c r="AI112" s="751"/>
      <c r="AJ112" s="751"/>
      <c r="AK112" s="751"/>
      <c r="AL112" s="751"/>
      <c r="AM112" s="751"/>
      <c r="AN112" s="751"/>
      <c r="AO112" s="751"/>
      <c r="AP112" s="751"/>
      <c r="AQ112" s="751"/>
      <c r="AR112" s="752"/>
      <c r="AS112" s="752"/>
      <c r="AT112" s="752"/>
      <c r="AU112" s="752"/>
      <c r="AV112" s="752"/>
      <c r="AW112" s="752"/>
      <c r="AX112" s="752"/>
      <c r="AY112" s="753"/>
      <c r="AZ112" s="770"/>
    </row>
    <row r="113" spans="1:52" s="812" customFormat="1" ht="12.9" customHeight="1">
      <c r="B113" s="867"/>
      <c r="C113" s="797"/>
      <c r="D113" s="760"/>
      <c r="E113" s="868"/>
      <c r="F113" s="760"/>
      <c r="G113" s="809"/>
      <c r="H113" s="809"/>
      <c r="I113" s="809"/>
      <c r="J113" s="809"/>
      <c r="K113" s="809"/>
      <c r="L113" s="809"/>
      <c r="M113" s="809"/>
      <c r="N113" s="828"/>
      <c r="O113" s="828"/>
      <c r="P113" s="828"/>
      <c r="Q113" s="828"/>
      <c r="Z113" s="818"/>
      <c r="AE113" s="750"/>
      <c r="AF113" s="751"/>
      <c r="AG113" s="751"/>
      <c r="AH113" s="751"/>
      <c r="AI113" s="751"/>
      <c r="AJ113" s="751"/>
      <c r="AK113" s="751"/>
      <c r="AL113" s="751"/>
      <c r="AM113" s="751"/>
      <c r="AN113" s="751"/>
      <c r="AO113" s="751"/>
      <c r="AP113" s="751"/>
      <c r="AQ113" s="751"/>
      <c r="AR113" s="752"/>
      <c r="AS113" s="752"/>
      <c r="AT113" s="752"/>
      <c r="AU113" s="752"/>
      <c r="AV113" s="752"/>
      <c r="AW113" s="752"/>
      <c r="AX113" s="752"/>
      <c r="AY113" s="753"/>
      <c r="AZ113" s="770"/>
    </row>
    <row r="114" spans="1:52" s="869" customFormat="1" ht="12.9" customHeight="1">
      <c r="B114" s="870"/>
      <c r="C114" s="835" t="s">
        <v>3900</v>
      </c>
      <c r="D114" s="759" t="s">
        <v>3901</v>
      </c>
      <c r="E114" s="849">
        <v>1</v>
      </c>
      <c r="F114" s="820" t="s">
        <v>3902</v>
      </c>
      <c r="G114" s="871">
        <v>1</v>
      </c>
      <c r="H114" s="817"/>
      <c r="I114" s="817"/>
      <c r="J114" s="817"/>
      <c r="K114" s="817"/>
      <c r="L114" s="817"/>
      <c r="M114" s="817"/>
      <c r="N114" s="760"/>
      <c r="O114" s="872"/>
      <c r="P114" s="872"/>
      <c r="AE114" s="750"/>
      <c r="AF114" s="751"/>
      <c r="AG114" s="751"/>
      <c r="AH114" s="751"/>
      <c r="AI114" s="751"/>
      <c r="AJ114" s="751"/>
      <c r="AK114" s="751"/>
      <c r="AL114" s="751"/>
      <c r="AM114" s="751"/>
      <c r="AN114" s="751"/>
      <c r="AO114" s="751"/>
      <c r="AP114" s="751"/>
      <c r="AQ114" s="751"/>
      <c r="AR114" s="752"/>
      <c r="AS114" s="752"/>
      <c r="AT114" s="752"/>
      <c r="AU114" s="752"/>
      <c r="AV114" s="752"/>
      <c r="AW114" s="752"/>
      <c r="AX114" s="752"/>
      <c r="AY114" s="753"/>
      <c r="AZ114" s="770"/>
    </row>
    <row r="115" spans="1:52" s="770" customFormat="1" ht="12" customHeight="1">
      <c r="A115" s="753"/>
      <c r="B115" s="810"/>
      <c r="C115" s="811"/>
      <c r="D115" s="759" t="s">
        <v>3901</v>
      </c>
      <c r="E115" s="849">
        <v>2</v>
      </c>
      <c r="F115" s="820" t="s">
        <v>3903</v>
      </c>
      <c r="G115" s="871">
        <v>1</v>
      </c>
      <c r="H115" s="799"/>
      <c r="I115" s="799"/>
      <c r="J115" s="821"/>
      <c r="K115" s="753"/>
      <c r="L115" s="753"/>
      <c r="M115" s="753"/>
      <c r="N115" s="753"/>
      <c r="O115" s="753"/>
      <c r="P115" s="753"/>
      <c r="Q115" s="753"/>
      <c r="R115" s="799"/>
      <c r="S115" s="799"/>
      <c r="T115" s="799"/>
      <c r="U115" s="799"/>
      <c r="V115" s="799"/>
      <c r="W115" s="799"/>
      <c r="X115" s="799"/>
      <c r="Y115" s="799"/>
      <c r="Z115" s="799"/>
      <c r="AA115" s="799"/>
      <c r="AB115" s="799"/>
      <c r="AC115" s="799"/>
      <c r="AD115" s="799"/>
      <c r="AE115" s="750"/>
      <c r="AF115" s="751"/>
      <c r="AG115" s="751"/>
      <c r="AH115" s="751"/>
      <c r="AI115" s="751"/>
      <c r="AJ115" s="751"/>
      <c r="AK115" s="751"/>
      <c r="AL115" s="751"/>
      <c r="AM115" s="751"/>
      <c r="AN115" s="751"/>
      <c r="AO115" s="751"/>
      <c r="AP115" s="751"/>
      <c r="AQ115" s="751"/>
      <c r="AR115" s="752"/>
      <c r="AS115" s="752"/>
      <c r="AT115" s="752"/>
      <c r="AU115" s="752"/>
      <c r="AV115" s="752"/>
      <c r="AW115" s="752"/>
      <c r="AX115" s="752"/>
      <c r="AY115" s="753"/>
    </row>
    <row r="116" spans="1:52" s="869" customFormat="1" ht="12.9" customHeight="1">
      <c r="B116" s="870"/>
      <c r="C116" s="748"/>
      <c r="D116" s="759" t="s">
        <v>3901</v>
      </c>
      <c r="E116" s="849">
        <v>3</v>
      </c>
      <c r="F116" s="820" t="s">
        <v>3904</v>
      </c>
      <c r="G116" s="871">
        <v>1</v>
      </c>
      <c r="H116" s="817"/>
      <c r="I116" s="817"/>
      <c r="J116" s="817"/>
      <c r="K116" s="817"/>
      <c r="L116" s="817"/>
      <c r="M116" s="817"/>
      <c r="N116" s="760"/>
      <c r="O116" s="872"/>
      <c r="P116" s="872"/>
      <c r="AE116" s="750"/>
      <c r="AF116" s="751"/>
      <c r="AG116" s="751"/>
      <c r="AH116" s="751"/>
      <c r="AI116" s="751"/>
      <c r="AJ116" s="751"/>
      <c r="AK116" s="751"/>
      <c r="AL116" s="751"/>
      <c r="AM116" s="751"/>
      <c r="AN116" s="751"/>
      <c r="AO116" s="751"/>
      <c r="AP116" s="751"/>
      <c r="AQ116" s="751"/>
      <c r="AR116" s="752"/>
      <c r="AS116" s="752"/>
      <c r="AT116" s="752"/>
      <c r="AU116" s="752"/>
      <c r="AV116" s="752"/>
      <c r="AW116" s="752"/>
      <c r="AX116" s="752"/>
      <c r="AY116" s="753"/>
      <c r="AZ116" s="770"/>
    </row>
    <row r="117" spans="1:52" s="869" customFormat="1" ht="12.9" customHeight="1">
      <c r="B117" s="870"/>
      <c r="C117" s="748"/>
      <c r="D117" s="759" t="s">
        <v>3901</v>
      </c>
      <c r="E117" s="849">
        <v>4</v>
      </c>
      <c r="F117" s="820" t="s">
        <v>3905</v>
      </c>
      <c r="G117" s="871">
        <v>1</v>
      </c>
      <c r="H117" s="817"/>
      <c r="I117" s="817"/>
      <c r="J117" s="817"/>
      <c r="K117" s="817"/>
      <c r="L117" s="817"/>
      <c r="M117" s="817"/>
      <c r="N117" s="760"/>
      <c r="O117" s="872"/>
      <c r="P117" s="872"/>
      <c r="AE117" s="750"/>
      <c r="AF117" s="751"/>
      <c r="AG117" s="751"/>
      <c r="AH117" s="751"/>
      <c r="AI117" s="751"/>
      <c r="AJ117" s="751"/>
      <c r="AK117" s="751"/>
      <c r="AL117" s="751"/>
      <c r="AM117" s="751"/>
      <c r="AN117" s="751"/>
      <c r="AO117" s="751"/>
      <c r="AP117" s="751"/>
      <c r="AQ117" s="751"/>
      <c r="AR117" s="752"/>
      <c r="AS117" s="752"/>
      <c r="AT117" s="752"/>
      <c r="AU117" s="752"/>
      <c r="AV117" s="752"/>
      <c r="AW117" s="752"/>
      <c r="AX117" s="752"/>
      <c r="AY117" s="753"/>
      <c r="AZ117" s="770"/>
    </row>
    <row r="118" spans="1:52" s="770" customFormat="1" ht="12" customHeight="1">
      <c r="A118" s="753"/>
      <c r="B118" s="810"/>
      <c r="C118" s="811"/>
      <c r="D118" s="759" t="s">
        <v>3901</v>
      </c>
      <c r="E118" s="849">
        <v>5</v>
      </c>
      <c r="F118" s="820" t="s">
        <v>3906</v>
      </c>
      <c r="G118" s="873">
        <v>2</v>
      </c>
      <c r="H118" s="799"/>
      <c r="I118" s="799"/>
      <c r="J118" s="821"/>
      <c r="K118" s="753"/>
      <c r="L118" s="753"/>
      <c r="M118" s="753"/>
      <c r="N118" s="753"/>
      <c r="O118" s="753"/>
      <c r="P118" s="753"/>
      <c r="Q118" s="753"/>
      <c r="R118" s="799"/>
      <c r="S118" s="799"/>
      <c r="T118" s="799"/>
      <c r="U118" s="799"/>
      <c r="V118" s="799"/>
      <c r="W118" s="799"/>
      <c r="X118" s="799"/>
      <c r="Y118" s="799"/>
      <c r="Z118" s="799"/>
      <c r="AA118" s="799"/>
      <c r="AB118" s="799"/>
      <c r="AC118" s="799"/>
      <c r="AD118" s="799"/>
      <c r="AE118" s="750"/>
      <c r="AF118" s="751"/>
      <c r="AG118" s="751"/>
      <c r="AH118" s="751"/>
      <c r="AI118" s="751"/>
      <c r="AJ118" s="751"/>
      <c r="AK118" s="751"/>
      <c r="AL118" s="751"/>
      <c r="AM118" s="751"/>
      <c r="AN118" s="751"/>
      <c r="AO118" s="751"/>
      <c r="AP118" s="751"/>
      <c r="AQ118" s="751"/>
      <c r="AR118" s="752"/>
      <c r="AS118" s="752"/>
      <c r="AT118" s="752"/>
      <c r="AU118" s="752"/>
      <c r="AV118" s="752"/>
      <c r="AW118" s="752"/>
      <c r="AX118" s="752"/>
      <c r="AY118" s="753"/>
    </row>
    <row r="119" spans="1:52" s="770" customFormat="1" ht="12" customHeight="1">
      <c r="A119" s="753"/>
      <c r="B119" s="810"/>
      <c r="C119" s="811"/>
      <c r="D119" s="759" t="s">
        <v>3901</v>
      </c>
      <c r="E119" s="849">
        <v>6</v>
      </c>
      <c r="F119" s="820" t="s">
        <v>3907</v>
      </c>
      <c r="G119" s="873">
        <v>2</v>
      </c>
      <c r="H119" s="799"/>
      <c r="I119" s="799"/>
      <c r="J119" s="821"/>
      <c r="K119" s="753"/>
      <c r="L119" s="753"/>
      <c r="M119" s="753"/>
      <c r="N119" s="753"/>
      <c r="O119" s="753"/>
      <c r="P119" s="753"/>
      <c r="Q119" s="753"/>
      <c r="R119" s="799"/>
      <c r="S119" s="799"/>
      <c r="T119" s="799"/>
      <c r="U119" s="799"/>
      <c r="V119" s="799"/>
      <c r="W119" s="799"/>
      <c r="X119" s="799"/>
      <c r="Y119" s="799"/>
      <c r="Z119" s="799"/>
      <c r="AA119" s="799"/>
      <c r="AB119" s="799"/>
      <c r="AC119" s="799"/>
      <c r="AD119" s="799"/>
      <c r="AE119" s="750"/>
      <c r="AF119" s="751"/>
      <c r="AG119" s="751"/>
      <c r="AH119" s="751"/>
      <c r="AI119" s="751"/>
      <c r="AJ119" s="751"/>
      <c r="AK119" s="751"/>
      <c r="AL119" s="751"/>
      <c r="AM119" s="751"/>
      <c r="AN119" s="751"/>
      <c r="AO119" s="751"/>
      <c r="AP119" s="751"/>
      <c r="AQ119" s="751"/>
      <c r="AR119" s="752"/>
      <c r="AS119" s="752"/>
      <c r="AT119" s="752"/>
      <c r="AU119" s="752"/>
      <c r="AV119" s="752"/>
      <c r="AW119" s="752"/>
      <c r="AX119" s="752"/>
      <c r="AY119" s="753"/>
    </row>
    <row r="120" spans="1:52" s="770" customFormat="1" ht="12" customHeight="1">
      <c r="A120" s="753"/>
      <c r="B120" s="810"/>
      <c r="C120" s="811"/>
      <c r="D120" s="759" t="s">
        <v>3901</v>
      </c>
      <c r="E120" s="849">
        <v>7</v>
      </c>
      <c r="F120" s="820" t="s">
        <v>3908</v>
      </c>
      <c r="G120" s="871">
        <v>3</v>
      </c>
      <c r="H120" s="817"/>
      <c r="I120" s="817"/>
      <c r="J120" s="817"/>
      <c r="K120" s="817"/>
      <c r="L120" s="817"/>
      <c r="M120" s="817"/>
      <c r="N120" s="753"/>
      <c r="O120" s="753"/>
      <c r="P120" s="753"/>
      <c r="Q120" s="753"/>
      <c r="R120" s="799"/>
      <c r="S120" s="799"/>
      <c r="T120" s="799"/>
      <c r="U120" s="799"/>
      <c r="V120" s="799"/>
      <c r="W120" s="799"/>
      <c r="X120" s="799"/>
      <c r="Y120" s="799"/>
      <c r="Z120" s="799"/>
      <c r="AA120" s="799"/>
      <c r="AB120" s="799"/>
      <c r="AC120" s="799"/>
      <c r="AD120" s="799"/>
      <c r="AE120" s="750"/>
      <c r="AF120" s="751"/>
      <c r="AG120" s="751"/>
      <c r="AH120" s="751"/>
      <c r="AI120" s="751"/>
      <c r="AJ120" s="751"/>
      <c r="AK120" s="751"/>
      <c r="AL120" s="751"/>
      <c r="AM120" s="751"/>
      <c r="AN120" s="751"/>
      <c r="AO120" s="751"/>
      <c r="AP120" s="751"/>
      <c r="AQ120" s="751"/>
      <c r="AR120" s="752"/>
      <c r="AS120" s="752"/>
      <c r="AT120" s="752"/>
      <c r="AU120" s="752"/>
      <c r="AV120" s="752"/>
      <c r="AW120" s="752"/>
      <c r="AX120" s="752"/>
      <c r="AY120" s="753"/>
    </row>
    <row r="121" spans="1:52" s="770" customFormat="1" ht="12" customHeight="1">
      <c r="A121" s="753"/>
      <c r="B121" s="810"/>
      <c r="C121" s="811"/>
      <c r="D121" s="759" t="s">
        <v>3901</v>
      </c>
      <c r="E121" s="849">
        <v>8</v>
      </c>
      <c r="F121" s="820" t="s">
        <v>3909</v>
      </c>
      <c r="G121" s="871">
        <v>3</v>
      </c>
      <c r="H121" s="799"/>
      <c r="I121" s="817"/>
      <c r="J121" s="817"/>
      <c r="K121" s="817"/>
      <c r="L121" s="817"/>
      <c r="M121" s="817"/>
      <c r="N121" s="753"/>
      <c r="O121" s="753"/>
      <c r="P121" s="753"/>
      <c r="Q121" s="753"/>
      <c r="R121" s="799"/>
      <c r="S121" s="799"/>
      <c r="T121" s="799"/>
      <c r="U121" s="799"/>
      <c r="V121" s="799"/>
      <c r="W121" s="799"/>
      <c r="X121" s="799"/>
      <c r="Y121" s="799"/>
      <c r="Z121" s="799"/>
      <c r="AA121" s="799"/>
      <c r="AB121" s="799"/>
      <c r="AC121" s="799"/>
      <c r="AD121" s="799"/>
      <c r="AE121" s="750"/>
      <c r="AF121" s="751"/>
      <c r="AG121" s="751"/>
      <c r="AH121" s="751"/>
      <c r="AI121" s="751"/>
      <c r="AJ121" s="751"/>
      <c r="AK121" s="751"/>
      <c r="AL121" s="751"/>
      <c r="AM121" s="751"/>
      <c r="AN121" s="751"/>
      <c r="AO121" s="751"/>
      <c r="AP121" s="751"/>
      <c r="AQ121" s="751"/>
      <c r="AR121" s="752"/>
      <c r="AS121" s="752"/>
      <c r="AT121" s="752"/>
      <c r="AU121" s="752"/>
      <c r="AV121" s="752"/>
      <c r="AW121" s="752"/>
      <c r="AX121" s="752"/>
      <c r="AY121" s="753"/>
    </row>
    <row r="122" spans="1:52" s="869" customFormat="1" ht="12.9" customHeight="1">
      <c r="B122" s="870"/>
      <c r="C122" s="748"/>
      <c r="D122" s="759" t="s">
        <v>3901</v>
      </c>
      <c r="E122" s="849">
        <v>9</v>
      </c>
      <c r="F122" s="820" t="s">
        <v>3910</v>
      </c>
      <c r="G122" s="871">
        <v>3</v>
      </c>
      <c r="H122" s="799"/>
      <c r="I122" s="817"/>
      <c r="J122" s="817"/>
      <c r="K122" s="817"/>
      <c r="L122" s="817"/>
      <c r="M122" s="817"/>
      <c r="N122" s="760"/>
      <c r="O122" s="872"/>
      <c r="P122" s="872"/>
      <c r="AE122" s="750"/>
      <c r="AF122" s="751"/>
      <c r="AG122" s="751"/>
      <c r="AH122" s="751"/>
      <c r="AI122" s="751"/>
      <c r="AJ122" s="751"/>
      <c r="AK122" s="751"/>
      <c r="AL122" s="751"/>
      <c r="AM122" s="751"/>
      <c r="AN122" s="751"/>
      <c r="AO122" s="751"/>
      <c r="AP122" s="751"/>
      <c r="AQ122" s="751"/>
      <c r="AR122" s="752"/>
      <c r="AS122" s="752"/>
      <c r="AT122" s="752"/>
      <c r="AU122" s="752"/>
      <c r="AV122" s="752"/>
      <c r="AW122" s="752"/>
      <c r="AX122" s="752"/>
      <c r="AY122" s="753"/>
      <c r="AZ122" s="770"/>
    </row>
    <row r="123" spans="1:52" s="770" customFormat="1" ht="12" customHeight="1">
      <c r="A123" s="753"/>
      <c r="B123" s="810"/>
      <c r="C123" s="811"/>
      <c r="D123" s="759" t="s">
        <v>3901</v>
      </c>
      <c r="E123" s="849">
        <v>10</v>
      </c>
      <c r="F123" s="874" t="s">
        <v>3911</v>
      </c>
      <c r="G123" s="873">
        <v>4</v>
      </c>
      <c r="H123" s="875" t="s">
        <v>3912</v>
      </c>
      <c r="I123" s="799"/>
      <c r="J123" s="821"/>
      <c r="K123" s="753"/>
      <c r="L123" s="753"/>
      <c r="M123" s="753"/>
      <c r="N123" s="753"/>
      <c r="O123" s="753"/>
      <c r="P123" s="753"/>
      <c r="Q123" s="753"/>
      <c r="R123" s="799"/>
      <c r="S123" s="799"/>
      <c r="T123" s="799"/>
      <c r="U123" s="799"/>
      <c r="V123" s="799"/>
      <c r="W123" s="799"/>
      <c r="X123" s="799"/>
      <c r="Y123" s="799"/>
      <c r="Z123" s="799"/>
      <c r="AA123" s="799"/>
      <c r="AB123" s="799"/>
      <c r="AC123" s="799"/>
      <c r="AD123" s="799"/>
      <c r="AE123" s="750"/>
      <c r="AF123" s="751"/>
      <c r="AG123" s="751"/>
      <c r="AH123" s="751"/>
      <c r="AI123" s="751"/>
      <c r="AJ123" s="751"/>
      <c r="AK123" s="751"/>
      <c r="AL123" s="751"/>
      <c r="AM123" s="751"/>
      <c r="AN123" s="751"/>
      <c r="AO123" s="751"/>
      <c r="AP123" s="751"/>
      <c r="AQ123" s="751"/>
      <c r="AR123" s="752"/>
      <c r="AS123" s="752"/>
      <c r="AT123" s="752"/>
      <c r="AU123" s="752"/>
      <c r="AV123" s="752"/>
      <c r="AW123" s="752"/>
      <c r="AX123" s="752"/>
      <c r="AY123" s="753"/>
    </row>
    <row r="124" spans="1:52" s="812" customFormat="1" ht="12.9" customHeight="1">
      <c r="A124" s="760"/>
      <c r="B124" s="867"/>
      <c r="C124" s="759"/>
      <c r="D124" s="759" t="s">
        <v>3901</v>
      </c>
      <c r="E124" s="849">
        <v>11</v>
      </c>
      <c r="F124" s="820" t="s">
        <v>3913</v>
      </c>
      <c r="G124" s="873">
        <v>4</v>
      </c>
      <c r="H124" s="817"/>
      <c r="I124" s="817"/>
      <c r="J124" s="817"/>
      <c r="K124" s="817"/>
      <c r="L124" s="817"/>
      <c r="M124" s="817"/>
      <c r="N124" s="828"/>
      <c r="O124" s="828"/>
      <c r="P124" s="828"/>
      <c r="Q124" s="828"/>
      <c r="R124" s="828"/>
      <c r="S124" s="828"/>
      <c r="T124" s="828"/>
      <c r="U124" s="828"/>
      <c r="V124" s="828"/>
      <c r="W124" s="828"/>
      <c r="X124" s="828"/>
      <c r="Y124" s="828"/>
      <c r="Z124" s="828"/>
      <c r="AB124" s="828"/>
      <c r="AC124" s="828"/>
      <c r="AD124" s="876"/>
      <c r="AE124" s="750"/>
      <c r="AF124" s="751"/>
      <c r="AG124" s="751"/>
      <c r="AH124" s="751"/>
      <c r="AI124" s="751"/>
      <c r="AJ124" s="751"/>
      <c r="AK124" s="751"/>
      <c r="AL124" s="751"/>
      <c r="AM124" s="751"/>
      <c r="AN124" s="751"/>
      <c r="AO124" s="751"/>
      <c r="AP124" s="751"/>
      <c r="AQ124" s="751"/>
      <c r="AR124" s="752"/>
      <c r="AS124" s="752"/>
      <c r="AT124" s="752"/>
      <c r="AU124" s="752"/>
      <c r="AV124" s="752"/>
      <c r="AW124" s="752"/>
      <c r="AX124" s="752"/>
      <c r="AY124" s="753"/>
      <c r="AZ124" s="770"/>
    </row>
    <row r="125" spans="1:52" s="812" customFormat="1" ht="12.9" customHeight="1">
      <c r="A125" s="760"/>
      <c r="B125" s="867"/>
      <c r="C125" s="759"/>
      <c r="D125" s="759" t="s">
        <v>3901</v>
      </c>
      <c r="E125" s="849">
        <v>12</v>
      </c>
      <c r="F125" s="820" t="s">
        <v>3914</v>
      </c>
      <c r="G125" s="873">
        <v>4</v>
      </c>
      <c r="H125" s="817"/>
      <c r="I125" s="817"/>
      <c r="J125" s="817"/>
      <c r="K125" s="817"/>
      <c r="L125" s="817"/>
      <c r="M125" s="817"/>
      <c r="N125" s="828"/>
      <c r="O125" s="828"/>
      <c r="P125" s="828"/>
      <c r="Q125" s="828"/>
      <c r="R125" s="828"/>
      <c r="S125" s="828"/>
      <c r="T125" s="828"/>
      <c r="U125" s="828"/>
      <c r="V125" s="828"/>
      <c r="W125" s="828"/>
      <c r="X125" s="828"/>
      <c r="Y125" s="828"/>
      <c r="Z125" s="828"/>
      <c r="AB125" s="828"/>
      <c r="AC125" s="828"/>
      <c r="AD125" s="876"/>
      <c r="AE125" s="750"/>
      <c r="AF125" s="751"/>
      <c r="AG125" s="751"/>
      <c r="AH125" s="751"/>
      <c r="AI125" s="751"/>
      <c r="AJ125" s="751"/>
      <c r="AK125" s="751"/>
      <c r="AL125" s="751"/>
      <c r="AM125" s="751"/>
      <c r="AN125" s="751"/>
      <c r="AO125" s="751"/>
      <c r="AP125" s="751"/>
      <c r="AQ125" s="751"/>
      <c r="AR125" s="752"/>
      <c r="AS125" s="752"/>
      <c r="AT125" s="752"/>
      <c r="AU125" s="752"/>
      <c r="AV125" s="752"/>
      <c r="AW125" s="752"/>
      <c r="AX125" s="752"/>
      <c r="AY125" s="753"/>
      <c r="AZ125" s="770"/>
    </row>
    <row r="126" spans="1:52" s="812" customFormat="1" ht="12.9" customHeight="1">
      <c r="A126" s="760"/>
      <c r="B126" s="867"/>
      <c r="C126" s="759"/>
      <c r="D126" s="759" t="s">
        <v>3901</v>
      </c>
      <c r="E126" s="849">
        <v>13</v>
      </c>
      <c r="F126" s="820" t="s">
        <v>3915</v>
      </c>
      <c r="G126" s="873">
        <v>4</v>
      </c>
      <c r="H126" s="817"/>
      <c r="I126" s="817"/>
      <c r="J126" s="817"/>
      <c r="K126" s="817"/>
      <c r="L126" s="817"/>
      <c r="M126" s="817"/>
      <c r="N126" s="828"/>
      <c r="O126" s="828"/>
      <c r="P126" s="828"/>
      <c r="Q126" s="828"/>
      <c r="R126" s="828"/>
      <c r="S126" s="828"/>
      <c r="T126" s="828"/>
      <c r="U126" s="828"/>
      <c r="V126" s="828"/>
      <c r="W126" s="828"/>
      <c r="X126" s="828"/>
      <c r="Y126" s="828"/>
      <c r="Z126" s="828"/>
      <c r="AB126" s="828"/>
      <c r="AC126" s="828"/>
      <c r="AD126" s="876"/>
      <c r="AE126" s="750"/>
      <c r="AF126" s="751"/>
      <c r="AG126" s="751"/>
      <c r="AH126" s="751"/>
      <c r="AI126" s="751"/>
      <c r="AJ126" s="751"/>
      <c r="AK126" s="751"/>
      <c r="AL126" s="751"/>
      <c r="AM126" s="751"/>
      <c r="AN126" s="751"/>
      <c r="AO126" s="751"/>
      <c r="AP126" s="751"/>
      <c r="AQ126" s="751"/>
      <c r="AR126" s="752"/>
      <c r="AS126" s="752"/>
      <c r="AT126" s="752"/>
      <c r="AU126" s="752"/>
      <c r="AV126" s="752"/>
      <c r="AW126" s="752"/>
      <c r="AX126" s="752"/>
      <c r="AY126" s="753"/>
      <c r="AZ126" s="770"/>
    </row>
    <row r="127" spans="1:52" s="770" customFormat="1" ht="12" customHeight="1">
      <c r="A127" s="753"/>
      <c r="B127" s="810"/>
      <c r="C127" s="811"/>
      <c r="D127" s="759" t="s">
        <v>3901</v>
      </c>
      <c r="E127" s="849">
        <v>14</v>
      </c>
      <c r="F127" s="820" t="s">
        <v>615</v>
      </c>
      <c r="G127" s="877"/>
      <c r="H127" s="799"/>
      <c r="I127" s="799"/>
      <c r="J127" s="821"/>
      <c r="K127" s="753"/>
      <c r="L127" s="753"/>
      <c r="M127" s="753"/>
      <c r="N127" s="753"/>
      <c r="O127" s="753"/>
      <c r="P127" s="753"/>
      <c r="Q127" s="753"/>
      <c r="R127" s="799"/>
      <c r="S127" s="799"/>
      <c r="T127" s="799"/>
      <c r="U127" s="799"/>
      <c r="V127" s="799"/>
      <c r="W127" s="799"/>
      <c r="X127" s="799"/>
      <c r="Y127" s="799"/>
      <c r="Z127" s="799"/>
      <c r="AA127" s="799"/>
      <c r="AB127" s="799"/>
      <c r="AC127" s="799"/>
      <c r="AD127" s="799"/>
      <c r="AE127" s="750"/>
      <c r="AF127" s="751"/>
      <c r="AG127" s="751"/>
      <c r="AH127" s="751"/>
      <c r="AI127" s="751"/>
      <c r="AJ127" s="751"/>
      <c r="AK127" s="751"/>
      <c r="AL127" s="751"/>
      <c r="AM127" s="751"/>
      <c r="AN127" s="751"/>
      <c r="AO127" s="751"/>
      <c r="AP127" s="751"/>
      <c r="AQ127" s="751"/>
      <c r="AR127" s="752"/>
      <c r="AS127" s="752"/>
      <c r="AT127" s="752"/>
      <c r="AU127" s="752"/>
      <c r="AV127" s="752"/>
      <c r="AW127" s="752"/>
      <c r="AX127" s="752"/>
      <c r="AY127" s="753"/>
    </row>
    <row r="128" spans="1:52" s="770" customFormat="1" ht="12" customHeight="1">
      <c r="A128" s="753"/>
      <c r="B128" s="810"/>
      <c r="C128" s="797"/>
      <c r="D128" s="753"/>
      <c r="E128" s="809"/>
      <c r="F128" s="753"/>
      <c r="G128" s="753"/>
      <c r="H128" s="753"/>
      <c r="I128" s="753"/>
      <c r="J128" s="753"/>
      <c r="K128" s="753"/>
      <c r="L128" s="753"/>
      <c r="M128" s="753"/>
      <c r="N128" s="753"/>
      <c r="O128" s="753"/>
      <c r="P128" s="753"/>
      <c r="Q128" s="753"/>
      <c r="R128" s="753"/>
      <c r="S128" s="753"/>
      <c r="T128" s="753"/>
      <c r="U128" s="753"/>
      <c r="V128" s="753"/>
      <c r="W128" s="753"/>
      <c r="X128" s="753"/>
      <c r="Y128" s="753"/>
      <c r="Z128" s="753"/>
      <c r="AA128" s="753"/>
      <c r="AB128" s="753"/>
      <c r="AC128" s="753"/>
      <c r="AD128" s="753"/>
      <c r="AE128" s="750"/>
      <c r="AF128" s="751"/>
      <c r="AG128" s="751"/>
      <c r="AH128" s="751"/>
      <c r="AI128" s="751"/>
      <c r="AJ128" s="751"/>
      <c r="AK128" s="751"/>
      <c r="AL128" s="751"/>
      <c r="AM128" s="751"/>
      <c r="AN128" s="751"/>
      <c r="AO128" s="751"/>
      <c r="AP128" s="751"/>
      <c r="AQ128" s="751"/>
      <c r="AR128" s="752"/>
      <c r="AS128" s="752"/>
      <c r="AT128" s="752"/>
      <c r="AU128" s="752"/>
      <c r="AV128" s="752"/>
      <c r="AW128" s="752"/>
      <c r="AX128" s="752"/>
      <c r="AY128" s="753"/>
    </row>
    <row r="129" spans="1:52" s="770" customFormat="1" ht="12" customHeight="1">
      <c r="A129" s="753"/>
      <c r="B129" s="810"/>
      <c r="C129" s="797"/>
      <c r="D129" s="753"/>
      <c r="E129" s="809"/>
      <c r="F129" s="753"/>
      <c r="G129" s="817"/>
      <c r="H129" s="817"/>
      <c r="I129" s="817"/>
      <c r="J129" s="817"/>
      <c r="K129" s="817"/>
      <c r="L129" s="817"/>
      <c r="M129" s="817"/>
      <c r="N129" s="817"/>
      <c r="O129" s="753"/>
      <c r="P129" s="753"/>
      <c r="Q129" s="753"/>
      <c r="R129" s="753"/>
      <c r="S129" s="753"/>
      <c r="T129" s="753"/>
      <c r="U129" s="753"/>
      <c r="V129" s="753"/>
      <c r="W129" s="753"/>
      <c r="X129" s="753"/>
      <c r="Y129" s="753"/>
      <c r="Z129" s="753"/>
      <c r="AA129" s="753"/>
      <c r="AB129" s="753"/>
      <c r="AC129" s="753"/>
      <c r="AD129" s="753"/>
      <c r="AE129" s="750"/>
      <c r="AF129" s="751"/>
      <c r="AG129" s="751"/>
      <c r="AH129" s="751"/>
      <c r="AI129" s="751"/>
      <c r="AJ129" s="751"/>
      <c r="AK129" s="751"/>
      <c r="AL129" s="751"/>
      <c r="AM129" s="751"/>
      <c r="AN129" s="751"/>
      <c r="AO129" s="751"/>
      <c r="AP129" s="751"/>
      <c r="AQ129" s="751"/>
      <c r="AR129" s="752"/>
      <c r="AS129" s="752"/>
      <c r="AT129" s="752"/>
      <c r="AU129" s="752"/>
      <c r="AV129" s="752"/>
      <c r="AW129" s="752"/>
      <c r="AX129" s="752"/>
      <c r="AY129" s="753"/>
    </row>
    <row r="130" spans="1:52" s="753" customFormat="1" ht="12" customHeight="1">
      <c r="B130" s="796" t="s">
        <v>3806</v>
      </c>
      <c r="C130" s="797"/>
      <c r="E130" s="798"/>
      <c r="F130" s="799"/>
      <c r="AE130" s="750"/>
      <c r="AF130" s="751"/>
      <c r="AG130" s="751"/>
      <c r="AH130" s="751"/>
      <c r="AI130" s="751"/>
      <c r="AJ130" s="751"/>
      <c r="AK130" s="751"/>
      <c r="AL130" s="751"/>
      <c r="AM130" s="751"/>
      <c r="AN130" s="751"/>
      <c r="AO130" s="751"/>
      <c r="AP130" s="751"/>
      <c r="AQ130" s="751"/>
      <c r="AR130" s="752"/>
      <c r="AS130" s="752"/>
      <c r="AT130" s="752"/>
      <c r="AU130" s="752"/>
      <c r="AV130" s="752"/>
      <c r="AW130" s="752"/>
      <c r="AX130" s="752"/>
    </row>
    <row r="131" spans="1:52" s="812" customFormat="1" ht="12.9" customHeight="1">
      <c r="B131" s="800" t="s">
        <v>3916</v>
      </c>
      <c r="C131" s="801"/>
      <c r="D131" s="863"/>
      <c r="E131" s="864"/>
      <c r="F131" s="863"/>
      <c r="G131" s="865"/>
      <c r="H131" s="865"/>
      <c r="I131" s="865"/>
      <c r="J131" s="865"/>
      <c r="K131" s="865"/>
      <c r="L131" s="865"/>
      <c r="M131" s="865"/>
      <c r="N131" s="865"/>
      <c r="O131" s="865"/>
      <c r="P131" s="865"/>
      <c r="Q131" s="865"/>
      <c r="R131" s="865"/>
      <c r="S131" s="865"/>
      <c r="T131" s="865"/>
      <c r="U131" s="865"/>
      <c r="V131" s="865"/>
      <c r="W131" s="865"/>
      <c r="X131" s="865"/>
      <c r="Y131" s="865"/>
      <c r="Z131" s="865"/>
      <c r="AA131" s="865"/>
      <c r="AB131" s="865"/>
      <c r="AC131" s="865"/>
      <c r="AD131" s="806" t="s">
        <v>611</v>
      </c>
      <c r="AE131" s="750"/>
      <c r="AF131" s="751"/>
      <c r="AG131" s="751"/>
      <c r="AH131" s="751"/>
      <c r="AI131" s="751"/>
      <c r="AJ131" s="751"/>
      <c r="AK131" s="751"/>
      <c r="AL131" s="751"/>
      <c r="AM131" s="751"/>
      <c r="AN131" s="751"/>
      <c r="AO131" s="751"/>
      <c r="AP131" s="751"/>
      <c r="AQ131" s="751"/>
      <c r="AR131" s="752"/>
      <c r="AS131" s="752"/>
      <c r="AT131" s="752"/>
      <c r="AU131" s="752"/>
      <c r="AV131" s="752"/>
      <c r="AW131" s="752"/>
      <c r="AX131" s="752"/>
      <c r="AY131" s="753"/>
      <c r="AZ131" s="770"/>
    </row>
    <row r="132" spans="1:52" s="812" customFormat="1" ht="12.9" customHeight="1">
      <c r="B132" s="866"/>
      <c r="C132" s="808">
        <v>6</v>
      </c>
      <c r="D132" s="753" t="s">
        <v>3917</v>
      </c>
      <c r="E132" s="828"/>
      <c r="F132" s="828"/>
      <c r="G132" s="809"/>
      <c r="H132" s="809"/>
      <c r="I132" s="809"/>
      <c r="J132" s="809"/>
      <c r="K132" s="809"/>
      <c r="L132" s="809"/>
      <c r="M132" s="809"/>
      <c r="N132" s="828"/>
      <c r="O132" s="828"/>
      <c r="P132" s="828"/>
      <c r="Q132" s="828"/>
      <c r="Z132" s="818"/>
      <c r="AE132" s="750"/>
      <c r="AF132" s="751"/>
      <c r="AG132" s="751"/>
      <c r="AH132" s="751"/>
      <c r="AI132" s="751"/>
      <c r="AJ132" s="751"/>
      <c r="AK132" s="751"/>
      <c r="AL132" s="751"/>
      <c r="AM132" s="751"/>
      <c r="AN132" s="751"/>
      <c r="AO132" s="751"/>
      <c r="AP132" s="751"/>
      <c r="AQ132" s="751"/>
      <c r="AR132" s="752"/>
      <c r="AS132" s="752"/>
      <c r="AT132" s="752"/>
      <c r="AU132" s="752"/>
      <c r="AV132" s="752"/>
      <c r="AW132" s="752"/>
      <c r="AX132" s="752"/>
      <c r="AY132" s="753"/>
      <c r="AZ132" s="770"/>
    </row>
    <row r="133" spans="1:52" s="812" customFormat="1" ht="12.9" customHeight="1">
      <c r="B133" s="867"/>
      <c r="C133" s="797"/>
      <c r="D133" s="760"/>
      <c r="E133" s="868"/>
      <c r="F133" s="760"/>
      <c r="G133" s="809"/>
      <c r="H133" s="809"/>
      <c r="I133" s="809"/>
      <c r="J133" s="809"/>
      <c r="K133" s="809"/>
      <c r="L133" s="809"/>
      <c r="M133" s="809"/>
      <c r="N133" s="828"/>
      <c r="O133" s="828"/>
      <c r="P133" s="828"/>
      <c r="Q133" s="828"/>
      <c r="Z133" s="818"/>
      <c r="AE133" s="750"/>
      <c r="AF133" s="751"/>
      <c r="AG133" s="751"/>
      <c r="AH133" s="751"/>
      <c r="AI133" s="751"/>
      <c r="AJ133" s="751"/>
      <c r="AK133" s="751"/>
      <c r="AL133" s="751"/>
      <c r="AM133" s="751"/>
      <c r="AN133" s="751"/>
      <c r="AO133" s="751"/>
      <c r="AP133" s="751"/>
      <c r="AQ133" s="751"/>
      <c r="AR133" s="752"/>
      <c r="AS133" s="752"/>
      <c r="AT133" s="752"/>
      <c r="AU133" s="752"/>
      <c r="AV133" s="752"/>
      <c r="AW133" s="752"/>
      <c r="AX133" s="752"/>
      <c r="AY133" s="753"/>
      <c r="AZ133" s="770"/>
    </row>
    <row r="134" spans="1:52" s="869" customFormat="1" ht="12.9" customHeight="1">
      <c r="B134" s="870"/>
      <c r="C134" s="835" t="s">
        <v>3900</v>
      </c>
      <c r="D134" s="759" t="s">
        <v>3901</v>
      </c>
      <c r="E134" s="849">
        <v>1</v>
      </c>
      <c r="F134" s="820" t="s">
        <v>3918</v>
      </c>
      <c r="G134" s="871">
        <v>1</v>
      </c>
      <c r="H134" s="817"/>
      <c r="I134" s="817"/>
      <c r="J134" s="817"/>
      <c r="K134" s="817"/>
      <c r="L134" s="817"/>
      <c r="M134" s="817"/>
      <c r="N134" s="760"/>
      <c r="O134" s="872"/>
      <c r="P134" s="872"/>
      <c r="AE134" s="750"/>
      <c r="AF134" s="751"/>
      <c r="AG134" s="751"/>
      <c r="AH134" s="751"/>
      <c r="AI134" s="751"/>
      <c r="AJ134" s="751"/>
      <c r="AK134" s="751"/>
      <c r="AL134" s="751"/>
      <c r="AM134" s="751"/>
      <c r="AN134" s="751"/>
      <c r="AO134" s="751"/>
      <c r="AP134" s="751"/>
      <c r="AQ134" s="751"/>
      <c r="AR134" s="752"/>
      <c r="AS134" s="752"/>
      <c r="AT134" s="752"/>
      <c r="AU134" s="752"/>
      <c r="AV134" s="752"/>
      <c r="AW134" s="752"/>
      <c r="AX134" s="752"/>
      <c r="AY134" s="753"/>
      <c r="AZ134" s="770"/>
    </row>
    <row r="135" spans="1:52" s="770" customFormat="1" ht="12" customHeight="1">
      <c r="A135" s="753"/>
      <c r="B135" s="810"/>
      <c r="C135" s="811"/>
      <c r="D135" s="759" t="s">
        <v>3901</v>
      </c>
      <c r="E135" s="849">
        <v>2</v>
      </c>
      <c r="F135" s="820" t="s">
        <v>3919</v>
      </c>
      <c r="G135" s="871">
        <v>1</v>
      </c>
      <c r="H135" s="799"/>
      <c r="I135" s="799"/>
      <c r="J135" s="821"/>
      <c r="K135" s="753"/>
      <c r="L135" s="753"/>
      <c r="M135" s="753"/>
      <c r="N135" s="753"/>
      <c r="O135" s="753"/>
      <c r="P135" s="753"/>
      <c r="Q135" s="753"/>
      <c r="R135" s="799"/>
      <c r="S135" s="799"/>
      <c r="T135" s="799"/>
      <c r="U135" s="799"/>
      <c r="V135" s="799"/>
      <c r="W135" s="799"/>
      <c r="X135" s="799"/>
      <c r="Y135" s="799"/>
      <c r="Z135" s="799"/>
      <c r="AA135" s="799"/>
      <c r="AB135" s="799"/>
      <c r="AC135" s="799"/>
      <c r="AD135" s="799"/>
      <c r="AE135" s="750"/>
      <c r="AF135" s="751"/>
      <c r="AG135" s="751"/>
      <c r="AH135" s="751"/>
      <c r="AI135" s="751"/>
      <c r="AJ135" s="751"/>
      <c r="AK135" s="751"/>
      <c r="AL135" s="751"/>
      <c r="AM135" s="751"/>
      <c r="AN135" s="751"/>
      <c r="AO135" s="751"/>
      <c r="AP135" s="751"/>
      <c r="AQ135" s="751"/>
      <c r="AR135" s="752"/>
      <c r="AS135" s="752"/>
      <c r="AT135" s="752"/>
      <c r="AU135" s="752"/>
      <c r="AV135" s="752"/>
      <c r="AW135" s="752"/>
      <c r="AX135" s="752"/>
      <c r="AY135" s="753"/>
    </row>
    <row r="136" spans="1:52" s="869" customFormat="1" ht="12.9" customHeight="1">
      <c r="B136" s="870"/>
      <c r="C136" s="748"/>
      <c r="D136" s="759" t="s">
        <v>3901</v>
      </c>
      <c r="E136" s="849">
        <v>3</v>
      </c>
      <c r="F136" s="820" t="s">
        <v>3920</v>
      </c>
      <c r="G136" s="871">
        <v>1</v>
      </c>
      <c r="H136" s="875"/>
      <c r="I136" s="817"/>
      <c r="J136" s="817"/>
      <c r="K136" s="817"/>
      <c r="L136" s="817"/>
      <c r="M136" s="817"/>
      <c r="N136" s="760"/>
      <c r="O136" s="872"/>
      <c r="P136" s="872"/>
      <c r="AE136" s="750"/>
      <c r="AF136" s="751"/>
      <c r="AG136" s="751"/>
      <c r="AH136" s="751"/>
      <c r="AI136" s="751"/>
      <c r="AJ136" s="751"/>
      <c r="AK136" s="751"/>
      <c r="AL136" s="751"/>
      <c r="AM136" s="751"/>
      <c r="AN136" s="751"/>
      <c r="AO136" s="751"/>
      <c r="AP136" s="751"/>
      <c r="AQ136" s="751"/>
      <c r="AR136" s="752"/>
      <c r="AS136" s="752"/>
      <c r="AT136" s="752"/>
      <c r="AU136" s="752"/>
      <c r="AV136" s="752"/>
      <c r="AW136" s="752"/>
      <c r="AX136" s="752"/>
      <c r="AY136" s="753"/>
      <c r="AZ136" s="770"/>
    </row>
    <row r="137" spans="1:52" s="869" customFormat="1" ht="12.9" customHeight="1">
      <c r="B137" s="870"/>
      <c r="C137" s="748"/>
      <c r="D137" s="759" t="s">
        <v>3901</v>
      </c>
      <c r="E137" s="849">
        <v>4</v>
      </c>
      <c r="F137" s="820" t="s">
        <v>3921</v>
      </c>
      <c r="G137" s="871">
        <v>1</v>
      </c>
      <c r="H137" s="817"/>
      <c r="I137" s="817"/>
      <c r="J137" s="817"/>
      <c r="K137" s="817"/>
      <c r="L137" s="817"/>
      <c r="M137" s="817"/>
      <c r="N137" s="760"/>
      <c r="O137" s="872"/>
      <c r="P137" s="872"/>
      <c r="AE137" s="750"/>
      <c r="AF137" s="751"/>
      <c r="AG137" s="751"/>
      <c r="AH137" s="751"/>
      <c r="AI137" s="751"/>
      <c r="AJ137" s="751"/>
      <c r="AK137" s="751"/>
      <c r="AL137" s="751"/>
      <c r="AM137" s="751"/>
      <c r="AN137" s="751"/>
      <c r="AO137" s="751"/>
      <c r="AP137" s="751"/>
      <c r="AQ137" s="751"/>
      <c r="AR137" s="752"/>
      <c r="AS137" s="752"/>
      <c r="AT137" s="752"/>
      <c r="AU137" s="752"/>
      <c r="AV137" s="752"/>
      <c r="AW137" s="752"/>
      <c r="AX137" s="752"/>
      <c r="AY137" s="753"/>
      <c r="AZ137" s="770"/>
    </row>
    <row r="138" spans="1:52" s="770" customFormat="1" ht="12" customHeight="1">
      <c r="A138" s="753"/>
      <c r="B138" s="810"/>
      <c r="C138" s="811"/>
      <c r="D138" s="759" t="s">
        <v>3901</v>
      </c>
      <c r="E138" s="849">
        <v>5</v>
      </c>
      <c r="F138" s="874" t="s">
        <v>3922</v>
      </c>
      <c r="G138" s="873">
        <v>2</v>
      </c>
      <c r="H138" s="875" t="s">
        <v>3912</v>
      </c>
      <c r="I138" s="799"/>
      <c r="J138" s="821"/>
      <c r="K138" s="753"/>
      <c r="L138" s="753"/>
      <c r="M138" s="753"/>
      <c r="N138" s="753"/>
      <c r="O138" s="753"/>
      <c r="P138" s="753"/>
      <c r="Q138" s="753"/>
      <c r="R138" s="799"/>
      <c r="S138" s="799"/>
      <c r="T138" s="799"/>
      <c r="U138" s="799"/>
      <c r="V138" s="799"/>
      <c r="W138" s="799"/>
      <c r="X138" s="799"/>
      <c r="Y138" s="799"/>
      <c r="Z138" s="799"/>
      <c r="AA138" s="799"/>
      <c r="AB138" s="799"/>
      <c r="AC138" s="799"/>
      <c r="AD138" s="799"/>
      <c r="AE138" s="750"/>
      <c r="AF138" s="751"/>
      <c r="AG138" s="751"/>
      <c r="AH138" s="751"/>
      <c r="AI138" s="751"/>
      <c r="AJ138" s="751"/>
      <c r="AK138" s="751"/>
      <c r="AL138" s="751"/>
      <c r="AM138" s="751"/>
      <c r="AN138" s="751"/>
      <c r="AO138" s="751"/>
      <c r="AP138" s="751"/>
      <c r="AQ138" s="751"/>
      <c r="AR138" s="752"/>
      <c r="AS138" s="752"/>
      <c r="AT138" s="752"/>
      <c r="AU138" s="752"/>
      <c r="AV138" s="752"/>
      <c r="AW138" s="752"/>
      <c r="AX138" s="752"/>
      <c r="AY138" s="753"/>
    </row>
    <row r="139" spans="1:52" s="770" customFormat="1" ht="12" customHeight="1">
      <c r="A139" s="753"/>
      <c r="B139" s="810"/>
      <c r="C139" s="811"/>
      <c r="D139" s="759" t="s">
        <v>3901</v>
      </c>
      <c r="E139" s="849">
        <v>6</v>
      </c>
      <c r="F139" s="820" t="s">
        <v>3923</v>
      </c>
      <c r="G139" s="873">
        <v>2</v>
      </c>
      <c r="H139" s="799"/>
      <c r="I139" s="799"/>
      <c r="J139" s="821"/>
      <c r="K139" s="753"/>
      <c r="L139" s="753"/>
      <c r="M139" s="753"/>
      <c r="N139" s="753"/>
      <c r="O139" s="753"/>
      <c r="P139" s="753"/>
      <c r="Q139" s="753"/>
      <c r="R139" s="799"/>
      <c r="S139" s="799"/>
      <c r="T139" s="799"/>
      <c r="U139" s="799"/>
      <c r="V139" s="799"/>
      <c r="W139" s="799"/>
      <c r="X139" s="799"/>
      <c r="Y139" s="799"/>
      <c r="Z139" s="799"/>
      <c r="AA139" s="799"/>
      <c r="AB139" s="799"/>
      <c r="AC139" s="799"/>
      <c r="AD139" s="799"/>
      <c r="AE139" s="750"/>
      <c r="AF139" s="751"/>
      <c r="AG139" s="751"/>
      <c r="AH139" s="751"/>
      <c r="AI139" s="751"/>
      <c r="AJ139" s="751"/>
      <c r="AK139" s="751"/>
      <c r="AL139" s="751"/>
      <c r="AM139" s="751"/>
      <c r="AN139" s="751"/>
      <c r="AO139" s="751"/>
      <c r="AP139" s="751"/>
      <c r="AQ139" s="751"/>
      <c r="AR139" s="752"/>
      <c r="AS139" s="752"/>
      <c r="AT139" s="752"/>
      <c r="AU139" s="752"/>
      <c r="AV139" s="752"/>
      <c r="AW139" s="752"/>
      <c r="AX139" s="752"/>
      <c r="AY139" s="753"/>
    </row>
    <row r="140" spans="1:52" s="770" customFormat="1" ht="12" customHeight="1">
      <c r="A140" s="753"/>
      <c r="B140" s="810"/>
      <c r="C140" s="811"/>
      <c r="D140" s="759" t="s">
        <v>3901</v>
      </c>
      <c r="E140" s="849">
        <v>7</v>
      </c>
      <c r="F140" s="820" t="s">
        <v>3924</v>
      </c>
      <c r="G140" s="873">
        <v>2</v>
      </c>
      <c r="H140" s="817"/>
      <c r="I140" s="817"/>
      <c r="J140" s="817"/>
      <c r="K140" s="817"/>
      <c r="L140" s="817"/>
      <c r="M140" s="817"/>
      <c r="N140" s="753"/>
      <c r="O140" s="753"/>
      <c r="P140" s="753"/>
      <c r="Q140" s="753"/>
      <c r="R140" s="799"/>
      <c r="S140" s="799"/>
      <c r="T140" s="799"/>
      <c r="U140" s="799"/>
      <c r="V140" s="799"/>
      <c r="W140" s="799"/>
      <c r="X140" s="799"/>
      <c r="Y140" s="799"/>
      <c r="Z140" s="799"/>
      <c r="AA140" s="799"/>
      <c r="AB140" s="799"/>
      <c r="AC140" s="799"/>
      <c r="AD140" s="799"/>
      <c r="AE140" s="750"/>
      <c r="AF140" s="751"/>
      <c r="AG140" s="751"/>
      <c r="AH140" s="751"/>
      <c r="AI140" s="751"/>
      <c r="AJ140" s="751"/>
      <c r="AK140" s="751"/>
      <c r="AL140" s="751"/>
      <c r="AM140" s="751"/>
      <c r="AN140" s="751"/>
      <c r="AO140" s="751"/>
      <c r="AP140" s="751"/>
      <c r="AQ140" s="751"/>
      <c r="AR140" s="752"/>
      <c r="AS140" s="752"/>
      <c r="AT140" s="752"/>
      <c r="AU140" s="752"/>
      <c r="AV140" s="752"/>
      <c r="AW140" s="752"/>
      <c r="AX140" s="752"/>
      <c r="AY140" s="753"/>
    </row>
    <row r="141" spans="1:52" s="770" customFormat="1" ht="12" customHeight="1">
      <c r="A141" s="753"/>
      <c r="B141" s="810"/>
      <c r="C141" s="811"/>
      <c r="D141" s="759" t="s">
        <v>3901</v>
      </c>
      <c r="E141" s="849">
        <v>8</v>
      </c>
      <c r="F141" s="820" t="s">
        <v>3925</v>
      </c>
      <c r="G141" s="871">
        <v>3</v>
      </c>
      <c r="H141" s="799"/>
      <c r="I141" s="817"/>
      <c r="J141" s="817"/>
      <c r="K141" s="817"/>
      <c r="L141" s="817"/>
      <c r="M141" s="817"/>
      <c r="N141" s="753"/>
      <c r="O141" s="753"/>
      <c r="P141" s="753"/>
      <c r="Q141" s="753"/>
      <c r="R141" s="799"/>
      <c r="S141" s="799"/>
      <c r="T141" s="799"/>
      <c r="U141" s="799"/>
      <c r="V141" s="799"/>
      <c r="W141" s="799"/>
      <c r="X141" s="799"/>
      <c r="Y141" s="799"/>
      <c r="Z141" s="799"/>
      <c r="AA141" s="799"/>
      <c r="AB141" s="799"/>
      <c r="AC141" s="799"/>
      <c r="AD141" s="799"/>
      <c r="AE141" s="750"/>
      <c r="AF141" s="751"/>
      <c r="AG141" s="751"/>
      <c r="AH141" s="751"/>
      <c r="AI141" s="751"/>
      <c r="AJ141" s="751"/>
      <c r="AK141" s="751"/>
      <c r="AL141" s="751"/>
      <c r="AM141" s="751"/>
      <c r="AN141" s="751"/>
      <c r="AO141" s="751"/>
      <c r="AP141" s="751"/>
      <c r="AQ141" s="751"/>
      <c r="AR141" s="752"/>
      <c r="AS141" s="752"/>
      <c r="AT141" s="752"/>
      <c r="AU141" s="752"/>
      <c r="AV141" s="752"/>
      <c r="AW141" s="752"/>
      <c r="AX141" s="752"/>
      <c r="AY141" s="753"/>
    </row>
    <row r="142" spans="1:52" s="869" customFormat="1" ht="12.9" customHeight="1">
      <c r="B142" s="870"/>
      <c r="C142" s="748"/>
      <c r="D142" s="759" t="s">
        <v>3901</v>
      </c>
      <c r="E142" s="849">
        <v>9</v>
      </c>
      <c r="F142" s="820" t="s">
        <v>3926</v>
      </c>
      <c r="G142" s="871">
        <v>3</v>
      </c>
      <c r="H142" s="799"/>
      <c r="I142" s="817"/>
      <c r="J142" s="817"/>
      <c r="K142" s="817"/>
      <c r="L142" s="817"/>
      <c r="M142" s="817"/>
      <c r="N142" s="760"/>
      <c r="O142" s="872"/>
      <c r="P142" s="872"/>
      <c r="AE142" s="750"/>
      <c r="AF142" s="751"/>
      <c r="AG142" s="751"/>
      <c r="AH142" s="751"/>
      <c r="AI142" s="751"/>
      <c r="AJ142" s="751"/>
      <c r="AK142" s="751"/>
      <c r="AL142" s="751"/>
      <c r="AM142" s="751"/>
      <c r="AN142" s="751"/>
      <c r="AO142" s="751"/>
      <c r="AP142" s="751"/>
      <c r="AQ142" s="751"/>
      <c r="AR142" s="752"/>
      <c r="AS142" s="752"/>
      <c r="AT142" s="752"/>
      <c r="AU142" s="752"/>
      <c r="AV142" s="752"/>
      <c r="AW142" s="752"/>
      <c r="AX142" s="752"/>
      <c r="AY142" s="753"/>
      <c r="AZ142" s="770"/>
    </row>
    <row r="143" spans="1:52" s="770" customFormat="1" ht="12" customHeight="1">
      <c r="A143" s="753"/>
      <c r="B143" s="810"/>
      <c r="C143" s="811"/>
      <c r="D143" s="759" t="s">
        <v>3901</v>
      </c>
      <c r="E143" s="849">
        <v>10</v>
      </c>
      <c r="F143" s="820" t="s">
        <v>3927</v>
      </c>
      <c r="G143" s="871">
        <v>3</v>
      </c>
      <c r="H143" s="875"/>
      <c r="I143" s="799"/>
      <c r="J143" s="821"/>
      <c r="K143" s="753"/>
      <c r="L143" s="753"/>
      <c r="M143" s="753"/>
      <c r="N143" s="753"/>
      <c r="O143" s="753"/>
      <c r="P143" s="753"/>
      <c r="Q143" s="753"/>
      <c r="R143" s="799"/>
      <c r="S143" s="799"/>
      <c r="T143" s="799"/>
      <c r="U143" s="799"/>
      <c r="V143" s="799"/>
      <c r="W143" s="799"/>
      <c r="X143" s="799"/>
      <c r="Y143" s="799"/>
      <c r="Z143" s="799"/>
      <c r="AA143" s="799"/>
      <c r="AB143" s="799"/>
      <c r="AC143" s="799"/>
      <c r="AD143" s="799"/>
      <c r="AE143" s="750"/>
      <c r="AF143" s="751"/>
      <c r="AG143" s="751"/>
      <c r="AH143" s="751"/>
      <c r="AI143" s="751"/>
      <c r="AJ143" s="751"/>
      <c r="AK143" s="751"/>
      <c r="AL143" s="751"/>
      <c r="AM143" s="751"/>
      <c r="AN143" s="751"/>
      <c r="AO143" s="751"/>
      <c r="AP143" s="751"/>
      <c r="AQ143" s="751"/>
      <c r="AR143" s="752"/>
      <c r="AS143" s="752"/>
      <c r="AT143" s="752"/>
      <c r="AU143" s="752"/>
      <c r="AV143" s="752"/>
      <c r="AW143" s="752"/>
      <c r="AX143" s="752"/>
      <c r="AY143" s="753"/>
    </row>
    <row r="144" spans="1:52" s="812" customFormat="1" ht="12.9" customHeight="1">
      <c r="A144" s="760"/>
      <c r="B144" s="867"/>
      <c r="C144" s="759"/>
      <c r="D144" s="759" t="s">
        <v>3901</v>
      </c>
      <c r="E144" s="849">
        <v>11</v>
      </c>
      <c r="F144" s="820" t="s">
        <v>3928</v>
      </c>
      <c r="G144" s="871">
        <v>3</v>
      </c>
      <c r="H144" s="817"/>
      <c r="I144" s="817"/>
      <c r="J144" s="817"/>
      <c r="K144" s="817"/>
      <c r="L144" s="817"/>
      <c r="M144" s="817"/>
      <c r="N144" s="828"/>
      <c r="O144" s="828"/>
      <c r="P144" s="828"/>
      <c r="Q144" s="828"/>
      <c r="R144" s="828"/>
      <c r="S144" s="828"/>
      <c r="T144" s="828"/>
      <c r="U144" s="828"/>
      <c r="V144" s="828"/>
      <c r="W144" s="828"/>
      <c r="X144" s="828"/>
      <c r="Y144" s="828"/>
      <c r="Z144" s="828"/>
      <c r="AB144" s="828"/>
      <c r="AC144" s="828"/>
      <c r="AD144" s="876"/>
      <c r="AE144" s="750"/>
      <c r="AF144" s="751"/>
      <c r="AG144" s="751"/>
      <c r="AH144" s="751"/>
      <c r="AI144" s="751"/>
      <c r="AJ144" s="751"/>
      <c r="AK144" s="751"/>
      <c r="AL144" s="751"/>
      <c r="AM144" s="751"/>
      <c r="AN144" s="751"/>
      <c r="AO144" s="751"/>
      <c r="AP144" s="751"/>
      <c r="AQ144" s="751"/>
      <c r="AR144" s="752"/>
      <c r="AS144" s="752"/>
      <c r="AT144" s="752"/>
      <c r="AU144" s="752"/>
      <c r="AV144" s="752"/>
      <c r="AW144" s="752"/>
      <c r="AX144" s="752"/>
      <c r="AY144" s="753"/>
      <c r="AZ144" s="770"/>
    </row>
    <row r="145" spans="1:52" s="770" customFormat="1" ht="12" customHeight="1">
      <c r="A145" s="753"/>
      <c r="B145" s="810"/>
      <c r="C145" s="811"/>
      <c r="D145" s="759" t="s">
        <v>3901</v>
      </c>
      <c r="E145" s="849">
        <v>12</v>
      </c>
      <c r="F145" s="820" t="s">
        <v>615</v>
      </c>
      <c r="G145" s="877"/>
      <c r="H145" s="799"/>
      <c r="I145" s="799"/>
      <c r="J145" s="821"/>
      <c r="K145" s="753"/>
      <c r="L145" s="753"/>
      <c r="M145" s="753"/>
      <c r="N145" s="753"/>
      <c r="O145" s="753"/>
      <c r="P145" s="753"/>
      <c r="Q145" s="753"/>
      <c r="R145" s="799"/>
      <c r="S145" s="799"/>
      <c r="T145" s="799"/>
      <c r="U145" s="799"/>
      <c r="V145" s="799"/>
      <c r="W145" s="799"/>
      <c r="X145" s="799"/>
      <c r="Y145" s="799"/>
      <c r="Z145" s="799"/>
      <c r="AA145" s="799"/>
      <c r="AB145" s="799"/>
      <c r="AC145" s="799"/>
      <c r="AD145" s="799"/>
      <c r="AE145" s="750"/>
      <c r="AF145" s="751"/>
      <c r="AG145" s="751"/>
      <c r="AH145" s="751"/>
      <c r="AI145" s="751"/>
      <c r="AJ145" s="751"/>
      <c r="AK145" s="751"/>
      <c r="AL145" s="751"/>
      <c r="AM145" s="751"/>
      <c r="AN145" s="751"/>
      <c r="AO145" s="751"/>
      <c r="AP145" s="751"/>
      <c r="AQ145" s="751"/>
      <c r="AR145" s="752"/>
      <c r="AS145" s="752"/>
      <c r="AT145" s="752"/>
      <c r="AU145" s="752"/>
      <c r="AV145" s="752"/>
      <c r="AW145" s="752"/>
      <c r="AX145" s="752"/>
      <c r="AY145" s="753"/>
    </row>
    <row r="146" spans="1:52" s="770" customFormat="1" ht="12" customHeight="1">
      <c r="A146" s="753"/>
      <c r="B146" s="810"/>
      <c r="C146" s="797"/>
      <c r="D146" s="753"/>
      <c r="E146" s="809"/>
      <c r="F146" s="753"/>
      <c r="G146" s="753"/>
      <c r="H146" s="753"/>
      <c r="I146" s="753"/>
      <c r="J146" s="753"/>
      <c r="K146" s="753"/>
      <c r="L146" s="753"/>
      <c r="M146" s="753"/>
      <c r="N146" s="753"/>
      <c r="O146" s="753"/>
      <c r="P146" s="753"/>
      <c r="Q146" s="753"/>
      <c r="R146" s="753"/>
      <c r="S146" s="753"/>
      <c r="T146" s="753"/>
      <c r="U146" s="753"/>
      <c r="V146" s="753"/>
      <c r="W146" s="753"/>
      <c r="X146" s="753"/>
      <c r="Y146" s="753"/>
      <c r="Z146" s="753"/>
      <c r="AA146" s="753"/>
      <c r="AB146" s="753"/>
      <c r="AC146" s="753"/>
      <c r="AD146" s="753"/>
      <c r="AE146" s="750"/>
      <c r="AF146" s="751"/>
      <c r="AG146" s="751"/>
      <c r="AH146" s="751"/>
      <c r="AI146" s="751"/>
      <c r="AJ146" s="751"/>
      <c r="AK146" s="751"/>
      <c r="AL146" s="751"/>
      <c r="AM146" s="751"/>
      <c r="AN146" s="751"/>
      <c r="AO146" s="751"/>
      <c r="AP146" s="751"/>
      <c r="AQ146" s="751"/>
      <c r="AR146" s="752"/>
      <c r="AS146" s="752"/>
      <c r="AT146" s="752"/>
      <c r="AU146" s="752"/>
      <c r="AV146" s="752"/>
      <c r="AW146" s="752"/>
      <c r="AX146" s="752"/>
      <c r="AY146" s="753"/>
    </row>
    <row r="147" spans="1:52" s="770" customFormat="1" ht="12" customHeight="1">
      <c r="A147" s="753"/>
      <c r="B147" s="810"/>
      <c r="C147" s="797"/>
      <c r="D147" s="753"/>
      <c r="E147" s="809"/>
      <c r="F147" s="753"/>
      <c r="G147" s="817"/>
      <c r="H147" s="817"/>
      <c r="I147" s="817"/>
      <c r="J147" s="817"/>
      <c r="K147" s="817"/>
      <c r="L147" s="817"/>
      <c r="M147" s="817"/>
      <c r="N147" s="817"/>
      <c r="O147" s="753"/>
      <c r="P147" s="753"/>
      <c r="Q147" s="753"/>
      <c r="R147" s="753"/>
      <c r="S147" s="753"/>
      <c r="T147" s="753"/>
      <c r="U147" s="753"/>
      <c r="V147" s="753"/>
      <c r="W147" s="753"/>
      <c r="X147" s="753"/>
      <c r="Y147" s="753"/>
      <c r="Z147" s="753"/>
      <c r="AA147" s="753"/>
      <c r="AB147" s="753"/>
      <c r="AC147" s="753"/>
      <c r="AD147" s="753"/>
      <c r="AE147" s="750"/>
      <c r="AF147" s="751"/>
      <c r="AG147" s="751"/>
      <c r="AH147" s="751"/>
      <c r="AI147" s="751"/>
      <c r="AJ147" s="751"/>
      <c r="AK147" s="751"/>
      <c r="AL147" s="751"/>
      <c r="AM147" s="751"/>
      <c r="AN147" s="751"/>
      <c r="AO147" s="751"/>
      <c r="AP147" s="751"/>
      <c r="AQ147" s="751"/>
      <c r="AR147" s="752"/>
      <c r="AS147" s="752"/>
      <c r="AT147" s="752"/>
      <c r="AU147" s="752"/>
      <c r="AV147" s="752"/>
      <c r="AW147" s="752"/>
      <c r="AX147" s="752"/>
      <c r="AY147" s="753"/>
    </row>
    <row r="148" spans="1:52" s="753" customFormat="1" ht="12" customHeight="1">
      <c r="B148" s="796" t="s">
        <v>3806</v>
      </c>
      <c r="C148" s="797"/>
      <c r="E148" s="798"/>
      <c r="F148" s="799"/>
      <c r="AE148" s="750"/>
      <c r="AF148" s="751"/>
      <c r="AG148" s="751"/>
      <c r="AH148" s="751"/>
      <c r="AI148" s="751"/>
      <c r="AJ148" s="751"/>
      <c r="AK148" s="751"/>
      <c r="AL148" s="751"/>
      <c r="AM148" s="751"/>
      <c r="AN148" s="751"/>
      <c r="AO148" s="751"/>
      <c r="AP148" s="751"/>
      <c r="AQ148" s="751"/>
      <c r="AR148" s="752"/>
      <c r="AS148" s="752"/>
      <c r="AT148" s="752"/>
      <c r="AU148" s="752"/>
      <c r="AV148" s="752"/>
      <c r="AW148" s="752"/>
      <c r="AX148" s="752"/>
    </row>
    <row r="149" spans="1:52" s="770" customFormat="1" ht="12" customHeight="1">
      <c r="A149" s="744"/>
      <c r="B149" s="800" t="s">
        <v>3929</v>
      </c>
      <c r="C149" s="801"/>
      <c r="D149" s="802"/>
      <c r="E149" s="803"/>
      <c r="F149" s="802"/>
      <c r="G149" s="804"/>
      <c r="H149" s="804"/>
      <c r="I149" s="804"/>
      <c r="J149" s="804"/>
      <c r="K149" s="804"/>
      <c r="L149" s="804"/>
      <c r="M149" s="804"/>
      <c r="N149" s="804"/>
      <c r="O149" s="804"/>
      <c r="P149" s="804"/>
      <c r="Q149" s="804"/>
      <c r="R149" s="804"/>
      <c r="S149" s="804"/>
      <c r="T149" s="804"/>
      <c r="U149" s="804"/>
      <c r="V149" s="804"/>
      <c r="W149" s="804"/>
      <c r="X149" s="804"/>
      <c r="Y149" s="804"/>
      <c r="Z149" s="804"/>
      <c r="AA149" s="805"/>
      <c r="AB149" s="804"/>
      <c r="AC149" s="804"/>
      <c r="AD149" s="806" t="s">
        <v>4101</v>
      </c>
      <c r="AE149" s="750"/>
      <c r="AF149" s="751"/>
      <c r="AG149" s="751"/>
      <c r="AH149" s="751"/>
      <c r="AI149" s="751"/>
      <c r="AJ149" s="751"/>
      <c r="AK149" s="751"/>
      <c r="AL149" s="751"/>
      <c r="AM149" s="751"/>
      <c r="AN149" s="751"/>
      <c r="AO149" s="751"/>
      <c r="AP149" s="751"/>
      <c r="AQ149" s="751"/>
      <c r="AR149" s="752"/>
      <c r="AS149" s="752"/>
      <c r="AT149" s="752"/>
      <c r="AU149" s="752"/>
      <c r="AV149" s="752"/>
      <c r="AW149" s="752"/>
      <c r="AX149" s="752"/>
      <c r="AY149" s="753"/>
    </row>
    <row r="150" spans="1:52" s="770" customFormat="1" ht="12" customHeight="1">
      <c r="A150" s="753"/>
      <c r="B150" s="807"/>
      <c r="C150" s="808">
        <v>7</v>
      </c>
      <c r="D150" s="753" t="s">
        <v>3930</v>
      </c>
      <c r="E150" s="809"/>
      <c r="F150" s="809"/>
      <c r="G150" s="809"/>
      <c r="H150" s="809"/>
      <c r="I150" s="809"/>
      <c r="J150" s="809"/>
      <c r="K150" s="809"/>
      <c r="L150" s="809"/>
      <c r="M150" s="809"/>
      <c r="N150" s="809"/>
      <c r="O150" s="809"/>
      <c r="P150" s="809"/>
      <c r="Q150" s="809"/>
      <c r="R150" s="809"/>
      <c r="S150" s="809"/>
      <c r="T150" s="809"/>
      <c r="U150" s="809"/>
      <c r="V150" s="809"/>
      <c r="W150" s="809"/>
      <c r="X150" s="809"/>
      <c r="Y150" s="809"/>
      <c r="Z150" s="809"/>
      <c r="AA150" s="809"/>
      <c r="AB150" s="809"/>
      <c r="AC150" s="809"/>
      <c r="AD150" s="809"/>
      <c r="AE150" s="750"/>
      <c r="AF150" s="751"/>
      <c r="AG150" s="751"/>
      <c r="AH150" s="751"/>
      <c r="AI150" s="751"/>
      <c r="AJ150" s="751"/>
      <c r="AK150" s="751"/>
      <c r="AL150" s="751"/>
      <c r="AM150" s="751"/>
      <c r="AN150" s="751"/>
      <c r="AO150" s="751"/>
      <c r="AP150" s="751"/>
      <c r="AQ150" s="751"/>
      <c r="AR150" s="752"/>
      <c r="AS150" s="752"/>
      <c r="AT150" s="752"/>
      <c r="AU150" s="752"/>
      <c r="AV150" s="752"/>
      <c r="AW150" s="752"/>
      <c r="AX150" s="752"/>
      <c r="AY150" s="753"/>
    </row>
    <row r="151" spans="1:52" s="770" customFormat="1" ht="12" customHeight="1">
      <c r="A151" s="753"/>
      <c r="B151" s="807"/>
      <c r="C151" s="797"/>
      <c r="D151" s="753"/>
      <c r="E151" s="824"/>
      <c r="F151" s="753"/>
      <c r="G151" s="759"/>
      <c r="H151" s="759"/>
      <c r="I151" s="759"/>
      <c r="J151" s="809"/>
      <c r="K151" s="809"/>
      <c r="L151" s="809"/>
      <c r="M151" s="809"/>
      <c r="N151" s="809"/>
      <c r="O151" s="809"/>
      <c r="P151" s="809"/>
      <c r="Q151" s="809"/>
      <c r="R151" s="809"/>
      <c r="S151" s="809"/>
      <c r="T151" s="809"/>
      <c r="U151" s="809"/>
      <c r="V151" s="809"/>
      <c r="W151" s="809"/>
      <c r="X151" s="817"/>
      <c r="Y151" s="817"/>
      <c r="Z151" s="817"/>
      <c r="AA151" s="809"/>
      <c r="AB151" s="809"/>
      <c r="AC151" s="809"/>
      <c r="AD151" s="809"/>
      <c r="AE151" s="750"/>
      <c r="AF151" s="751"/>
      <c r="AG151" s="751"/>
      <c r="AH151" s="751"/>
      <c r="AI151" s="751"/>
      <c r="AJ151" s="751"/>
      <c r="AK151" s="751"/>
      <c r="AL151" s="751"/>
      <c r="AM151" s="751"/>
      <c r="AN151" s="751"/>
      <c r="AO151" s="751"/>
      <c r="AP151" s="751"/>
      <c r="AQ151" s="751"/>
      <c r="AR151" s="752"/>
      <c r="AS151" s="752"/>
      <c r="AT151" s="752"/>
      <c r="AU151" s="752"/>
      <c r="AV151" s="752"/>
      <c r="AW151" s="752"/>
      <c r="AX151" s="752"/>
      <c r="AY151" s="753"/>
    </row>
    <row r="152" spans="1:52" s="770" customFormat="1" ht="12" customHeight="1">
      <c r="A152" s="753"/>
      <c r="B152" s="807"/>
      <c r="C152" s="797"/>
      <c r="D152" s="753"/>
      <c r="E152" s="824"/>
      <c r="F152" s="878"/>
      <c r="G152" s="799" t="s">
        <v>3931</v>
      </c>
      <c r="H152" s="759"/>
      <c r="I152" s="875" t="s">
        <v>3932</v>
      </c>
      <c r="J152" s="809"/>
      <c r="K152" s="809"/>
      <c r="L152" s="809"/>
      <c r="M152" s="809"/>
      <c r="N152" s="809"/>
      <c r="O152" s="809"/>
      <c r="P152" s="809"/>
      <c r="Q152" s="809"/>
      <c r="R152" s="809"/>
      <c r="S152" s="809"/>
      <c r="T152" s="809"/>
      <c r="U152" s="809"/>
      <c r="V152" s="809"/>
      <c r="W152" s="809"/>
      <c r="X152" s="817"/>
      <c r="Y152" s="817"/>
      <c r="Z152" s="817"/>
      <c r="AA152" s="809"/>
      <c r="AB152" s="809"/>
      <c r="AC152" s="809"/>
      <c r="AD152" s="809"/>
      <c r="AE152" s="750"/>
      <c r="AF152" s="751"/>
      <c r="AG152" s="751"/>
      <c r="AH152" s="751"/>
      <c r="AI152" s="751"/>
      <c r="AJ152" s="751"/>
      <c r="AK152" s="751"/>
      <c r="AL152" s="751"/>
      <c r="AM152" s="751"/>
      <c r="AN152" s="751"/>
      <c r="AO152" s="751"/>
      <c r="AP152" s="751"/>
      <c r="AQ152" s="751"/>
      <c r="AR152" s="752"/>
      <c r="AS152" s="752"/>
      <c r="AT152" s="752"/>
      <c r="AU152" s="752"/>
      <c r="AV152" s="752"/>
      <c r="AW152" s="752"/>
      <c r="AX152" s="752"/>
      <c r="AY152" s="753"/>
    </row>
    <row r="153" spans="1:52" s="770" customFormat="1" ht="12" customHeight="1">
      <c r="A153" s="753"/>
      <c r="B153" s="807"/>
      <c r="C153" s="797"/>
      <c r="D153" s="753"/>
      <c r="E153" s="824"/>
      <c r="F153" s="753"/>
      <c r="G153" s="759"/>
      <c r="H153" s="759"/>
      <c r="I153" s="759"/>
      <c r="J153" s="809"/>
      <c r="K153" s="809"/>
      <c r="L153" s="809"/>
      <c r="M153" s="809"/>
      <c r="N153" s="809"/>
      <c r="O153" s="809"/>
      <c r="P153" s="809"/>
      <c r="Q153" s="809"/>
      <c r="R153" s="809"/>
      <c r="S153" s="809"/>
      <c r="T153" s="809"/>
      <c r="U153" s="809"/>
      <c r="V153" s="809"/>
      <c r="W153" s="809"/>
      <c r="X153" s="817"/>
      <c r="Y153" s="817"/>
      <c r="Z153" s="817"/>
      <c r="AA153" s="809"/>
      <c r="AB153" s="809"/>
      <c r="AC153" s="809"/>
      <c r="AD153" s="809"/>
      <c r="AE153" s="750"/>
      <c r="AF153" s="751"/>
      <c r="AG153" s="751"/>
      <c r="AH153" s="751"/>
      <c r="AI153" s="751"/>
      <c r="AJ153" s="751"/>
      <c r="AK153" s="751"/>
      <c r="AL153" s="751"/>
      <c r="AM153" s="751"/>
      <c r="AN153" s="751"/>
      <c r="AO153" s="751"/>
      <c r="AP153" s="751"/>
      <c r="AQ153" s="751"/>
      <c r="AR153" s="752"/>
      <c r="AS153" s="752"/>
      <c r="AT153" s="752"/>
      <c r="AU153" s="752"/>
      <c r="AV153" s="752"/>
      <c r="AW153" s="752"/>
      <c r="AX153" s="752"/>
      <c r="AY153" s="753"/>
    </row>
    <row r="154" spans="1:52" s="770" customFormat="1" ht="12" customHeight="1">
      <c r="A154" s="753"/>
      <c r="B154" s="879"/>
      <c r="C154" s="833"/>
      <c r="D154" s="753"/>
      <c r="E154" s="809"/>
      <c r="F154" s="809"/>
      <c r="G154" s="809"/>
      <c r="H154" s="809"/>
      <c r="I154" s="809"/>
      <c r="J154" s="809"/>
      <c r="K154" s="809"/>
      <c r="L154" s="809"/>
      <c r="M154" s="809"/>
      <c r="N154" s="809"/>
      <c r="O154" s="809"/>
      <c r="P154" s="809"/>
      <c r="Q154" s="809"/>
      <c r="R154" s="809"/>
      <c r="S154" s="809"/>
      <c r="T154" s="809"/>
      <c r="U154" s="809"/>
      <c r="V154" s="809"/>
      <c r="W154" s="809"/>
      <c r="X154" s="809"/>
      <c r="Y154" s="809"/>
      <c r="Z154" s="809"/>
      <c r="AA154" s="809"/>
      <c r="AB154" s="809"/>
      <c r="AC154" s="809"/>
      <c r="AD154" s="809"/>
      <c r="AE154" s="750"/>
      <c r="AF154" s="751"/>
      <c r="AG154" s="751"/>
      <c r="AH154" s="751"/>
      <c r="AI154" s="751"/>
      <c r="AJ154" s="751"/>
      <c r="AK154" s="751"/>
      <c r="AL154" s="751"/>
      <c r="AM154" s="751"/>
      <c r="AN154" s="751"/>
      <c r="AO154" s="751"/>
      <c r="AP154" s="751"/>
      <c r="AQ154" s="751"/>
      <c r="AR154" s="752"/>
      <c r="AS154" s="752"/>
      <c r="AT154" s="752"/>
      <c r="AU154" s="752"/>
      <c r="AV154" s="752"/>
      <c r="AW154" s="752"/>
      <c r="AX154" s="752"/>
      <c r="AY154" s="753"/>
    </row>
    <row r="155" spans="1:52" s="881" customFormat="1" ht="12.9" customHeight="1">
      <c r="A155" s="880"/>
      <c r="B155" s="879" t="s">
        <v>4102</v>
      </c>
      <c r="D155" s="880"/>
      <c r="E155" s="882"/>
      <c r="F155" s="883"/>
      <c r="AE155" s="750"/>
      <c r="AF155" s="884"/>
      <c r="AG155" s="884"/>
      <c r="AH155" s="884"/>
      <c r="AI155" s="884"/>
      <c r="AJ155" s="884"/>
      <c r="AK155" s="884"/>
      <c r="AL155" s="884"/>
      <c r="AM155" s="884"/>
      <c r="AN155" s="884"/>
      <c r="AO155" s="884"/>
      <c r="AP155" s="884"/>
      <c r="AQ155" s="884"/>
      <c r="AR155" s="884"/>
      <c r="AS155" s="884"/>
      <c r="AT155" s="884"/>
      <c r="AU155" s="884"/>
      <c r="AV155" s="884"/>
      <c r="AW155" s="884"/>
      <c r="AX155" s="752"/>
      <c r="AY155" s="753"/>
    </row>
    <row r="156" spans="1:52" s="812" customFormat="1" ht="12.9" customHeight="1">
      <c r="B156" s="800" t="s">
        <v>3933</v>
      </c>
      <c r="C156" s="801"/>
      <c r="D156" s="863"/>
      <c r="E156" s="864"/>
      <c r="F156" s="863"/>
      <c r="G156" s="865"/>
      <c r="H156" s="865"/>
      <c r="I156" s="865"/>
      <c r="J156" s="865"/>
      <c r="K156" s="865"/>
      <c r="L156" s="865"/>
      <c r="M156" s="865"/>
      <c r="N156" s="865"/>
      <c r="O156" s="865"/>
      <c r="P156" s="865"/>
      <c r="Q156" s="865"/>
      <c r="R156" s="865"/>
      <c r="S156" s="865"/>
      <c r="T156" s="865"/>
      <c r="U156" s="865"/>
      <c r="V156" s="865"/>
      <c r="W156" s="865"/>
      <c r="X156" s="865"/>
      <c r="Y156" s="865"/>
      <c r="Z156" s="865"/>
      <c r="AA156" s="865"/>
      <c r="AB156" s="865"/>
      <c r="AC156" s="865"/>
      <c r="AD156" s="806" t="s">
        <v>568</v>
      </c>
      <c r="AE156" s="750"/>
      <c r="AF156" s="751"/>
      <c r="AG156" s="751"/>
      <c r="AH156" s="751"/>
      <c r="AI156" s="751"/>
      <c r="AJ156" s="751"/>
      <c r="AK156" s="751"/>
      <c r="AL156" s="751"/>
      <c r="AM156" s="751"/>
      <c r="AN156" s="751"/>
      <c r="AO156" s="751"/>
      <c r="AP156" s="751"/>
      <c r="AQ156" s="751"/>
      <c r="AR156" s="752"/>
      <c r="AS156" s="752"/>
      <c r="AT156" s="752"/>
      <c r="AU156" s="752"/>
      <c r="AV156" s="752"/>
      <c r="AW156" s="752"/>
      <c r="AX156" s="752"/>
      <c r="AY156" s="753"/>
      <c r="AZ156" s="770"/>
    </row>
    <row r="157" spans="1:52" s="812" customFormat="1" ht="12.9" customHeight="1">
      <c r="B157" s="866"/>
      <c r="C157" s="808">
        <v>8</v>
      </c>
      <c r="D157" s="753" t="s">
        <v>3934</v>
      </c>
      <c r="E157" s="828"/>
      <c r="F157" s="828"/>
      <c r="G157" s="809"/>
      <c r="H157" s="809"/>
      <c r="I157" s="809"/>
      <c r="J157" s="809"/>
      <c r="K157" s="809"/>
      <c r="L157" s="809"/>
      <c r="M157" s="809"/>
      <c r="N157" s="828"/>
      <c r="O157" s="828"/>
      <c r="P157" s="828"/>
      <c r="Q157" s="828"/>
      <c r="Z157" s="818"/>
      <c r="AE157" s="750"/>
      <c r="AF157" s="751"/>
      <c r="AG157" s="751"/>
      <c r="AH157" s="751"/>
      <c r="AI157" s="751"/>
      <c r="AJ157" s="751"/>
      <c r="AK157" s="751"/>
      <c r="AL157" s="751"/>
      <c r="AM157" s="751"/>
      <c r="AN157" s="751"/>
      <c r="AO157" s="751"/>
      <c r="AP157" s="751"/>
      <c r="AQ157" s="751"/>
      <c r="AR157" s="752"/>
      <c r="AS157" s="752"/>
      <c r="AT157" s="752"/>
      <c r="AU157" s="752"/>
      <c r="AV157" s="752"/>
      <c r="AW157" s="752"/>
      <c r="AX157" s="752"/>
      <c r="AY157" s="753"/>
      <c r="AZ157" s="770"/>
    </row>
    <row r="158" spans="1:52" s="812" customFormat="1" ht="12.9" customHeight="1">
      <c r="B158" s="867"/>
      <c r="C158" s="797"/>
      <c r="D158" s="760"/>
      <c r="E158" s="868"/>
      <c r="F158" s="760"/>
      <c r="G158" s="809"/>
      <c r="H158" s="809"/>
      <c r="I158" s="809"/>
      <c r="J158" s="809"/>
      <c r="K158" s="809"/>
      <c r="L158" s="809"/>
      <c r="M158" s="809"/>
      <c r="N158" s="828"/>
      <c r="O158" s="828"/>
      <c r="P158" s="828"/>
      <c r="Q158" s="828"/>
      <c r="Z158" s="818"/>
      <c r="AE158" s="750"/>
      <c r="AF158" s="751"/>
      <c r="AG158" s="751"/>
      <c r="AH158" s="751"/>
      <c r="AI158" s="751"/>
      <c r="AJ158" s="751"/>
      <c r="AK158" s="751"/>
      <c r="AL158" s="751"/>
      <c r="AM158" s="751"/>
      <c r="AN158" s="751"/>
      <c r="AO158" s="751"/>
      <c r="AP158" s="751"/>
      <c r="AQ158" s="751"/>
      <c r="AR158" s="752"/>
      <c r="AS158" s="752"/>
      <c r="AT158" s="752"/>
      <c r="AU158" s="752"/>
      <c r="AV158" s="752"/>
      <c r="AW158" s="752"/>
      <c r="AX158" s="752"/>
      <c r="AY158" s="753"/>
      <c r="AZ158" s="770"/>
    </row>
    <row r="159" spans="1:52" s="869" customFormat="1" ht="12.9" customHeight="1">
      <c r="B159" s="870"/>
      <c r="C159" s="859"/>
      <c r="D159" s="759" t="s">
        <v>3809</v>
      </c>
      <c r="E159" s="849">
        <v>1</v>
      </c>
      <c r="F159" s="885" t="s">
        <v>3935</v>
      </c>
      <c r="G159" s="885"/>
      <c r="H159" s="885"/>
      <c r="I159" s="885"/>
      <c r="J159" s="885"/>
      <c r="K159" s="885"/>
      <c r="L159" s="885"/>
      <c r="M159" s="885"/>
      <c r="N159" s="760"/>
      <c r="O159" s="872"/>
      <c r="P159" s="872"/>
      <c r="AE159" s="750"/>
      <c r="AF159" s="751"/>
      <c r="AG159" s="751"/>
      <c r="AH159" s="751"/>
      <c r="AI159" s="751"/>
      <c r="AJ159" s="751"/>
      <c r="AK159" s="751"/>
      <c r="AL159" s="751"/>
      <c r="AM159" s="751"/>
      <c r="AN159" s="751"/>
      <c r="AO159" s="751"/>
      <c r="AP159" s="751"/>
      <c r="AQ159" s="751"/>
      <c r="AR159" s="752"/>
      <c r="AS159" s="752"/>
      <c r="AT159" s="752"/>
      <c r="AU159" s="752"/>
      <c r="AV159" s="752"/>
      <c r="AW159" s="752"/>
      <c r="AX159" s="752"/>
      <c r="AY159" s="753"/>
      <c r="AZ159" s="770"/>
    </row>
    <row r="160" spans="1:52" s="869" customFormat="1" ht="12.9" customHeight="1">
      <c r="B160" s="870"/>
      <c r="C160" s="748"/>
      <c r="D160" s="759" t="s">
        <v>3809</v>
      </c>
      <c r="E160" s="849">
        <v>2</v>
      </c>
      <c r="F160" s="885" t="s">
        <v>3936</v>
      </c>
      <c r="G160" s="885"/>
      <c r="H160" s="885"/>
      <c r="I160" s="885"/>
      <c r="J160" s="885"/>
      <c r="K160" s="885"/>
      <c r="L160" s="885"/>
      <c r="M160" s="885"/>
      <c r="N160" s="760"/>
      <c r="O160" s="872"/>
      <c r="P160" s="872"/>
      <c r="AE160" s="750"/>
      <c r="AF160" s="751"/>
      <c r="AG160" s="751"/>
      <c r="AH160" s="751"/>
      <c r="AI160" s="751"/>
      <c r="AJ160" s="751"/>
      <c r="AK160" s="751"/>
      <c r="AL160" s="751"/>
      <c r="AM160" s="751"/>
      <c r="AN160" s="751"/>
      <c r="AO160" s="751"/>
      <c r="AP160" s="751"/>
      <c r="AQ160" s="751"/>
      <c r="AR160" s="752"/>
      <c r="AS160" s="752"/>
      <c r="AT160" s="752"/>
      <c r="AU160" s="752"/>
      <c r="AV160" s="752"/>
      <c r="AW160" s="752"/>
      <c r="AX160" s="752"/>
      <c r="AY160" s="753"/>
      <c r="AZ160" s="770"/>
    </row>
    <row r="161" spans="1:52" s="869" customFormat="1" ht="12.9" customHeight="1">
      <c r="B161" s="870"/>
      <c r="C161" s="748"/>
      <c r="D161" s="759" t="s">
        <v>3809</v>
      </c>
      <c r="E161" s="849">
        <v>3</v>
      </c>
      <c r="F161" s="885" t="s">
        <v>3937</v>
      </c>
      <c r="G161" s="885"/>
      <c r="H161" s="885"/>
      <c r="I161" s="885"/>
      <c r="J161" s="885"/>
      <c r="K161" s="885"/>
      <c r="L161" s="885"/>
      <c r="M161" s="885"/>
      <c r="N161" s="760"/>
      <c r="O161" s="872"/>
      <c r="P161" s="872"/>
      <c r="AE161" s="750"/>
      <c r="AF161" s="751"/>
      <c r="AG161" s="751"/>
      <c r="AH161" s="751"/>
      <c r="AI161" s="751"/>
      <c r="AJ161" s="751"/>
      <c r="AK161" s="751"/>
      <c r="AL161" s="751"/>
      <c r="AM161" s="751"/>
      <c r="AN161" s="751"/>
      <c r="AO161" s="751"/>
      <c r="AP161" s="751"/>
      <c r="AQ161" s="751"/>
      <c r="AR161" s="752"/>
      <c r="AS161" s="752"/>
      <c r="AT161" s="752"/>
      <c r="AU161" s="752"/>
      <c r="AV161" s="752"/>
      <c r="AW161" s="752"/>
      <c r="AX161" s="752"/>
      <c r="AY161" s="753"/>
      <c r="AZ161" s="770"/>
    </row>
    <row r="162" spans="1:52" s="770" customFormat="1" ht="12" customHeight="1">
      <c r="A162" s="753"/>
      <c r="B162" s="810"/>
      <c r="C162" s="811"/>
      <c r="D162" s="759" t="s">
        <v>3809</v>
      </c>
      <c r="E162" s="849">
        <v>4</v>
      </c>
      <c r="F162" s="820" t="s">
        <v>3938</v>
      </c>
      <c r="G162" s="820"/>
      <c r="H162" s="820"/>
      <c r="I162" s="820"/>
      <c r="J162" s="820"/>
      <c r="K162" s="820"/>
      <c r="L162" s="820"/>
      <c r="M162" s="820"/>
      <c r="N162" s="830" t="s">
        <v>3939</v>
      </c>
      <c r="O162" s="753"/>
      <c r="P162" s="753"/>
      <c r="Q162" s="753"/>
      <c r="R162" s="799"/>
      <c r="S162" s="799"/>
      <c r="T162" s="799"/>
      <c r="U162" s="799"/>
      <c r="V162" s="799"/>
      <c r="W162" s="799"/>
      <c r="X162" s="799"/>
      <c r="Y162" s="799"/>
      <c r="Z162" s="799"/>
      <c r="AA162" s="799"/>
      <c r="AB162" s="799"/>
      <c r="AC162" s="799"/>
      <c r="AD162" s="799"/>
      <c r="AE162" s="750"/>
      <c r="AF162" s="751"/>
      <c r="AG162" s="751"/>
      <c r="AH162" s="751"/>
      <c r="AI162" s="751"/>
      <c r="AJ162" s="751"/>
      <c r="AK162" s="751"/>
      <c r="AL162" s="751"/>
      <c r="AM162" s="751"/>
      <c r="AN162" s="751"/>
      <c r="AO162" s="751"/>
      <c r="AP162" s="751"/>
      <c r="AQ162" s="751"/>
      <c r="AR162" s="752"/>
      <c r="AS162" s="752"/>
      <c r="AT162" s="752"/>
      <c r="AU162" s="752"/>
      <c r="AV162" s="752"/>
      <c r="AW162" s="752"/>
      <c r="AX162" s="752"/>
      <c r="AY162" s="753"/>
    </row>
    <row r="163" spans="1:52" s="770" customFormat="1" ht="12" customHeight="1">
      <c r="A163" s="753"/>
      <c r="B163" s="810"/>
      <c r="C163" s="811"/>
      <c r="D163" s="759" t="s">
        <v>3809</v>
      </c>
      <c r="E163" s="849">
        <v>5</v>
      </c>
      <c r="F163" s="820" t="s">
        <v>3940</v>
      </c>
      <c r="G163" s="820"/>
      <c r="H163" s="820"/>
      <c r="I163" s="820"/>
      <c r="J163" s="820"/>
      <c r="K163" s="820"/>
      <c r="L163" s="820"/>
      <c r="M163" s="820"/>
      <c r="N163" s="830" t="s">
        <v>3939</v>
      </c>
      <c r="O163" s="753"/>
      <c r="P163" s="753"/>
      <c r="Q163" s="753"/>
      <c r="R163" s="799"/>
      <c r="S163" s="799"/>
      <c r="T163" s="799"/>
      <c r="U163" s="799"/>
      <c r="V163" s="799"/>
      <c r="W163" s="799"/>
      <c r="X163" s="799"/>
      <c r="Y163" s="799"/>
      <c r="Z163" s="799"/>
      <c r="AA163" s="799"/>
      <c r="AB163" s="799"/>
      <c r="AC163" s="799"/>
      <c r="AD163" s="799"/>
      <c r="AE163" s="750"/>
      <c r="AF163" s="751"/>
      <c r="AG163" s="751"/>
      <c r="AH163" s="751"/>
      <c r="AI163" s="751"/>
      <c r="AJ163" s="751"/>
      <c r="AK163" s="751"/>
      <c r="AL163" s="751"/>
      <c r="AM163" s="751"/>
      <c r="AN163" s="751"/>
      <c r="AO163" s="751"/>
      <c r="AP163" s="751"/>
      <c r="AQ163" s="751"/>
      <c r="AR163" s="752"/>
      <c r="AS163" s="752"/>
      <c r="AT163" s="752"/>
      <c r="AU163" s="752"/>
      <c r="AV163" s="752"/>
      <c r="AW163" s="752"/>
      <c r="AX163" s="752"/>
      <c r="AY163" s="753"/>
    </row>
    <row r="164" spans="1:52" s="770" customFormat="1" ht="12" customHeight="1">
      <c r="A164" s="753"/>
      <c r="B164" s="810"/>
      <c r="C164" s="811"/>
      <c r="D164" s="759" t="s">
        <v>3809</v>
      </c>
      <c r="E164" s="849">
        <v>6</v>
      </c>
      <c r="F164" s="820" t="s">
        <v>3941</v>
      </c>
      <c r="G164" s="820"/>
      <c r="H164" s="820"/>
      <c r="I164" s="820"/>
      <c r="J164" s="820"/>
      <c r="K164" s="820"/>
      <c r="L164" s="820"/>
      <c r="M164" s="820"/>
      <c r="N164" s="830" t="s">
        <v>3939</v>
      </c>
      <c r="O164" s="753"/>
      <c r="P164" s="753"/>
      <c r="Q164" s="753"/>
      <c r="R164" s="799"/>
      <c r="S164" s="799"/>
      <c r="T164" s="799"/>
      <c r="U164" s="799"/>
      <c r="V164" s="799"/>
      <c r="W164" s="799"/>
      <c r="X164" s="799"/>
      <c r="Y164" s="799"/>
      <c r="Z164" s="799"/>
      <c r="AA164" s="799"/>
      <c r="AB164" s="799"/>
      <c r="AC164" s="799"/>
      <c r="AD164" s="799"/>
      <c r="AE164" s="750"/>
      <c r="AF164" s="751"/>
      <c r="AG164" s="751"/>
      <c r="AH164" s="751"/>
      <c r="AI164" s="751"/>
      <c r="AJ164" s="751"/>
      <c r="AK164" s="751"/>
      <c r="AL164" s="751"/>
      <c r="AM164" s="751"/>
      <c r="AN164" s="751"/>
      <c r="AO164" s="751"/>
      <c r="AP164" s="751"/>
      <c r="AQ164" s="751"/>
      <c r="AR164" s="752"/>
      <c r="AS164" s="752"/>
      <c r="AT164" s="752"/>
      <c r="AU164" s="752"/>
      <c r="AV164" s="752"/>
      <c r="AW164" s="752"/>
      <c r="AX164" s="752"/>
      <c r="AY164" s="753"/>
    </row>
    <row r="165" spans="1:52" s="770" customFormat="1" ht="12" customHeight="1">
      <c r="A165" s="753"/>
      <c r="B165" s="810"/>
      <c r="C165" s="797"/>
      <c r="D165" s="753"/>
      <c r="E165" s="809"/>
      <c r="F165" s="753"/>
      <c r="G165" s="753"/>
      <c r="H165" s="753"/>
      <c r="I165" s="753"/>
      <c r="J165" s="753"/>
      <c r="K165" s="753"/>
      <c r="L165" s="753"/>
      <c r="M165" s="753"/>
      <c r="N165" s="753"/>
      <c r="O165" s="753"/>
      <c r="P165" s="753"/>
      <c r="Q165" s="753"/>
      <c r="R165" s="753"/>
      <c r="S165" s="753"/>
      <c r="T165" s="753"/>
      <c r="U165" s="753"/>
      <c r="V165" s="753"/>
      <c r="W165" s="753"/>
      <c r="X165" s="753"/>
      <c r="Y165" s="753"/>
      <c r="Z165" s="753"/>
      <c r="AA165" s="753"/>
      <c r="AB165" s="753"/>
      <c r="AC165" s="753"/>
      <c r="AD165" s="753"/>
      <c r="AE165" s="750"/>
      <c r="AF165" s="751"/>
      <c r="AG165" s="751"/>
      <c r="AH165" s="751"/>
      <c r="AI165" s="751"/>
      <c r="AJ165" s="751"/>
      <c r="AK165" s="751"/>
      <c r="AL165" s="751"/>
      <c r="AM165" s="751"/>
      <c r="AN165" s="751"/>
      <c r="AO165" s="751"/>
      <c r="AP165" s="751"/>
      <c r="AQ165" s="751"/>
      <c r="AR165" s="752"/>
      <c r="AS165" s="752"/>
      <c r="AT165" s="752"/>
      <c r="AU165" s="752"/>
      <c r="AV165" s="752"/>
      <c r="AW165" s="752"/>
      <c r="AX165" s="752"/>
      <c r="AY165" s="753"/>
    </row>
    <row r="166" spans="1:52" s="770" customFormat="1" ht="12" customHeight="1">
      <c r="A166" s="753"/>
      <c r="B166" s="810"/>
      <c r="C166" s="797"/>
      <c r="D166" s="753"/>
      <c r="E166" s="809"/>
      <c r="F166" s="753"/>
      <c r="G166" s="817"/>
      <c r="H166" s="817"/>
      <c r="I166" s="817"/>
      <c r="J166" s="817"/>
      <c r="K166" s="817"/>
      <c r="L166" s="817"/>
      <c r="M166" s="817"/>
      <c r="N166" s="817"/>
      <c r="O166" s="753"/>
      <c r="P166" s="753"/>
      <c r="Q166" s="753"/>
      <c r="R166" s="753"/>
      <c r="S166" s="753"/>
      <c r="T166" s="753"/>
      <c r="U166" s="753"/>
      <c r="V166" s="753"/>
      <c r="W166" s="753"/>
      <c r="X166" s="753"/>
      <c r="Y166" s="753"/>
      <c r="Z166" s="753"/>
      <c r="AA166" s="753"/>
      <c r="AB166" s="753"/>
      <c r="AC166" s="753"/>
      <c r="AD166" s="753"/>
      <c r="AE166" s="750"/>
      <c r="AF166" s="751"/>
      <c r="AG166" s="751"/>
      <c r="AH166" s="751"/>
      <c r="AI166" s="751"/>
      <c r="AJ166" s="751"/>
      <c r="AK166" s="751"/>
      <c r="AL166" s="751"/>
      <c r="AM166" s="751"/>
      <c r="AN166" s="751"/>
      <c r="AO166" s="751"/>
      <c r="AP166" s="751"/>
      <c r="AQ166" s="751"/>
      <c r="AR166" s="752"/>
      <c r="AS166" s="752"/>
      <c r="AT166" s="752"/>
      <c r="AU166" s="752"/>
      <c r="AV166" s="752"/>
      <c r="AW166" s="752"/>
      <c r="AX166" s="752"/>
      <c r="AY166" s="753"/>
    </row>
    <row r="167" spans="1:52" s="881" customFormat="1" ht="12.9" customHeight="1">
      <c r="A167" s="880"/>
      <c r="B167" s="879" t="s">
        <v>4103</v>
      </c>
      <c r="D167" s="880"/>
      <c r="E167" s="882"/>
      <c r="F167" s="883"/>
      <c r="AE167" s="750"/>
      <c r="AF167" s="884"/>
      <c r="AG167" s="884"/>
      <c r="AH167" s="884"/>
      <c r="AI167" s="884"/>
      <c r="AJ167" s="884"/>
      <c r="AK167" s="884"/>
      <c r="AL167" s="884"/>
      <c r="AM167" s="884"/>
      <c r="AN167" s="884"/>
      <c r="AO167" s="884"/>
      <c r="AP167" s="884"/>
      <c r="AQ167" s="884"/>
      <c r="AR167" s="884"/>
      <c r="AS167" s="884"/>
      <c r="AT167" s="884"/>
      <c r="AU167" s="884"/>
      <c r="AV167" s="884"/>
      <c r="AW167" s="884"/>
      <c r="AX167" s="752"/>
      <c r="AY167" s="753"/>
    </row>
    <row r="168" spans="1:52" s="770" customFormat="1" ht="12" customHeight="1">
      <c r="A168" s="744"/>
      <c r="B168" s="800" t="s">
        <v>3942</v>
      </c>
      <c r="C168" s="801"/>
      <c r="D168" s="802"/>
      <c r="E168" s="803"/>
      <c r="F168" s="802"/>
      <c r="G168" s="804"/>
      <c r="H168" s="804"/>
      <c r="I168" s="804"/>
      <c r="J168" s="804"/>
      <c r="K168" s="804"/>
      <c r="L168" s="804"/>
      <c r="M168" s="804"/>
      <c r="N168" s="804"/>
      <c r="O168" s="804"/>
      <c r="P168" s="804"/>
      <c r="Q168" s="804"/>
      <c r="R168" s="804"/>
      <c r="S168" s="804"/>
      <c r="T168" s="804"/>
      <c r="U168" s="804"/>
      <c r="V168" s="804"/>
      <c r="W168" s="804"/>
      <c r="X168" s="804"/>
      <c r="Y168" s="804"/>
      <c r="Z168" s="804"/>
      <c r="AA168" s="805"/>
      <c r="AB168" s="804"/>
      <c r="AC168" s="804"/>
      <c r="AD168" s="806" t="s">
        <v>613</v>
      </c>
      <c r="AE168" s="750"/>
      <c r="AF168" s="751"/>
      <c r="AG168" s="751"/>
      <c r="AH168" s="751"/>
      <c r="AI168" s="751"/>
      <c r="AJ168" s="751"/>
      <c r="AK168" s="751"/>
      <c r="AL168" s="751"/>
      <c r="AM168" s="751"/>
      <c r="AN168" s="751"/>
      <c r="AO168" s="751"/>
      <c r="AP168" s="751"/>
      <c r="AQ168" s="751"/>
      <c r="AR168" s="752"/>
      <c r="AS168" s="752"/>
      <c r="AT168" s="752"/>
      <c r="AU168" s="752"/>
      <c r="AV168" s="752"/>
      <c r="AW168" s="752"/>
      <c r="AX168" s="752"/>
      <c r="AY168" s="753"/>
    </row>
    <row r="169" spans="1:52" s="770" customFormat="1" ht="12" customHeight="1">
      <c r="A169" s="753"/>
      <c r="B169" s="886"/>
      <c r="C169" s="808">
        <v>9</v>
      </c>
      <c r="D169" s="887" t="s">
        <v>3943</v>
      </c>
      <c r="E169" s="888"/>
      <c r="F169" s="888"/>
      <c r="G169" s="888"/>
      <c r="H169" s="888"/>
      <c r="I169" s="888"/>
      <c r="J169" s="888"/>
      <c r="K169" s="888"/>
      <c r="L169" s="888"/>
      <c r="M169" s="888"/>
      <c r="N169" s="888"/>
      <c r="O169" s="888"/>
      <c r="P169" s="888"/>
      <c r="Q169" s="888"/>
      <c r="R169" s="889"/>
      <c r="S169" s="889"/>
      <c r="T169" s="889"/>
      <c r="U169" s="889"/>
      <c r="V169" s="889"/>
      <c r="W169" s="889"/>
      <c r="X169" s="889"/>
      <c r="Y169" s="889"/>
      <c r="Z169" s="889"/>
      <c r="AA169" s="889"/>
      <c r="AB169" s="889"/>
      <c r="AC169" s="889"/>
      <c r="AD169" s="890"/>
      <c r="AE169" s="750"/>
      <c r="AF169" s="751"/>
      <c r="AG169" s="751"/>
      <c r="AH169" s="751"/>
      <c r="AI169" s="751"/>
      <c r="AJ169" s="751"/>
      <c r="AK169" s="751"/>
      <c r="AL169" s="751"/>
      <c r="AM169" s="751"/>
      <c r="AN169" s="751"/>
      <c r="AO169" s="751"/>
      <c r="AP169" s="751"/>
      <c r="AQ169" s="751"/>
      <c r="AR169" s="752"/>
      <c r="AS169" s="752"/>
      <c r="AT169" s="752"/>
      <c r="AU169" s="752"/>
      <c r="AV169" s="752"/>
      <c r="AW169" s="752"/>
      <c r="AX169" s="752"/>
      <c r="AY169" s="753"/>
    </row>
    <row r="170" spans="1:52" s="770" customFormat="1" ht="12" customHeight="1">
      <c r="A170" s="753"/>
      <c r="B170" s="810"/>
      <c r="C170" s="797"/>
      <c r="D170" s="753"/>
      <c r="E170" s="809"/>
      <c r="F170" s="834"/>
      <c r="G170" s="809"/>
      <c r="H170" s="817"/>
      <c r="I170" s="817"/>
      <c r="J170" s="817"/>
      <c r="K170" s="817"/>
      <c r="L170" s="817"/>
      <c r="M170" s="817"/>
      <c r="N170" s="817"/>
      <c r="O170" s="809"/>
      <c r="P170" s="809"/>
      <c r="Q170" s="809"/>
      <c r="R170" s="759"/>
      <c r="S170" s="759"/>
      <c r="T170" s="759"/>
      <c r="U170" s="759"/>
      <c r="V170" s="759"/>
      <c r="W170" s="759"/>
      <c r="X170" s="759"/>
      <c r="Y170" s="759"/>
      <c r="Z170" s="759"/>
      <c r="AA170" s="759"/>
      <c r="AB170" s="759"/>
      <c r="AC170" s="759"/>
      <c r="AD170" s="759"/>
      <c r="AE170" s="750"/>
      <c r="AF170" s="751"/>
      <c r="AG170" s="751"/>
      <c r="AH170" s="751"/>
      <c r="AI170" s="751"/>
      <c r="AJ170" s="751"/>
      <c r="AK170" s="751"/>
      <c r="AL170" s="751"/>
      <c r="AM170" s="751"/>
      <c r="AN170" s="751"/>
      <c r="AO170" s="751"/>
      <c r="AP170" s="751"/>
      <c r="AQ170" s="751"/>
      <c r="AR170" s="752"/>
      <c r="AS170" s="752"/>
      <c r="AT170" s="752"/>
      <c r="AU170" s="752"/>
      <c r="AV170" s="752"/>
      <c r="AW170" s="752"/>
      <c r="AX170" s="752"/>
      <c r="AY170" s="753"/>
    </row>
    <row r="171" spans="1:52" s="770" customFormat="1" ht="12" customHeight="1">
      <c r="A171" s="753"/>
      <c r="B171" s="810"/>
      <c r="C171" s="835"/>
      <c r="D171" s="753"/>
      <c r="E171" s="852"/>
      <c r="F171" s="811"/>
      <c r="G171" s="853">
        <v>1</v>
      </c>
      <c r="H171" s="853">
        <v>2</v>
      </c>
      <c r="I171" s="825"/>
      <c r="J171" s="825"/>
      <c r="K171" s="825"/>
      <c r="L171" s="875"/>
      <c r="M171" s="817"/>
      <c r="N171" s="817"/>
      <c r="O171" s="875"/>
      <c r="Q171" s="753"/>
      <c r="R171" s="799"/>
      <c r="S171" s="799"/>
      <c r="T171" s="799"/>
      <c r="U171" s="799"/>
      <c r="V171" s="799"/>
      <c r="W171" s="799"/>
      <c r="X171" s="799"/>
      <c r="Y171" s="799"/>
      <c r="Z171" s="799"/>
      <c r="AA171" s="799"/>
      <c r="AB171" s="799"/>
      <c r="AC171" s="799"/>
      <c r="AD171" s="799"/>
      <c r="AE171" s="750"/>
      <c r="AF171" s="751"/>
      <c r="AG171" s="751"/>
      <c r="AH171" s="751"/>
      <c r="AI171" s="751"/>
      <c r="AJ171" s="751"/>
      <c r="AK171" s="751"/>
      <c r="AL171" s="751"/>
      <c r="AM171" s="751"/>
      <c r="AN171" s="751"/>
      <c r="AO171" s="751"/>
      <c r="AP171" s="751"/>
      <c r="AQ171" s="751"/>
      <c r="AR171" s="752"/>
      <c r="AS171" s="752"/>
      <c r="AT171" s="752"/>
      <c r="AU171" s="752"/>
      <c r="AV171" s="752"/>
      <c r="AW171" s="752"/>
      <c r="AX171" s="752"/>
      <c r="AY171" s="753"/>
    </row>
    <row r="172" spans="1:52" s="770" customFormat="1" ht="66" customHeight="1">
      <c r="A172" s="753"/>
      <c r="B172" s="810"/>
      <c r="C172" s="811"/>
      <c r="D172" s="811"/>
      <c r="E172" s="852"/>
      <c r="F172" s="854"/>
      <c r="G172" s="855" t="s">
        <v>3944</v>
      </c>
      <c r="H172" s="855" t="s">
        <v>3945</v>
      </c>
      <c r="I172" s="825"/>
      <c r="J172" s="825"/>
      <c r="K172" s="825"/>
      <c r="N172" s="753"/>
      <c r="O172" s="753"/>
      <c r="P172" s="753"/>
      <c r="Q172" s="753"/>
      <c r="R172" s="799"/>
      <c r="S172" s="799"/>
      <c r="T172" s="799"/>
      <c r="U172" s="799"/>
      <c r="V172" s="799"/>
      <c r="W172" s="799"/>
      <c r="X172" s="799"/>
      <c r="Y172" s="799"/>
      <c r="Z172" s="799"/>
      <c r="AA172" s="799"/>
      <c r="AB172" s="799"/>
      <c r="AC172" s="799"/>
      <c r="AD172" s="799"/>
      <c r="AE172" s="750"/>
      <c r="AF172" s="751"/>
      <c r="AG172" s="856"/>
      <c r="AH172" s="856"/>
      <c r="AI172" s="751"/>
      <c r="AJ172" s="751"/>
      <c r="AK172" s="751"/>
      <c r="AL172" s="751"/>
      <c r="AM172" s="751"/>
      <c r="AN172" s="751"/>
      <c r="AO172" s="751"/>
      <c r="AP172" s="751"/>
      <c r="AQ172" s="751"/>
      <c r="AR172" s="752"/>
      <c r="AS172" s="752"/>
      <c r="AT172" s="752"/>
      <c r="AU172" s="752"/>
      <c r="AV172" s="752"/>
      <c r="AW172" s="752"/>
      <c r="AX172" s="752"/>
      <c r="AY172" s="753"/>
    </row>
    <row r="173" spans="1:52" s="770" customFormat="1" ht="12" customHeight="1">
      <c r="A173" s="753"/>
      <c r="B173" s="810"/>
      <c r="C173" s="811"/>
      <c r="D173" s="811"/>
      <c r="E173" s="852"/>
      <c r="F173" s="857"/>
      <c r="G173" s="858" t="s">
        <v>3881</v>
      </c>
      <c r="H173" s="858" t="s">
        <v>3881</v>
      </c>
      <c r="I173" s="825"/>
      <c r="J173" s="825"/>
      <c r="K173" s="825"/>
      <c r="N173" s="753"/>
      <c r="O173" s="753"/>
      <c r="P173" s="753"/>
      <c r="Q173" s="753"/>
      <c r="R173" s="799"/>
      <c r="S173" s="799"/>
      <c r="T173" s="799"/>
      <c r="U173" s="799"/>
      <c r="V173" s="799"/>
      <c r="W173" s="799"/>
      <c r="X173" s="799"/>
      <c r="Y173" s="799"/>
      <c r="Z173" s="799"/>
      <c r="AA173" s="799"/>
      <c r="AB173" s="799"/>
      <c r="AC173" s="799"/>
      <c r="AD173" s="799"/>
      <c r="AE173" s="750"/>
      <c r="AF173" s="751"/>
      <c r="AG173" s="751"/>
      <c r="AH173" s="751"/>
      <c r="AI173" s="751"/>
      <c r="AJ173" s="751"/>
      <c r="AK173" s="751"/>
      <c r="AL173" s="751"/>
      <c r="AM173" s="751"/>
      <c r="AN173" s="751"/>
      <c r="AO173" s="751"/>
      <c r="AP173" s="751"/>
      <c r="AQ173" s="751"/>
      <c r="AR173" s="752"/>
      <c r="AS173" s="752"/>
      <c r="AT173" s="752"/>
      <c r="AU173" s="752"/>
      <c r="AV173" s="752"/>
      <c r="AW173" s="752"/>
      <c r="AX173" s="752"/>
      <c r="AY173" s="753"/>
    </row>
    <row r="174" spans="1:52" s="770" customFormat="1" ht="12" customHeight="1">
      <c r="A174" s="753"/>
      <c r="B174" s="810"/>
      <c r="C174" s="811"/>
      <c r="D174" s="749"/>
      <c r="E174" s="860">
        <v>1</v>
      </c>
      <c r="F174" s="861" t="s">
        <v>3946</v>
      </c>
      <c r="G174" s="759" t="s">
        <v>3901</v>
      </c>
      <c r="H174" s="759" t="s">
        <v>3809</v>
      </c>
      <c r="I174" s="875" t="s">
        <v>3947</v>
      </c>
      <c r="J174" s="825"/>
      <c r="K174" s="825"/>
      <c r="L174" s="817"/>
      <c r="N174" s="753"/>
      <c r="O174" s="753"/>
      <c r="P174" s="753"/>
      <c r="Q174" s="753"/>
      <c r="R174" s="799"/>
      <c r="S174" s="799"/>
      <c r="T174" s="799"/>
      <c r="U174" s="799"/>
      <c r="V174" s="799"/>
      <c r="W174" s="799"/>
      <c r="X174" s="799"/>
      <c r="Y174" s="799"/>
      <c r="Z174" s="799"/>
      <c r="AA174" s="799"/>
      <c r="AB174" s="799"/>
      <c r="AC174" s="799"/>
      <c r="AD174" s="799"/>
      <c r="AE174" s="750"/>
      <c r="AF174" s="751"/>
      <c r="AG174" s="751"/>
      <c r="AH174" s="751"/>
      <c r="AI174" s="751"/>
      <c r="AJ174" s="751"/>
      <c r="AK174" s="751"/>
      <c r="AL174" s="751"/>
      <c r="AM174" s="751"/>
      <c r="AN174" s="751"/>
      <c r="AO174" s="751"/>
      <c r="AP174" s="751"/>
      <c r="AQ174" s="751"/>
      <c r="AR174" s="752"/>
      <c r="AS174" s="752"/>
      <c r="AT174" s="752"/>
      <c r="AU174" s="752"/>
      <c r="AV174" s="752"/>
      <c r="AW174" s="752"/>
      <c r="AX174" s="752"/>
      <c r="AY174" s="753"/>
    </row>
    <row r="175" spans="1:52" s="770" customFormat="1" ht="12" customHeight="1">
      <c r="A175" s="753"/>
      <c r="B175" s="810"/>
      <c r="C175" s="811"/>
      <c r="D175" s="749"/>
      <c r="E175" s="860">
        <v>2</v>
      </c>
      <c r="F175" s="861" t="s">
        <v>3948</v>
      </c>
      <c r="G175" s="759" t="s">
        <v>3901</v>
      </c>
      <c r="H175" s="759" t="s">
        <v>3809</v>
      </c>
      <c r="I175" s="825"/>
      <c r="J175" s="825"/>
      <c r="K175" s="825"/>
      <c r="L175" s="817"/>
      <c r="N175" s="753"/>
      <c r="O175" s="753"/>
      <c r="P175" s="753"/>
      <c r="Q175" s="753"/>
      <c r="R175" s="799"/>
      <c r="S175" s="799"/>
      <c r="T175" s="799"/>
      <c r="U175" s="799"/>
      <c r="V175" s="799"/>
      <c r="W175" s="799"/>
      <c r="X175" s="799"/>
      <c r="Y175" s="799"/>
      <c r="Z175" s="799"/>
      <c r="AA175" s="799"/>
      <c r="AB175" s="799"/>
      <c r="AC175" s="799"/>
      <c r="AD175" s="799"/>
      <c r="AE175" s="750"/>
      <c r="AF175" s="751"/>
      <c r="AG175" s="751"/>
      <c r="AH175" s="751"/>
      <c r="AI175" s="751"/>
      <c r="AJ175" s="751"/>
      <c r="AK175" s="751"/>
      <c r="AL175" s="751"/>
      <c r="AM175" s="751"/>
      <c r="AN175" s="751"/>
      <c r="AO175" s="751"/>
      <c r="AP175" s="751"/>
      <c r="AQ175" s="751"/>
      <c r="AR175" s="752"/>
      <c r="AS175" s="752"/>
      <c r="AT175" s="752"/>
      <c r="AU175" s="752"/>
      <c r="AV175" s="752"/>
      <c r="AW175" s="752"/>
      <c r="AX175" s="752"/>
      <c r="AY175" s="753"/>
    </row>
    <row r="176" spans="1:52" s="770" customFormat="1" ht="12" customHeight="1">
      <c r="A176" s="753"/>
      <c r="B176" s="810"/>
      <c r="C176" s="811"/>
      <c r="D176" s="749"/>
      <c r="E176" s="860">
        <v>3</v>
      </c>
      <c r="F176" s="891" t="s">
        <v>3949</v>
      </c>
      <c r="G176" s="759" t="s">
        <v>3901</v>
      </c>
      <c r="H176" s="759" t="s">
        <v>3809</v>
      </c>
      <c r="I176" s="825"/>
      <c r="J176" s="825"/>
      <c r="K176" s="825"/>
      <c r="L176" s="817"/>
      <c r="N176" s="753"/>
      <c r="O176" s="753"/>
      <c r="P176" s="753"/>
      <c r="Q176" s="753"/>
      <c r="R176" s="799"/>
      <c r="S176" s="799"/>
      <c r="T176" s="799"/>
      <c r="U176" s="799"/>
      <c r="V176" s="799"/>
      <c r="W176" s="799"/>
      <c r="X176" s="799"/>
      <c r="Y176" s="799"/>
      <c r="Z176" s="799"/>
      <c r="AA176" s="799"/>
      <c r="AB176" s="799"/>
      <c r="AC176" s="799"/>
      <c r="AD176" s="799"/>
      <c r="AE176" s="750"/>
      <c r="AF176" s="751"/>
      <c r="AG176" s="751"/>
      <c r="AH176" s="751"/>
      <c r="AI176" s="751"/>
      <c r="AJ176" s="751"/>
      <c r="AK176" s="751"/>
      <c r="AL176" s="751"/>
      <c r="AM176" s="751"/>
      <c r="AN176" s="751"/>
      <c r="AO176" s="751"/>
      <c r="AP176" s="751"/>
      <c r="AQ176" s="751"/>
      <c r="AR176" s="752"/>
      <c r="AS176" s="752"/>
      <c r="AT176" s="752"/>
      <c r="AU176" s="752"/>
      <c r="AV176" s="752"/>
      <c r="AW176" s="752"/>
      <c r="AX176" s="752"/>
      <c r="AY176" s="753"/>
    </row>
    <row r="177" spans="1:51" s="770" customFormat="1" ht="12" customHeight="1">
      <c r="A177" s="753"/>
      <c r="B177" s="810"/>
      <c r="C177" s="811"/>
      <c r="D177" s="749"/>
      <c r="E177" s="860">
        <v>4</v>
      </c>
      <c r="F177" s="861" t="s">
        <v>3950</v>
      </c>
      <c r="G177" s="759" t="s">
        <v>3901</v>
      </c>
      <c r="H177" s="759" t="s">
        <v>3809</v>
      </c>
      <c r="I177" s="825"/>
      <c r="J177" s="825"/>
      <c r="K177" s="825"/>
      <c r="L177" s="817"/>
      <c r="N177" s="753"/>
      <c r="O177" s="753"/>
      <c r="P177" s="753"/>
      <c r="Q177" s="753"/>
      <c r="R177" s="799"/>
      <c r="S177" s="799"/>
      <c r="T177" s="799"/>
      <c r="U177" s="799"/>
      <c r="V177" s="799"/>
      <c r="W177" s="799"/>
      <c r="X177" s="799"/>
      <c r="Y177" s="799"/>
      <c r="Z177" s="799"/>
      <c r="AA177" s="799"/>
      <c r="AB177" s="799"/>
      <c r="AC177" s="799"/>
      <c r="AD177" s="799"/>
      <c r="AE177" s="750"/>
      <c r="AF177" s="751"/>
      <c r="AG177" s="751"/>
      <c r="AH177" s="751"/>
      <c r="AI177" s="751"/>
      <c r="AJ177" s="751"/>
      <c r="AK177" s="751"/>
      <c r="AL177" s="751"/>
      <c r="AM177" s="751"/>
      <c r="AN177" s="751"/>
      <c r="AO177" s="751"/>
      <c r="AP177" s="751"/>
      <c r="AQ177" s="751"/>
      <c r="AR177" s="752"/>
      <c r="AS177" s="752"/>
      <c r="AT177" s="752"/>
      <c r="AU177" s="752"/>
      <c r="AV177" s="752"/>
      <c r="AW177" s="752"/>
      <c r="AX177" s="752"/>
      <c r="AY177" s="753"/>
    </row>
    <row r="178" spans="1:51" s="770" customFormat="1" ht="12" customHeight="1">
      <c r="A178" s="753"/>
      <c r="B178" s="810"/>
      <c r="C178" s="811"/>
      <c r="D178" s="749"/>
      <c r="E178" s="860">
        <v>5</v>
      </c>
      <c r="F178" s="891" t="s">
        <v>3951</v>
      </c>
      <c r="G178" s="759" t="s">
        <v>3901</v>
      </c>
      <c r="H178" s="759" t="s">
        <v>3809</v>
      </c>
      <c r="I178" s="825"/>
      <c r="J178" s="825"/>
      <c r="K178" s="825"/>
      <c r="L178" s="817"/>
      <c r="N178" s="753"/>
      <c r="O178" s="753"/>
      <c r="P178" s="753"/>
      <c r="Q178" s="753"/>
      <c r="R178" s="799"/>
      <c r="S178" s="799"/>
      <c r="T178" s="799"/>
      <c r="U178" s="799"/>
      <c r="V178" s="799"/>
      <c r="W178" s="799"/>
      <c r="X178" s="799"/>
      <c r="Y178" s="799"/>
      <c r="Z178" s="799"/>
      <c r="AA178" s="799"/>
      <c r="AB178" s="799"/>
      <c r="AC178" s="799"/>
      <c r="AD178" s="799"/>
      <c r="AE178" s="750"/>
      <c r="AF178" s="751"/>
      <c r="AG178" s="751"/>
      <c r="AH178" s="751"/>
      <c r="AI178" s="751"/>
      <c r="AJ178" s="751"/>
      <c r="AK178" s="751"/>
      <c r="AL178" s="751"/>
      <c r="AM178" s="751"/>
      <c r="AN178" s="751"/>
      <c r="AO178" s="751"/>
      <c r="AP178" s="751"/>
      <c r="AQ178" s="751"/>
      <c r="AR178" s="752"/>
      <c r="AS178" s="752"/>
      <c r="AT178" s="752"/>
      <c r="AU178" s="752"/>
      <c r="AV178" s="752"/>
      <c r="AW178" s="752"/>
      <c r="AX178" s="752"/>
      <c r="AY178" s="753"/>
    </row>
    <row r="179" spans="1:51" s="753" customFormat="1" ht="12" customHeight="1">
      <c r="B179" s="810"/>
      <c r="C179" s="797"/>
      <c r="E179" s="860">
        <v>6</v>
      </c>
      <c r="F179" s="891" t="s">
        <v>3952</v>
      </c>
      <c r="G179" s="759" t="s">
        <v>3901</v>
      </c>
      <c r="H179" s="759" t="s">
        <v>3809</v>
      </c>
      <c r="I179" s="825"/>
      <c r="J179" s="825"/>
      <c r="K179" s="825"/>
      <c r="AE179" s="750"/>
      <c r="AF179" s="751"/>
      <c r="AG179" s="751"/>
      <c r="AH179" s="751"/>
      <c r="AI179" s="751"/>
      <c r="AJ179" s="751"/>
      <c r="AK179" s="751"/>
      <c r="AL179" s="751"/>
      <c r="AM179" s="751"/>
      <c r="AN179" s="751"/>
      <c r="AO179" s="751"/>
      <c r="AP179" s="751"/>
      <c r="AQ179" s="751"/>
      <c r="AR179" s="752"/>
      <c r="AS179" s="752"/>
      <c r="AT179" s="752"/>
      <c r="AU179" s="752"/>
      <c r="AV179" s="752"/>
      <c r="AW179" s="752"/>
      <c r="AX179" s="752"/>
    </row>
    <row r="180" spans="1:51" s="753" customFormat="1" ht="12" customHeight="1">
      <c r="B180" s="810"/>
      <c r="C180" s="797"/>
      <c r="E180" s="860">
        <v>7</v>
      </c>
      <c r="F180" s="891" t="s">
        <v>3953</v>
      </c>
      <c r="G180" s="759" t="s">
        <v>3901</v>
      </c>
      <c r="H180" s="759" t="s">
        <v>3809</v>
      </c>
      <c r="I180" s="825"/>
      <c r="J180" s="825"/>
      <c r="K180" s="825"/>
      <c r="AE180" s="750"/>
      <c r="AF180" s="751"/>
      <c r="AG180" s="751"/>
      <c r="AH180" s="751"/>
      <c r="AI180" s="751"/>
      <c r="AJ180" s="751"/>
      <c r="AK180" s="751"/>
      <c r="AL180" s="751"/>
      <c r="AM180" s="751"/>
      <c r="AN180" s="751"/>
      <c r="AO180" s="751"/>
      <c r="AP180" s="751"/>
      <c r="AQ180" s="751"/>
      <c r="AR180" s="752"/>
      <c r="AS180" s="752"/>
      <c r="AT180" s="752"/>
      <c r="AU180" s="752"/>
      <c r="AV180" s="752"/>
      <c r="AW180" s="752"/>
      <c r="AX180" s="752"/>
    </row>
    <row r="181" spans="1:51" s="770" customFormat="1" ht="12" customHeight="1">
      <c r="A181" s="753"/>
      <c r="B181" s="810"/>
      <c r="C181" s="797"/>
      <c r="D181" s="753"/>
      <c r="E181" s="860">
        <v>8</v>
      </c>
      <c r="F181" s="861" t="s">
        <v>3954</v>
      </c>
      <c r="G181" s="759" t="s">
        <v>3901</v>
      </c>
      <c r="H181" s="759" t="s">
        <v>3809</v>
      </c>
      <c r="I181" s="817"/>
      <c r="J181" s="817"/>
      <c r="K181" s="817"/>
      <c r="L181" s="817"/>
      <c r="M181" s="817"/>
      <c r="N181" s="817"/>
      <c r="O181" s="753"/>
      <c r="P181" s="753"/>
      <c r="Q181" s="753"/>
      <c r="R181" s="753"/>
      <c r="S181" s="753"/>
      <c r="T181" s="753"/>
      <c r="U181" s="753"/>
      <c r="V181" s="753"/>
      <c r="W181" s="753"/>
      <c r="X181" s="753"/>
      <c r="Y181" s="753"/>
      <c r="Z181" s="753"/>
      <c r="AA181" s="753"/>
      <c r="AB181" s="753"/>
      <c r="AC181" s="753"/>
      <c r="AD181" s="753"/>
      <c r="AE181" s="750"/>
      <c r="AF181" s="751"/>
      <c r="AG181" s="751"/>
      <c r="AH181" s="751"/>
      <c r="AI181" s="751"/>
      <c r="AJ181" s="751"/>
      <c r="AK181" s="751"/>
      <c r="AL181" s="751"/>
      <c r="AM181" s="751"/>
      <c r="AN181" s="751"/>
      <c r="AO181" s="751"/>
      <c r="AP181" s="751"/>
      <c r="AQ181" s="751"/>
      <c r="AR181" s="752"/>
      <c r="AS181" s="752"/>
      <c r="AT181" s="752"/>
      <c r="AU181" s="752"/>
      <c r="AV181" s="752"/>
      <c r="AW181" s="752"/>
      <c r="AX181" s="752"/>
      <c r="AY181" s="753"/>
    </row>
    <row r="182" spans="1:51" s="770" customFormat="1" ht="12" customHeight="1">
      <c r="A182" s="753"/>
      <c r="B182" s="810"/>
      <c r="C182" s="797"/>
      <c r="D182" s="753"/>
      <c r="E182" s="860">
        <v>9</v>
      </c>
      <c r="F182" s="891" t="s">
        <v>3955</v>
      </c>
      <c r="G182" s="759" t="s">
        <v>3901</v>
      </c>
      <c r="H182" s="759" t="s">
        <v>3809</v>
      </c>
      <c r="I182" s="817"/>
      <c r="J182" s="817"/>
      <c r="K182" s="817"/>
      <c r="L182" s="817"/>
      <c r="M182" s="817"/>
      <c r="N182" s="817"/>
      <c r="O182" s="753"/>
      <c r="P182" s="753"/>
      <c r="Q182" s="753"/>
      <c r="R182" s="753"/>
      <c r="S182" s="753"/>
      <c r="T182" s="753"/>
      <c r="U182" s="753"/>
      <c r="V182" s="753"/>
      <c r="W182" s="753"/>
      <c r="X182" s="753"/>
      <c r="Y182" s="753"/>
      <c r="Z182" s="753"/>
      <c r="AA182" s="753"/>
      <c r="AB182" s="753"/>
      <c r="AC182" s="753"/>
      <c r="AD182" s="753"/>
      <c r="AE182" s="750"/>
      <c r="AF182" s="751"/>
      <c r="AG182" s="751"/>
      <c r="AH182" s="751"/>
      <c r="AI182" s="751"/>
      <c r="AJ182" s="751"/>
      <c r="AK182" s="751"/>
      <c r="AL182" s="751"/>
      <c r="AM182" s="751"/>
      <c r="AN182" s="751"/>
      <c r="AO182" s="751"/>
      <c r="AP182" s="751"/>
      <c r="AQ182" s="751"/>
      <c r="AR182" s="752"/>
      <c r="AS182" s="752"/>
      <c r="AT182" s="752"/>
      <c r="AU182" s="752"/>
      <c r="AV182" s="752"/>
      <c r="AW182" s="752"/>
      <c r="AX182" s="752"/>
      <c r="AY182" s="753"/>
    </row>
    <row r="183" spans="1:51" s="770" customFormat="1" ht="12" customHeight="1">
      <c r="A183" s="753"/>
      <c r="B183" s="810"/>
      <c r="C183" s="797"/>
      <c r="D183" s="753"/>
      <c r="E183" s="860">
        <v>10</v>
      </c>
      <c r="F183" s="891" t="s">
        <v>3956</v>
      </c>
      <c r="G183" s="759" t="s">
        <v>3901</v>
      </c>
      <c r="H183" s="759" t="s">
        <v>3809</v>
      </c>
      <c r="I183" s="817"/>
      <c r="J183" s="817"/>
      <c r="K183" s="817"/>
      <c r="L183" s="817"/>
      <c r="M183" s="817"/>
      <c r="N183" s="817"/>
      <c r="O183" s="753"/>
      <c r="P183" s="753"/>
      <c r="Q183" s="753"/>
      <c r="R183" s="753"/>
      <c r="S183" s="753"/>
      <c r="T183" s="753"/>
      <c r="U183" s="753"/>
      <c r="V183" s="753"/>
      <c r="W183" s="753"/>
      <c r="X183" s="753"/>
      <c r="Y183" s="753"/>
      <c r="Z183" s="753"/>
      <c r="AA183" s="753"/>
      <c r="AB183" s="753"/>
      <c r="AC183" s="753"/>
      <c r="AD183" s="753"/>
      <c r="AE183" s="750"/>
      <c r="AF183" s="751"/>
      <c r="AG183" s="751"/>
      <c r="AH183" s="751"/>
      <c r="AI183" s="751"/>
      <c r="AJ183" s="751"/>
      <c r="AK183" s="751"/>
      <c r="AL183" s="751"/>
      <c r="AM183" s="751"/>
      <c r="AN183" s="751"/>
      <c r="AO183" s="751"/>
      <c r="AP183" s="751"/>
      <c r="AQ183" s="751"/>
      <c r="AR183" s="752"/>
      <c r="AS183" s="752"/>
      <c r="AT183" s="752"/>
      <c r="AU183" s="752"/>
      <c r="AV183" s="752"/>
      <c r="AW183" s="752"/>
      <c r="AX183" s="752"/>
      <c r="AY183" s="753"/>
    </row>
    <row r="184" spans="1:51" s="770" customFormat="1" ht="12" customHeight="1">
      <c r="A184" s="753"/>
      <c r="B184" s="810"/>
      <c r="C184" s="797"/>
      <c r="D184" s="753"/>
      <c r="E184" s="860">
        <v>11</v>
      </c>
      <c r="F184" s="891" t="s">
        <v>3957</v>
      </c>
      <c r="G184" s="759" t="s">
        <v>3901</v>
      </c>
      <c r="H184" s="759" t="s">
        <v>3809</v>
      </c>
      <c r="I184" s="817"/>
      <c r="J184" s="817"/>
      <c r="K184" s="817"/>
      <c r="L184" s="817"/>
      <c r="M184" s="817"/>
      <c r="N184" s="817"/>
      <c r="O184" s="753"/>
      <c r="P184" s="753"/>
      <c r="Q184" s="753"/>
      <c r="R184" s="753"/>
      <c r="S184" s="753"/>
      <c r="T184" s="753"/>
      <c r="U184" s="753"/>
      <c r="V184" s="753"/>
      <c r="W184" s="753"/>
      <c r="X184" s="753"/>
      <c r="Y184" s="753"/>
      <c r="Z184" s="753"/>
      <c r="AA184" s="753"/>
      <c r="AB184" s="753"/>
      <c r="AC184" s="753"/>
      <c r="AD184" s="753"/>
      <c r="AE184" s="750"/>
      <c r="AF184" s="751"/>
      <c r="AG184" s="751"/>
      <c r="AH184" s="751"/>
      <c r="AI184" s="751"/>
      <c r="AJ184" s="751"/>
      <c r="AK184" s="751"/>
      <c r="AL184" s="751"/>
      <c r="AM184" s="751"/>
      <c r="AN184" s="751"/>
      <c r="AO184" s="751"/>
      <c r="AP184" s="751"/>
      <c r="AQ184" s="751"/>
      <c r="AR184" s="752"/>
      <c r="AS184" s="752"/>
      <c r="AT184" s="752"/>
      <c r="AU184" s="752"/>
      <c r="AV184" s="752"/>
      <c r="AW184" s="752"/>
      <c r="AX184" s="752"/>
      <c r="AY184" s="753"/>
    </row>
    <row r="185" spans="1:51" s="770" customFormat="1" ht="12" customHeight="1">
      <c r="A185" s="753"/>
      <c r="B185" s="810"/>
      <c r="C185" s="797"/>
      <c r="D185" s="753"/>
      <c r="E185" s="860">
        <v>12</v>
      </c>
      <c r="F185" s="891" t="s">
        <v>3958</v>
      </c>
      <c r="G185" s="759" t="s">
        <v>3901</v>
      </c>
      <c r="H185" s="759" t="s">
        <v>3809</v>
      </c>
      <c r="I185" s="817"/>
      <c r="J185" s="817"/>
      <c r="K185" s="817"/>
      <c r="L185" s="817"/>
      <c r="M185" s="817"/>
      <c r="N185" s="817"/>
      <c r="O185" s="753"/>
      <c r="P185" s="753"/>
      <c r="Q185" s="753"/>
      <c r="R185" s="753"/>
      <c r="S185" s="753"/>
      <c r="T185" s="753"/>
      <c r="U185" s="753"/>
      <c r="V185" s="753"/>
      <c r="W185" s="753"/>
      <c r="X185" s="753"/>
      <c r="Y185" s="753"/>
      <c r="Z185" s="753"/>
      <c r="AA185" s="753"/>
      <c r="AB185" s="753"/>
      <c r="AC185" s="753"/>
      <c r="AD185" s="753"/>
      <c r="AE185" s="750"/>
      <c r="AF185" s="751"/>
      <c r="AG185" s="751"/>
      <c r="AH185" s="751"/>
      <c r="AI185" s="751"/>
      <c r="AJ185" s="751"/>
      <c r="AK185" s="751"/>
      <c r="AL185" s="751"/>
      <c r="AM185" s="751"/>
      <c r="AN185" s="751"/>
      <c r="AO185" s="751"/>
      <c r="AP185" s="751"/>
      <c r="AQ185" s="751"/>
      <c r="AR185" s="752"/>
      <c r="AS185" s="752"/>
      <c r="AT185" s="752"/>
      <c r="AU185" s="752"/>
      <c r="AV185" s="752"/>
      <c r="AW185" s="752"/>
      <c r="AX185" s="752"/>
      <c r="AY185" s="753"/>
    </row>
    <row r="186" spans="1:51" s="770" customFormat="1" ht="12" customHeight="1">
      <c r="A186" s="753"/>
      <c r="B186" s="810"/>
      <c r="C186" s="797"/>
      <c r="D186" s="753"/>
      <c r="E186" s="860">
        <v>13</v>
      </c>
      <c r="F186" s="891" t="s">
        <v>3959</v>
      </c>
      <c r="G186" s="759" t="s">
        <v>3901</v>
      </c>
      <c r="H186" s="759" t="s">
        <v>3809</v>
      </c>
      <c r="I186" s="817"/>
      <c r="J186" s="817"/>
      <c r="K186" s="817"/>
      <c r="L186" s="817"/>
      <c r="M186" s="817"/>
      <c r="N186" s="817"/>
      <c r="O186" s="753"/>
      <c r="P186" s="753"/>
      <c r="Q186" s="753"/>
      <c r="R186" s="753"/>
      <c r="S186" s="753"/>
      <c r="T186" s="753"/>
      <c r="U186" s="753"/>
      <c r="V186" s="753"/>
      <c r="W186" s="753"/>
      <c r="X186" s="753"/>
      <c r="Y186" s="753"/>
      <c r="Z186" s="753"/>
      <c r="AA186" s="753"/>
      <c r="AB186" s="753"/>
      <c r="AC186" s="753"/>
      <c r="AD186" s="753"/>
      <c r="AE186" s="750"/>
      <c r="AF186" s="751"/>
      <c r="AG186" s="751"/>
      <c r="AH186" s="751"/>
      <c r="AI186" s="751"/>
      <c r="AJ186" s="751"/>
      <c r="AK186" s="751"/>
      <c r="AL186" s="751"/>
      <c r="AM186" s="751"/>
      <c r="AN186" s="751"/>
      <c r="AO186" s="751"/>
      <c r="AP186" s="751"/>
      <c r="AQ186" s="751"/>
      <c r="AR186" s="752"/>
      <c r="AS186" s="752"/>
      <c r="AT186" s="752"/>
      <c r="AU186" s="752"/>
      <c r="AV186" s="752"/>
      <c r="AW186" s="752"/>
      <c r="AX186" s="752"/>
      <c r="AY186" s="753"/>
    </row>
    <row r="187" spans="1:51" s="770" customFormat="1" ht="12" customHeight="1">
      <c r="A187" s="753"/>
      <c r="B187" s="810"/>
      <c r="C187" s="797"/>
      <c r="D187" s="753"/>
      <c r="E187" s="860">
        <v>14</v>
      </c>
      <c r="F187" s="891" t="s">
        <v>3960</v>
      </c>
      <c r="G187" s="759" t="s">
        <v>3901</v>
      </c>
      <c r="H187" s="759" t="s">
        <v>3809</v>
      </c>
      <c r="I187" s="817"/>
      <c r="J187" s="817"/>
      <c r="K187" s="817"/>
      <c r="L187" s="817"/>
      <c r="M187" s="817"/>
      <c r="N187" s="817"/>
      <c r="O187" s="753"/>
      <c r="P187" s="753"/>
      <c r="Q187" s="753"/>
      <c r="R187" s="753"/>
      <c r="S187" s="753"/>
      <c r="T187" s="753"/>
      <c r="U187" s="753"/>
      <c r="V187" s="753"/>
      <c r="W187" s="753"/>
      <c r="X187" s="753"/>
      <c r="Y187" s="753"/>
      <c r="Z187" s="753"/>
      <c r="AA187" s="753"/>
      <c r="AB187" s="753"/>
      <c r="AC187" s="753"/>
      <c r="AD187" s="753"/>
      <c r="AE187" s="750"/>
      <c r="AF187" s="751"/>
      <c r="AG187" s="751"/>
      <c r="AH187" s="751"/>
      <c r="AI187" s="751"/>
      <c r="AJ187" s="751"/>
      <c r="AK187" s="751"/>
      <c r="AL187" s="751"/>
      <c r="AM187" s="751"/>
      <c r="AN187" s="751"/>
      <c r="AO187" s="751"/>
      <c r="AP187" s="751"/>
      <c r="AQ187" s="751"/>
      <c r="AR187" s="752"/>
      <c r="AS187" s="752"/>
      <c r="AT187" s="752"/>
      <c r="AU187" s="752"/>
      <c r="AV187" s="752"/>
      <c r="AW187" s="752"/>
      <c r="AX187" s="752"/>
      <c r="AY187" s="753"/>
    </row>
    <row r="188" spans="1:51" s="770" customFormat="1" ht="12" customHeight="1">
      <c r="A188" s="753"/>
      <c r="B188" s="810"/>
      <c r="C188" s="797"/>
      <c r="D188" s="753"/>
      <c r="E188" s="860">
        <v>15</v>
      </c>
      <c r="F188" s="891" t="s">
        <v>3961</v>
      </c>
      <c r="G188" s="759" t="s">
        <v>3901</v>
      </c>
      <c r="H188" s="759" t="s">
        <v>3809</v>
      </c>
      <c r="I188" s="817"/>
      <c r="J188" s="817"/>
      <c r="K188" s="817"/>
      <c r="L188" s="817"/>
      <c r="M188" s="817"/>
      <c r="N188" s="817"/>
      <c r="O188" s="753"/>
      <c r="P188" s="753"/>
      <c r="Q188" s="753"/>
      <c r="R188" s="753"/>
      <c r="S188" s="753"/>
      <c r="T188" s="753"/>
      <c r="U188" s="753"/>
      <c r="V188" s="753"/>
      <c r="W188" s="753"/>
      <c r="X188" s="753"/>
      <c r="Y188" s="753"/>
      <c r="Z188" s="753"/>
      <c r="AA188" s="753"/>
      <c r="AB188" s="753"/>
      <c r="AC188" s="753"/>
      <c r="AD188" s="753"/>
      <c r="AE188" s="750"/>
      <c r="AF188" s="751"/>
      <c r="AG188" s="751"/>
      <c r="AH188" s="751"/>
      <c r="AI188" s="751"/>
      <c r="AJ188" s="751"/>
      <c r="AK188" s="751"/>
      <c r="AL188" s="751"/>
      <c r="AM188" s="751"/>
      <c r="AN188" s="751"/>
      <c r="AO188" s="751"/>
      <c r="AP188" s="751"/>
      <c r="AQ188" s="751"/>
      <c r="AR188" s="752"/>
      <c r="AS188" s="752"/>
      <c r="AT188" s="752"/>
      <c r="AU188" s="752"/>
      <c r="AV188" s="752"/>
      <c r="AW188" s="752"/>
      <c r="AX188" s="752"/>
      <c r="AY188" s="753"/>
    </row>
    <row r="189" spans="1:51" s="770" customFormat="1" ht="12" customHeight="1">
      <c r="A189" s="753"/>
      <c r="B189" s="810"/>
      <c r="C189" s="797"/>
      <c r="D189" s="753"/>
      <c r="E189" s="860">
        <v>16</v>
      </c>
      <c r="F189" s="861" t="s">
        <v>3962</v>
      </c>
      <c r="G189" s="759" t="s">
        <v>3901</v>
      </c>
      <c r="H189" s="759" t="s">
        <v>3809</v>
      </c>
      <c r="I189" s="817"/>
      <c r="J189" s="817"/>
      <c r="K189" s="817"/>
      <c r="L189" s="817"/>
      <c r="M189" s="817"/>
      <c r="N189" s="817"/>
      <c r="O189" s="753"/>
      <c r="P189" s="753"/>
      <c r="Q189" s="753"/>
      <c r="R189" s="753"/>
      <c r="S189" s="753"/>
      <c r="T189" s="753"/>
      <c r="U189" s="753"/>
      <c r="V189" s="753"/>
      <c r="W189" s="753"/>
      <c r="X189" s="753"/>
      <c r="Y189" s="753"/>
      <c r="Z189" s="753"/>
      <c r="AA189" s="753"/>
      <c r="AB189" s="753"/>
      <c r="AC189" s="753"/>
      <c r="AD189" s="753"/>
      <c r="AE189" s="750"/>
      <c r="AF189" s="751"/>
      <c r="AG189" s="751"/>
      <c r="AH189" s="751"/>
      <c r="AI189" s="751"/>
      <c r="AJ189" s="751"/>
      <c r="AK189" s="751"/>
      <c r="AL189" s="751"/>
      <c r="AM189" s="751"/>
      <c r="AN189" s="751"/>
      <c r="AO189" s="751"/>
      <c r="AP189" s="751"/>
      <c r="AQ189" s="751"/>
      <c r="AR189" s="752"/>
      <c r="AS189" s="752"/>
      <c r="AT189" s="752"/>
      <c r="AU189" s="752"/>
      <c r="AV189" s="752"/>
      <c r="AW189" s="752"/>
      <c r="AX189" s="752"/>
      <c r="AY189" s="753"/>
    </row>
    <row r="190" spans="1:51" s="770" customFormat="1" ht="12" customHeight="1">
      <c r="A190" s="753"/>
      <c r="B190" s="810"/>
      <c r="C190" s="797"/>
      <c r="D190" s="753"/>
      <c r="E190" s="809"/>
      <c r="F190" s="753"/>
      <c r="G190" s="817"/>
      <c r="H190" s="817"/>
      <c r="I190" s="817"/>
      <c r="J190" s="817"/>
      <c r="K190" s="817"/>
      <c r="L190" s="817"/>
      <c r="M190" s="817"/>
      <c r="N190" s="817"/>
      <c r="O190" s="753"/>
      <c r="P190" s="753"/>
      <c r="Q190" s="753"/>
      <c r="R190" s="753"/>
      <c r="S190" s="753"/>
      <c r="T190" s="753"/>
      <c r="U190" s="753"/>
      <c r="V190" s="753"/>
      <c r="W190" s="753"/>
      <c r="X190" s="753"/>
      <c r="Y190" s="753"/>
      <c r="Z190" s="753"/>
      <c r="AA190" s="753"/>
      <c r="AB190" s="753"/>
      <c r="AC190" s="753"/>
      <c r="AD190" s="753"/>
      <c r="AE190" s="750"/>
      <c r="AF190" s="751"/>
      <c r="AG190" s="751"/>
      <c r="AH190" s="751"/>
      <c r="AI190" s="751"/>
      <c r="AJ190" s="751"/>
      <c r="AK190" s="751"/>
      <c r="AL190" s="751"/>
      <c r="AM190" s="751"/>
      <c r="AN190" s="751"/>
      <c r="AO190" s="751"/>
      <c r="AP190" s="751"/>
      <c r="AQ190" s="751"/>
      <c r="AR190" s="752"/>
      <c r="AS190" s="752"/>
      <c r="AT190" s="752"/>
      <c r="AU190" s="752"/>
      <c r="AV190" s="752"/>
      <c r="AW190" s="752"/>
      <c r="AX190" s="752"/>
      <c r="AY190" s="753"/>
    </row>
    <row r="191" spans="1:51" s="770" customFormat="1" ht="12" customHeight="1">
      <c r="A191" s="753"/>
      <c r="B191" s="810"/>
      <c r="C191" s="811"/>
      <c r="D191" s="759"/>
      <c r="E191" s="849"/>
      <c r="F191" s="850"/>
      <c r="G191" s="836"/>
      <c r="H191" s="799"/>
      <c r="I191" s="799"/>
      <c r="J191" s="821"/>
      <c r="K191" s="753"/>
      <c r="L191" s="753"/>
      <c r="M191" s="753"/>
      <c r="N191" s="753"/>
      <c r="O191" s="753"/>
      <c r="P191" s="753"/>
      <c r="Q191" s="753"/>
      <c r="R191" s="799"/>
      <c r="S191" s="799"/>
      <c r="T191" s="799"/>
      <c r="U191" s="799"/>
      <c r="V191" s="799"/>
      <c r="W191" s="799"/>
      <c r="X191" s="799"/>
      <c r="Y191" s="799"/>
      <c r="Z191" s="799"/>
      <c r="AA191" s="799"/>
      <c r="AB191" s="799"/>
      <c r="AC191" s="799"/>
      <c r="AD191" s="799"/>
      <c r="AE191" s="750"/>
      <c r="AF191" s="751"/>
      <c r="AG191" s="751"/>
      <c r="AH191" s="751"/>
      <c r="AI191" s="751"/>
      <c r="AJ191" s="751"/>
      <c r="AK191" s="751"/>
      <c r="AL191" s="751"/>
      <c r="AM191" s="751"/>
      <c r="AN191" s="751"/>
      <c r="AO191" s="751"/>
      <c r="AP191" s="751"/>
      <c r="AQ191" s="751"/>
      <c r="AR191" s="752"/>
      <c r="AS191" s="752"/>
      <c r="AT191" s="752"/>
      <c r="AU191" s="752"/>
      <c r="AV191" s="752"/>
      <c r="AW191" s="752"/>
      <c r="AX191" s="752"/>
      <c r="AY191" s="753"/>
    </row>
    <row r="192" spans="1:51" s="753" customFormat="1" ht="12" customHeight="1">
      <c r="B192" s="796" t="s">
        <v>3806</v>
      </c>
      <c r="C192" s="797"/>
      <c r="E192" s="798"/>
      <c r="F192" s="799"/>
      <c r="AE192" s="750"/>
      <c r="AF192" s="751"/>
      <c r="AG192" s="751"/>
      <c r="AH192" s="751"/>
      <c r="AI192" s="751"/>
      <c r="AJ192" s="751"/>
      <c r="AK192" s="751"/>
      <c r="AL192" s="751"/>
      <c r="AM192" s="751"/>
      <c r="AN192" s="751"/>
      <c r="AO192" s="751"/>
      <c r="AP192" s="751"/>
      <c r="AQ192" s="751"/>
      <c r="AR192" s="752"/>
      <c r="AS192" s="752"/>
      <c r="AT192" s="752"/>
      <c r="AU192" s="752"/>
      <c r="AV192" s="752"/>
      <c r="AW192" s="752"/>
      <c r="AX192" s="752"/>
    </row>
    <row r="193" spans="1:52" s="812" customFormat="1" ht="12.9" customHeight="1">
      <c r="B193" s="800" t="s">
        <v>3963</v>
      </c>
      <c r="C193" s="801"/>
      <c r="D193" s="863"/>
      <c r="E193" s="864"/>
      <c r="F193" s="863"/>
      <c r="G193" s="865"/>
      <c r="H193" s="865"/>
      <c r="I193" s="865"/>
      <c r="J193" s="865"/>
      <c r="K193" s="865"/>
      <c r="L193" s="865"/>
      <c r="M193" s="865"/>
      <c r="N193" s="865"/>
      <c r="O193" s="865"/>
      <c r="P193" s="865"/>
      <c r="Q193" s="865"/>
      <c r="R193" s="865"/>
      <c r="S193" s="865"/>
      <c r="T193" s="865"/>
      <c r="U193" s="865"/>
      <c r="V193" s="865"/>
      <c r="W193" s="865"/>
      <c r="X193" s="865"/>
      <c r="Y193" s="865"/>
      <c r="Z193" s="865"/>
      <c r="AA193" s="865"/>
      <c r="AB193" s="865"/>
      <c r="AC193" s="865"/>
      <c r="AD193" s="806" t="s">
        <v>568</v>
      </c>
      <c r="AE193" s="750"/>
      <c r="AF193" s="751"/>
      <c r="AG193" s="751"/>
      <c r="AH193" s="751"/>
      <c r="AI193" s="751"/>
      <c r="AJ193" s="751"/>
      <c r="AK193" s="751"/>
      <c r="AL193" s="751"/>
      <c r="AM193" s="751"/>
      <c r="AN193" s="751"/>
      <c r="AO193" s="751"/>
      <c r="AP193" s="751"/>
      <c r="AQ193" s="751"/>
      <c r="AR193" s="752"/>
      <c r="AS193" s="752"/>
      <c r="AT193" s="752"/>
      <c r="AU193" s="752"/>
      <c r="AV193" s="752"/>
      <c r="AW193" s="752"/>
      <c r="AX193" s="752"/>
      <c r="AY193" s="753"/>
      <c r="AZ193" s="770"/>
    </row>
    <row r="194" spans="1:52" s="812" customFormat="1" ht="12.9" customHeight="1">
      <c r="B194" s="866"/>
      <c r="C194" s="808">
        <v>10</v>
      </c>
      <c r="D194" s="753" t="s">
        <v>3964</v>
      </c>
      <c r="E194" s="828"/>
      <c r="F194" s="828"/>
      <c r="G194" s="809"/>
      <c r="H194" s="809"/>
      <c r="I194" s="809"/>
      <c r="J194" s="809"/>
      <c r="K194" s="809"/>
      <c r="L194" s="809"/>
      <c r="M194" s="809"/>
      <c r="N194" s="828"/>
      <c r="O194" s="828"/>
      <c r="P194" s="828"/>
      <c r="Q194" s="828"/>
      <c r="Z194" s="818"/>
      <c r="AE194" s="750"/>
      <c r="AF194" s="751"/>
      <c r="AG194" s="751"/>
      <c r="AH194" s="751"/>
      <c r="AI194" s="751"/>
      <c r="AJ194" s="751"/>
      <c r="AK194" s="751"/>
      <c r="AL194" s="751"/>
      <c r="AM194" s="751"/>
      <c r="AN194" s="751"/>
      <c r="AO194" s="751"/>
      <c r="AP194" s="751"/>
      <c r="AQ194" s="751"/>
      <c r="AR194" s="752"/>
      <c r="AS194" s="752"/>
      <c r="AT194" s="752"/>
      <c r="AU194" s="752"/>
      <c r="AV194" s="752"/>
      <c r="AW194" s="752"/>
      <c r="AX194" s="752"/>
      <c r="AY194" s="753"/>
      <c r="AZ194" s="770"/>
    </row>
    <row r="195" spans="1:52" s="812" customFormat="1" ht="12.9" customHeight="1">
      <c r="B195" s="867"/>
      <c r="C195" s="797"/>
      <c r="D195" s="760"/>
      <c r="E195" s="868"/>
      <c r="F195" s="760"/>
      <c r="G195" s="809"/>
      <c r="H195" s="809"/>
      <c r="I195" s="809"/>
      <c r="J195" s="809"/>
      <c r="K195" s="809"/>
      <c r="L195" s="809"/>
      <c r="M195" s="809"/>
      <c r="N195" s="828"/>
      <c r="O195" s="828"/>
      <c r="P195" s="828"/>
      <c r="Q195" s="828"/>
      <c r="Z195" s="818"/>
      <c r="AE195" s="750"/>
      <c r="AF195" s="751"/>
      <c r="AG195" s="751"/>
      <c r="AH195" s="751"/>
      <c r="AI195" s="751"/>
      <c r="AJ195" s="751"/>
      <c r="AK195" s="751"/>
      <c r="AL195" s="751"/>
      <c r="AM195" s="751"/>
      <c r="AN195" s="751"/>
      <c r="AO195" s="751"/>
      <c r="AP195" s="751"/>
      <c r="AQ195" s="751"/>
      <c r="AR195" s="752"/>
      <c r="AS195" s="752"/>
      <c r="AT195" s="752"/>
      <c r="AU195" s="752"/>
      <c r="AV195" s="752"/>
      <c r="AW195" s="752"/>
      <c r="AX195" s="752"/>
      <c r="AY195" s="753"/>
      <c r="AZ195" s="770"/>
    </row>
    <row r="196" spans="1:52" s="869" customFormat="1" ht="12.9" customHeight="1">
      <c r="B196" s="870"/>
      <c r="C196" s="859"/>
      <c r="D196" s="759" t="s">
        <v>3901</v>
      </c>
      <c r="E196" s="849">
        <v>1</v>
      </c>
      <c r="F196" s="814" t="s">
        <v>3965</v>
      </c>
      <c r="G196" s="814"/>
      <c r="H196" s="815" t="s">
        <v>3811</v>
      </c>
      <c r="I196" s="825"/>
      <c r="J196" s="825"/>
      <c r="K196" s="875"/>
      <c r="L196" s="817"/>
      <c r="M196" s="817"/>
      <c r="N196" s="760"/>
      <c r="O196" s="872"/>
      <c r="P196" s="872"/>
      <c r="AE196" s="750"/>
      <c r="AF196" s="751"/>
      <c r="AG196" s="751"/>
      <c r="AH196" s="751"/>
      <c r="AI196" s="751"/>
      <c r="AJ196" s="751"/>
      <c r="AK196" s="751"/>
      <c r="AL196" s="751"/>
      <c r="AM196" s="751"/>
      <c r="AN196" s="751"/>
      <c r="AO196" s="751"/>
      <c r="AP196" s="751"/>
      <c r="AQ196" s="751"/>
      <c r="AR196" s="752"/>
      <c r="AS196" s="752"/>
      <c r="AT196" s="752"/>
      <c r="AU196" s="752"/>
      <c r="AV196" s="752"/>
      <c r="AW196" s="752"/>
      <c r="AX196" s="752"/>
      <c r="AY196" s="753"/>
      <c r="AZ196" s="770"/>
    </row>
    <row r="197" spans="1:52" s="869" customFormat="1" ht="12.9" customHeight="1">
      <c r="B197" s="870"/>
      <c r="C197" s="748"/>
      <c r="D197" s="759" t="s">
        <v>3901</v>
      </c>
      <c r="E197" s="849">
        <v>2</v>
      </c>
      <c r="F197" s="814" t="s">
        <v>3966</v>
      </c>
      <c r="G197" s="814"/>
      <c r="H197" s="815" t="s">
        <v>3811</v>
      </c>
      <c r="I197" s="825"/>
      <c r="J197" s="825"/>
      <c r="K197" s="817"/>
      <c r="L197" s="817"/>
      <c r="M197" s="817"/>
      <c r="N197" s="760"/>
      <c r="O197" s="872"/>
      <c r="P197" s="872"/>
      <c r="AE197" s="750"/>
      <c r="AF197" s="751"/>
      <c r="AG197" s="751"/>
      <c r="AH197" s="751"/>
      <c r="AI197" s="751"/>
      <c r="AJ197" s="751"/>
      <c r="AK197" s="751"/>
      <c r="AL197" s="751"/>
      <c r="AM197" s="751"/>
      <c r="AN197" s="751"/>
      <c r="AO197" s="751"/>
      <c r="AP197" s="751"/>
      <c r="AQ197" s="751"/>
      <c r="AR197" s="752"/>
      <c r="AS197" s="752"/>
      <c r="AT197" s="752"/>
      <c r="AU197" s="752"/>
      <c r="AV197" s="752"/>
      <c r="AW197" s="752"/>
      <c r="AX197" s="752"/>
      <c r="AY197" s="753"/>
      <c r="AZ197" s="770"/>
    </row>
    <row r="198" spans="1:52" s="869" customFormat="1" ht="12.9" customHeight="1">
      <c r="B198" s="870"/>
      <c r="C198" s="748"/>
      <c r="D198" s="759" t="s">
        <v>3901</v>
      </c>
      <c r="E198" s="849">
        <v>3</v>
      </c>
      <c r="F198" s="820" t="s">
        <v>3967</v>
      </c>
      <c r="G198" s="820"/>
      <c r="H198" s="825"/>
      <c r="I198" s="825"/>
      <c r="J198" s="825"/>
      <c r="K198" s="817"/>
      <c r="L198" s="817"/>
      <c r="M198" s="817"/>
      <c r="N198" s="760"/>
      <c r="O198" s="872"/>
      <c r="P198" s="872"/>
      <c r="AE198" s="750"/>
      <c r="AF198" s="751"/>
      <c r="AG198" s="751"/>
      <c r="AH198" s="751"/>
      <c r="AI198" s="751"/>
      <c r="AJ198" s="751"/>
      <c r="AK198" s="751"/>
      <c r="AL198" s="751"/>
      <c r="AM198" s="751"/>
      <c r="AN198" s="751"/>
      <c r="AO198" s="751"/>
      <c r="AP198" s="751"/>
      <c r="AQ198" s="751"/>
      <c r="AR198" s="752"/>
      <c r="AS198" s="752"/>
      <c r="AT198" s="752"/>
      <c r="AU198" s="752"/>
      <c r="AV198" s="752"/>
      <c r="AW198" s="752"/>
      <c r="AX198" s="752"/>
      <c r="AY198" s="753"/>
      <c r="AZ198" s="770"/>
    </row>
    <row r="199" spans="1:52" s="869" customFormat="1" ht="12.9" customHeight="1">
      <c r="B199" s="870"/>
      <c r="C199" s="748"/>
      <c r="D199" s="759" t="s">
        <v>3901</v>
      </c>
      <c r="E199" s="849">
        <v>4</v>
      </c>
      <c r="F199" s="820" t="s">
        <v>3968</v>
      </c>
      <c r="G199" s="820"/>
      <c r="H199" s="825"/>
      <c r="I199" s="825"/>
      <c r="J199" s="825"/>
      <c r="K199" s="817"/>
      <c r="L199" s="817"/>
      <c r="M199" s="817"/>
      <c r="N199" s="760"/>
      <c r="O199" s="872"/>
      <c r="P199" s="872"/>
      <c r="AE199" s="750"/>
      <c r="AF199" s="751"/>
      <c r="AG199" s="751"/>
      <c r="AH199" s="751"/>
      <c r="AI199" s="751"/>
      <c r="AJ199" s="751"/>
      <c r="AK199" s="751"/>
      <c r="AL199" s="751"/>
      <c r="AM199" s="751"/>
      <c r="AN199" s="751"/>
      <c r="AO199" s="751"/>
      <c r="AP199" s="751"/>
      <c r="AQ199" s="751"/>
      <c r="AR199" s="752"/>
      <c r="AS199" s="752"/>
      <c r="AT199" s="752"/>
      <c r="AU199" s="752"/>
      <c r="AV199" s="752"/>
      <c r="AW199" s="752"/>
      <c r="AX199" s="752"/>
      <c r="AY199" s="753"/>
      <c r="AZ199" s="770"/>
    </row>
    <row r="200" spans="1:52" s="869" customFormat="1" ht="12.9" customHeight="1">
      <c r="B200" s="870"/>
      <c r="C200" s="748"/>
      <c r="D200" s="759" t="s">
        <v>3901</v>
      </c>
      <c r="E200" s="849">
        <v>5</v>
      </c>
      <c r="F200" s="820" t="s">
        <v>3969</v>
      </c>
      <c r="G200" s="820"/>
      <c r="H200" s="825"/>
      <c r="I200" s="825"/>
      <c r="J200" s="825"/>
      <c r="K200" s="817"/>
      <c r="L200" s="817"/>
      <c r="M200" s="817"/>
      <c r="N200" s="760"/>
      <c r="O200" s="872"/>
      <c r="P200" s="872"/>
      <c r="AE200" s="750"/>
      <c r="AF200" s="751"/>
      <c r="AG200" s="751"/>
      <c r="AH200" s="751"/>
      <c r="AI200" s="751"/>
      <c r="AJ200" s="751"/>
      <c r="AK200" s="751"/>
      <c r="AL200" s="751"/>
      <c r="AM200" s="751"/>
      <c r="AN200" s="751"/>
      <c r="AO200" s="751"/>
      <c r="AP200" s="751"/>
      <c r="AQ200" s="751"/>
      <c r="AR200" s="752"/>
      <c r="AS200" s="752"/>
      <c r="AT200" s="752"/>
      <c r="AU200" s="752"/>
      <c r="AV200" s="752"/>
      <c r="AW200" s="752"/>
      <c r="AX200" s="752"/>
      <c r="AY200" s="753"/>
      <c r="AZ200" s="770"/>
    </row>
    <row r="201" spans="1:52" s="770" customFormat="1" ht="12" customHeight="1">
      <c r="A201" s="753"/>
      <c r="B201" s="810"/>
      <c r="C201" s="797"/>
      <c r="D201" s="753"/>
      <c r="E201" s="809"/>
      <c r="F201" s="753"/>
      <c r="G201" s="817"/>
      <c r="H201" s="817"/>
      <c r="I201" s="817"/>
      <c r="J201" s="817"/>
      <c r="K201" s="817"/>
      <c r="L201" s="817"/>
      <c r="M201" s="817"/>
      <c r="N201" s="817"/>
      <c r="O201" s="753"/>
      <c r="P201" s="753"/>
      <c r="Q201" s="753"/>
      <c r="R201" s="753"/>
      <c r="S201" s="753"/>
      <c r="T201" s="753"/>
      <c r="U201" s="753"/>
      <c r="V201" s="753"/>
      <c r="W201" s="753"/>
      <c r="X201" s="753"/>
      <c r="Y201" s="753"/>
      <c r="Z201" s="753"/>
      <c r="AA201" s="753"/>
      <c r="AB201" s="753"/>
      <c r="AC201" s="753"/>
      <c r="AD201" s="753"/>
      <c r="AE201" s="750"/>
      <c r="AF201" s="751"/>
      <c r="AG201" s="751"/>
      <c r="AH201" s="751"/>
      <c r="AI201" s="751"/>
      <c r="AJ201" s="751"/>
      <c r="AK201" s="751"/>
      <c r="AL201" s="751"/>
      <c r="AM201" s="751"/>
      <c r="AN201" s="751"/>
      <c r="AO201" s="751"/>
      <c r="AP201" s="751"/>
      <c r="AQ201" s="751"/>
      <c r="AR201" s="752"/>
      <c r="AS201" s="752"/>
      <c r="AT201" s="752"/>
      <c r="AU201" s="752"/>
      <c r="AV201" s="752"/>
      <c r="AW201" s="752"/>
      <c r="AX201" s="752"/>
      <c r="AY201" s="753"/>
    </row>
    <row r="202" spans="1:52" s="753" customFormat="1" ht="12" customHeight="1">
      <c r="B202" s="796"/>
      <c r="C202" s="797"/>
      <c r="E202" s="798"/>
      <c r="F202" s="799"/>
      <c r="AE202" s="750"/>
      <c r="AF202" s="751"/>
      <c r="AG202" s="751"/>
      <c r="AH202" s="751"/>
      <c r="AI202" s="751"/>
      <c r="AJ202" s="751"/>
      <c r="AK202" s="751"/>
      <c r="AL202" s="751"/>
      <c r="AM202" s="751"/>
      <c r="AN202" s="751"/>
      <c r="AO202" s="751"/>
      <c r="AP202" s="751"/>
      <c r="AQ202" s="751"/>
      <c r="AR202" s="752"/>
      <c r="AS202" s="752"/>
      <c r="AT202" s="752"/>
      <c r="AU202" s="752"/>
      <c r="AV202" s="752"/>
      <c r="AW202" s="752"/>
      <c r="AX202" s="752"/>
    </row>
    <row r="203" spans="1:52" s="753" customFormat="1" ht="12" customHeight="1">
      <c r="B203" s="796" t="s">
        <v>3806</v>
      </c>
      <c r="C203" s="797"/>
      <c r="E203" s="798"/>
      <c r="F203" s="799"/>
      <c r="AE203" s="750"/>
      <c r="AF203" s="751"/>
      <c r="AG203" s="751"/>
      <c r="AH203" s="751"/>
      <c r="AI203" s="751"/>
      <c r="AJ203" s="751"/>
      <c r="AK203" s="751"/>
      <c r="AL203" s="751"/>
      <c r="AM203" s="751"/>
      <c r="AN203" s="751"/>
      <c r="AO203" s="751"/>
      <c r="AP203" s="751"/>
      <c r="AQ203" s="751"/>
      <c r="AR203" s="752"/>
      <c r="AS203" s="752"/>
      <c r="AT203" s="752"/>
      <c r="AU203" s="752"/>
      <c r="AV203" s="752"/>
      <c r="AW203" s="752"/>
      <c r="AX203" s="752"/>
    </row>
    <row r="204" spans="1:52" s="812" customFormat="1" ht="12.9" customHeight="1">
      <c r="B204" s="800" t="s">
        <v>3970</v>
      </c>
      <c r="C204" s="801"/>
      <c r="D204" s="863"/>
      <c r="E204" s="864"/>
      <c r="F204" s="863"/>
      <c r="G204" s="865"/>
      <c r="H204" s="865"/>
      <c r="I204" s="865"/>
      <c r="J204" s="865"/>
      <c r="K204" s="865"/>
      <c r="L204" s="865"/>
      <c r="M204" s="865"/>
      <c r="N204" s="865"/>
      <c r="O204" s="865"/>
      <c r="P204" s="865"/>
      <c r="Q204" s="865"/>
      <c r="R204" s="865"/>
      <c r="S204" s="865"/>
      <c r="T204" s="865"/>
      <c r="U204" s="865"/>
      <c r="V204" s="865"/>
      <c r="W204" s="865"/>
      <c r="X204" s="865"/>
      <c r="Y204" s="865"/>
      <c r="Z204" s="865"/>
      <c r="AA204" s="865"/>
      <c r="AB204" s="865"/>
      <c r="AC204" s="865"/>
      <c r="AD204" s="806" t="s">
        <v>611</v>
      </c>
      <c r="AE204" s="750"/>
      <c r="AF204" s="751"/>
      <c r="AG204" s="751"/>
      <c r="AH204" s="751"/>
      <c r="AI204" s="751"/>
      <c r="AJ204" s="751"/>
      <c r="AK204" s="751"/>
      <c r="AL204" s="751"/>
      <c r="AM204" s="751"/>
      <c r="AN204" s="751"/>
      <c r="AO204" s="751"/>
      <c r="AP204" s="751"/>
      <c r="AQ204" s="751"/>
      <c r="AR204" s="752"/>
      <c r="AS204" s="752"/>
      <c r="AT204" s="752"/>
      <c r="AU204" s="752"/>
      <c r="AV204" s="752"/>
      <c r="AW204" s="752"/>
      <c r="AX204" s="752"/>
      <c r="AY204" s="753"/>
      <c r="AZ204" s="770"/>
    </row>
    <row r="205" spans="1:52" s="812" customFormat="1" ht="12.9" customHeight="1">
      <c r="B205" s="866"/>
      <c r="C205" s="808">
        <v>11</v>
      </c>
      <c r="D205" s="753" t="s">
        <v>3971</v>
      </c>
      <c r="E205" s="828"/>
      <c r="F205" s="828"/>
      <c r="G205" s="809"/>
      <c r="H205" s="809"/>
      <c r="I205" s="809"/>
      <c r="J205" s="809"/>
      <c r="K205" s="809"/>
      <c r="L205" s="809"/>
      <c r="M205" s="809"/>
      <c r="N205" s="828"/>
      <c r="O205" s="828"/>
      <c r="P205" s="828"/>
      <c r="Q205" s="828"/>
      <c r="Z205" s="818"/>
      <c r="AE205" s="750"/>
      <c r="AF205" s="751"/>
      <c r="AG205" s="751"/>
      <c r="AH205" s="751"/>
      <c r="AI205" s="751"/>
      <c r="AJ205" s="751"/>
      <c r="AK205" s="751"/>
      <c r="AL205" s="751"/>
      <c r="AM205" s="751"/>
      <c r="AN205" s="751"/>
      <c r="AO205" s="751"/>
      <c r="AP205" s="751"/>
      <c r="AQ205" s="751"/>
      <c r="AR205" s="752"/>
      <c r="AS205" s="752"/>
      <c r="AT205" s="752"/>
      <c r="AU205" s="752"/>
      <c r="AV205" s="752"/>
      <c r="AW205" s="752"/>
      <c r="AX205" s="752"/>
      <c r="AY205" s="753"/>
      <c r="AZ205" s="770"/>
    </row>
    <row r="206" spans="1:52" s="812" customFormat="1" ht="12.9" customHeight="1">
      <c r="B206" s="867"/>
      <c r="C206" s="797"/>
      <c r="D206" s="760"/>
      <c r="E206" s="868"/>
      <c r="F206" s="760"/>
      <c r="G206" s="809"/>
      <c r="H206" s="809"/>
      <c r="I206" s="809"/>
      <c r="J206" s="809"/>
      <c r="K206" s="809"/>
      <c r="L206" s="809"/>
      <c r="M206" s="809"/>
      <c r="N206" s="828"/>
      <c r="O206" s="828"/>
      <c r="P206" s="828"/>
      <c r="Q206" s="828"/>
      <c r="Z206" s="818"/>
      <c r="AE206" s="750"/>
      <c r="AF206" s="751"/>
      <c r="AG206" s="751"/>
      <c r="AH206" s="751"/>
      <c r="AI206" s="751"/>
      <c r="AJ206" s="751"/>
      <c r="AK206" s="751"/>
      <c r="AL206" s="751"/>
      <c r="AM206" s="751"/>
      <c r="AN206" s="751"/>
      <c r="AO206" s="751"/>
      <c r="AP206" s="751"/>
      <c r="AQ206" s="751"/>
      <c r="AR206" s="752"/>
      <c r="AS206" s="752"/>
      <c r="AT206" s="752"/>
      <c r="AU206" s="752"/>
      <c r="AV206" s="752"/>
      <c r="AW206" s="752"/>
      <c r="AX206" s="752"/>
      <c r="AY206" s="753"/>
      <c r="AZ206" s="770"/>
    </row>
    <row r="207" spans="1:52" s="869" customFormat="1" ht="12.9" customHeight="1">
      <c r="B207" s="870"/>
      <c r="C207" s="859"/>
      <c r="D207" s="759" t="s">
        <v>3809</v>
      </c>
      <c r="E207" s="849">
        <v>1</v>
      </c>
      <c r="F207" s="820" t="s">
        <v>3972</v>
      </c>
      <c r="G207" s="820"/>
      <c r="H207" s="820"/>
      <c r="I207" s="820"/>
      <c r="J207" s="820"/>
      <c r="K207" s="875" t="s">
        <v>3973</v>
      </c>
      <c r="L207" s="817"/>
      <c r="M207" s="817"/>
      <c r="N207" s="760"/>
      <c r="O207" s="872"/>
      <c r="P207" s="872"/>
      <c r="AE207" s="750"/>
      <c r="AF207" s="751"/>
      <c r="AG207" s="751"/>
      <c r="AH207" s="751"/>
      <c r="AI207" s="751"/>
      <c r="AJ207" s="751"/>
      <c r="AK207" s="751"/>
      <c r="AL207" s="751"/>
      <c r="AM207" s="751"/>
      <c r="AN207" s="751"/>
      <c r="AO207" s="751"/>
      <c r="AP207" s="751"/>
      <c r="AQ207" s="751"/>
      <c r="AR207" s="752"/>
      <c r="AS207" s="752"/>
      <c r="AT207" s="752"/>
      <c r="AU207" s="752"/>
      <c r="AV207" s="752"/>
      <c r="AW207" s="752"/>
      <c r="AX207" s="752"/>
      <c r="AY207" s="753"/>
      <c r="AZ207" s="770"/>
    </row>
    <row r="208" spans="1:52" s="869" customFormat="1" ht="12.9" customHeight="1">
      <c r="B208" s="870"/>
      <c r="C208" s="748"/>
      <c r="D208" s="759" t="s">
        <v>3809</v>
      </c>
      <c r="E208" s="849">
        <v>2</v>
      </c>
      <c r="F208" s="820" t="s">
        <v>3974</v>
      </c>
      <c r="G208" s="820"/>
      <c r="H208" s="820"/>
      <c r="I208" s="820"/>
      <c r="J208" s="820"/>
      <c r="K208" s="875" t="s">
        <v>3975</v>
      </c>
      <c r="L208" s="817"/>
      <c r="M208" s="817"/>
      <c r="N208" s="760"/>
      <c r="O208" s="872"/>
      <c r="P208" s="872"/>
      <c r="AE208" s="750"/>
      <c r="AF208" s="751"/>
      <c r="AG208" s="751"/>
      <c r="AH208" s="751"/>
      <c r="AI208" s="751"/>
      <c r="AJ208" s="751"/>
      <c r="AK208" s="751"/>
      <c r="AL208" s="751"/>
      <c r="AM208" s="751"/>
      <c r="AN208" s="751"/>
      <c r="AO208" s="751"/>
      <c r="AP208" s="751"/>
      <c r="AQ208" s="751"/>
      <c r="AR208" s="752"/>
      <c r="AS208" s="752"/>
      <c r="AT208" s="752"/>
      <c r="AU208" s="752"/>
      <c r="AV208" s="752"/>
      <c r="AW208" s="752"/>
      <c r="AX208" s="752"/>
      <c r="AY208" s="753"/>
      <c r="AZ208" s="770"/>
    </row>
    <row r="209" spans="1:52" s="869" customFormat="1" ht="12.9" customHeight="1">
      <c r="B209" s="870"/>
      <c r="C209" s="748"/>
      <c r="D209" s="759" t="s">
        <v>3809</v>
      </c>
      <c r="E209" s="849">
        <v>3</v>
      </c>
      <c r="F209" s="814" t="s">
        <v>3976</v>
      </c>
      <c r="G209" s="814"/>
      <c r="H209" s="814"/>
      <c r="I209" s="814"/>
      <c r="J209" s="814"/>
      <c r="K209" s="815" t="s">
        <v>3811</v>
      </c>
      <c r="L209" s="817"/>
      <c r="M209" s="817"/>
      <c r="N209" s="760"/>
      <c r="O209" s="872"/>
      <c r="P209" s="872"/>
      <c r="AE209" s="750"/>
      <c r="AF209" s="751"/>
      <c r="AG209" s="751"/>
      <c r="AH209" s="751"/>
      <c r="AI209" s="751"/>
      <c r="AJ209" s="751"/>
      <c r="AK209" s="751"/>
      <c r="AL209" s="751"/>
      <c r="AM209" s="751"/>
      <c r="AN209" s="751"/>
      <c r="AO209" s="751"/>
      <c r="AP209" s="751"/>
      <c r="AQ209" s="751"/>
      <c r="AR209" s="752"/>
      <c r="AS209" s="752"/>
      <c r="AT209" s="752"/>
      <c r="AU209" s="752"/>
      <c r="AV209" s="752"/>
      <c r="AW209" s="752"/>
      <c r="AX209" s="752"/>
      <c r="AY209" s="753"/>
      <c r="AZ209" s="770"/>
    </row>
    <row r="210" spans="1:52" s="770" customFormat="1" ht="12" customHeight="1">
      <c r="A210" s="753"/>
      <c r="B210" s="810"/>
      <c r="C210" s="797"/>
      <c r="D210" s="753"/>
      <c r="E210" s="809"/>
      <c r="F210" s="753"/>
      <c r="G210" s="753"/>
      <c r="H210" s="753"/>
      <c r="I210" s="753"/>
      <c r="J210" s="753"/>
      <c r="K210" s="753"/>
      <c r="L210" s="753"/>
      <c r="M210" s="753"/>
      <c r="N210" s="753"/>
      <c r="O210" s="753"/>
      <c r="P210" s="753"/>
      <c r="Q210" s="753"/>
      <c r="R210" s="753"/>
      <c r="S210" s="753"/>
      <c r="T210" s="753"/>
      <c r="U210" s="753"/>
      <c r="V210" s="753"/>
      <c r="W210" s="753"/>
      <c r="X210" s="753"/>
      <c r="Y210" s="753"/>
      <c r="Z210" s="753"/>
      <c r="AA210" s="753"/>
      <c r="AB210" s="753"/>
      <c r="AC210" s="753"/>
      <c r="AD210" s="753"/>
      <c r="AE210" s="750"/>
      <c r="AF210" s="751"/>
      <c r="AG210" s="751"/>
      <c r="AH210" s="751"/>
      <c r="AI210" s="751"/>
      <c r="AJ210" s="751"/>
      <c r="AK210" s="751"/>
      <c r="AL210" s="751"/>
      <c r="AM210" s="751"/>
      <c r="AN210" s="751"/>
      <c r="AO210" s="751"/>
      <c r="AP210" s="751"/>
      <c r="AQ210" s="751"/>
      <c r="AR210" s="752"/>
      <c r="AS210" s="752"/>
      <c r="AT210" s="752"/>
      <c r="AU210" s="752"/>
      <c r="AV210" s="752"/>
      <c r="AW210" s="752"/>
      <c r="AX210" s="752"/>
      <c r="AY210" s="753"/>
    </row>
    <row r="211" spans="1:52" s="770" customFormat="1" ht="12" customHeight="1">
      <c r="A211" s="753"/>
      <c r="B211" s="810"/>
      <c r="C211" s="797"/>
      <c r="D211" s="753"/>
      <c r="E211" s="809"/>
      <c r="F211" s="753"/>
      <c r="G211" s="817"/>
      <c r="H211" s="817"/>
      <c r="I211" s="817"/>
      <c r="J211" s="817"/>
      <c r="K211" s="817"/>
      <c r="L211" s="817"/>
      <c r="M211" s="817"/>
      <c r="N211" s="817"/>
      <c r="O211" s="753"/>
      <c r="P211" s="753"/>
      <c r="Q211" s="753"/>
      <c r="R211" s="753"/>
      <c r="S211" s="753"/>
      <c r="T211" s="753"/>
      <c r="U211" s="753"/>
      <c r="V211" s="753"/>
      <c r="W211" s="753"/>
      <c r="X211" s="753"/>
      <c r="Y211" s="753"/>
      <c r="Z211" s="753"/>
      <c r="AA211" s="753"/>
      <c r="AB211" s="753"/>
      <c r="AC211" s="753"/>
      <c r="AD211" s="753"/>
      <c r="AE211" s="750"/>
      <c r="AF211" s="751"/>
      <c r="AG211" s="751"/>
      <c r="AH211" s="751"/>
      <c r="AI211" s="751"/>
      <c r="AJ211" s="751"/>
      <c r="AK211" s="751"/>
      <c r="AL211" s="751"/>
      <c r="AM211" s="751"/>
      <c r="AN211" s="751"/>
      <c r="AO211" s="751"/>
      <c r="AP211" s="751"/>
      <c r="AQ211" s="751"/>
      <c r="AR211" s="752"/>
      <c r="AS211" s="752"/>
      <c r="AT211" s="752"/>
      <c r="AU211" s="752"/>
      <c r="AV211" s="752"/>
      <c r="AW211" s="752"/>
      <c r="AX211" s="752"/>
      <c r="AY211" s="753"/>
    </row>
    <row r="212" spans="1:52" s="753" customFormat="1" ht="12" customHeight="1">
      <c r="B212" s="796" t="s">
        <v>3806</v>
      </c>
      <c r="C212" s="797"/>
      <c r="E212" s="798"/>
      <c r="F212" s="799"/>
      <c r="AE212" s="750"/>
      <c r="AF212" s="751"/>
      <c r="AG212" s="751"/>
      <c r="AH212" s="751"/>
      <c r="AI212" s="751"/>
      <c r="AJ212" s="751"/>
      <c r="AK212" s="751"/>
      <c r="AL212" s="751"/>
      <c r="AM212" s="751"/>
      <c r="AN212" s="751"/>
      <c r="AO212" s="751"/>
      <c r="AP212" s="751"/>
      <c r="AQ212" s="751"/>
      <c r="AR212" s="752"/>
      <c r="AS212" s="752"/>
      <c r="AT212" s="752"/>
      <c r="AU212" s="752"/>
      <c r="AV212" s="752"/>
      <c r="AW212" s="752"/>
      <c r="AX212" s="752"/>
    </row>
    <row r="213" spans="1:52" s="812" customFormat="1" ht="12.9" customHeight="1">
      <c r="B213" s="800" t="s">
        <v>3977</v>
      </c>
      <c r="C213" s="801"/>
      <c r="D213" s="863"/>
      <c r="E213" s="864"/>
      <c r="F213" s="863"/>
      <c r="G213" s="865"/>
      <c r="H213" s="865"/>
      <c r="I213" s="865"/>
      <c r="J213" s="865"/>
      <c r="K213" s="865"/>
      <c r="L213" s="865"/>
      <c r="M213" s="865"/>
      <c r="N213" s="865"/>
      <c r="O213" s="865"/>
      <c r="P213" s="865"/>
      <c r="Q213" s="865"/>
      <c r="R213" s="865"/>
      <c r="S213" s="865"/>
      <c r="T213" s="865"/>
      <c r="U213" s="865"/>
      <c r="V213" s="865"/>
      <c r="W213" s="865"/>
      <c r="X213" s="865"/>
      <c r="Y213" s="865"/>
      <c r="Z213" s="865"/>
      <c r="AA213" s="865"/>
      <c r="AB213" s="865"/>
      <c r="AC213" s="865"/>
      <c r="AD213" s="806" t="s">
        <v>613</v>
      </c>
      <c r="AE213" s="750"/>
      <c r="AF213" s="751"/>
      <c r="AG213" s="751"/>
      <c r="AH213" s="751"/>
      <c r="AI213" s="751"/>
      <c r="AJ213" s="751"/>
      <c r="AK213" s="751"/>
      <c r="AL213" s="751"/>
      <c r="AM213" s="751"/>
      <c r="AN213" s="751"/>
      <c r="AO213" s="751"/>
      <c r="AP213" s="751"/>
      <c r="AQ213" s="751"/>
      <c r="AR213" s="752"/>
      <c r="AS213" s="752"/>
      <c r="AT213" s="752"/>
      <c r="AU213" s="752"/>
      <c r="AV213" s="752"/>
      <c r="AW213" s="752"/>
      <c r="AX213" s="752"/>
      <c r="AY213" s="753"/>
      <c r="AZ213" s="770"/>
    </row>
    <row r="214" spans="1:52" s="812" customFormat="1" ht="12.9" customHeight="1">
      <c r="B214" s="866"/>
      <c r="C214" s="808">
        <v>12</v>
      </c>
      <c r="D214" s="753" t="s">
        <v>3978</v>
      </c>
      <c r="E214" s="828"/>
      <c r="F214" s="828"/>
      <c r="G214" s="809"/>
      <c r="H214" s="809"/>
      <c r="I214" s="809"/>
      <c r="J214" s="809"/>
      <c r="K214" s="809"/>
      <c r="L214" s="809"/>
      <c r="M214" s="809"/>
      <c r="N214" s="828"/>
      <c r="O214" s="828"/>
      <c r="P214" s="828"/>
      <c r="Q214" s="828"/>
      <c r="Z214" s="818"/>
      <c r="AE214" s="750"/>
      <c r="AF214" s="751"/>
      <c r="AG214" s="751"/>
      <c r="AH214" s="751"/>
      <c r="AI214" s="751"/>
      <c r="AJ214" s="751"/>
      <c r="AK214" s="751"/>
      <c r="AL214" s="751"/>
      <c r="AM214" s="751"/>
      <c r="AN214" s="751"/>
      <c r="AO214" s="751"/>
      <c r="AP214" s="751"/>
      <c r="AQ214" s="751"/>
      <c r="AR214" s="752"/>
      <c r="AS214" s="752"/>
      <c r="AT214" s="752"/>
      <c r="AU214" s="752"/>
      <c r="AV214" s="752"/>
      <c r="AW214" s="752"/>
      <c r="AX214" s="752"/>
      <c r="AY214" s="753"/>
      <c r="AZ214" s="770"/>
    </row>
    <row r="215" spans="1:52" s="812" customFormat="1" ht="12.9" customHeight="1">
      <c r="B215" s="867"/>
      <c r="C215" s="797"/>
      <c r="D215" s="760"/>
      <c r="E215" s="868"/>
      <c r="F215" s="760"/>
      <c r="G215" s="809"/>
      <c r="H215" s="809"/>
      <c r="I215" s="809"/>
      <c r="J215" s="809"/>
      <c r="K215" s="809"/>
      <c r="L215" s="809"/>
      <c r="M215" s="809"/>
      <c r="N215" s="828"/>
      <c r="O215" s="828"/>
      <c r="P215" s="828"/>
      <c r="Q215" s="828"/>
      <c r="AE215" s="750"/>
      <c r="AF215" s="751"/>
      <c r="AG215" s="751"/>
      <c r="AH215" s="751"/>
      <c r="AI215" s="751"/>
      <c r="AJ215" s="751"/>
      <c r="AK215" s="751"/>
      <c r="AL215" s="751"/>
      <c r="AM215" s="751"/>
      <c r="AN215" s="751"/>
      <c r="AO215" s="751"/>
      <c r="AP215" s="751"/>
      <c r="AQ215" s="751"/>
      <c r="AR215" s="752"/>
      <c r="AS215" s="752"/>
      <c r="AT215" s="752"/>
      <c r="AU215" s="752"/>
      <c r="AV215" s="752"/>
      <c r="AW215" s="752"/>
      <c r="AX215" s="752"/>
      <c r="AY215" s="753"/>
      <c r="AZ215" s="770"/>
    </row>
    <row r="216" spans="1:52" s="869" customFormat="1" ht="12.9" customHeight="1">
      <c r="B216" s="870"/>
      <c r="C216" s="835" t="s">
        <v>3979</v>
      </c>
      <c r="D216" s="759" t="s">
        <v>3901</v>
      </c>
      <c r="E216" s="849">
        <v>1</v>
      </c>
      <c r="F216" s="874" t="s">
        <v>3980</v>
      </c>
      <c r="G216" s="874"/>
      <c r="H216" s="871">
        <v>1</v>
      </c>
      <c r="I216" s="817"/>
      <c r="J216" s="817"/>
      <c r="K216" s="817"/>
      <c r="L216" s="817"/>
      <c r="M216" s="817"/>
      <c r="N216" s="760"/>
      <c r="O216" s="872"/>
      <c r="P216" s="872"/>
      <c r="S216" s="812"/>
      <c r="T216" s="812"/>
      <c r="U216" s="812"/>
      <c r="V216" s="812"/>
      <c r="W216" s="812"/>
      <c r="X216" s="812"/>
      <c r="Y216" s="812"/>
      <c r="Z216" s="812"/>
      <c r="AA216" s="812"/>
      <c r="AB216" s="812"/>
      <c r="AC216" s="812"/>
      <c r="AE216" s="750"/>
      <c r="AF216" s="751"/>
      <c r="AG216" s="751"/>
      <c r="AH216" s="751"/>
      <c r="AI216" s="751"/>
      <c r="AJ216" s="751"/>
      <c r="AK216" s="751"/>
      <c r="AL216" s="751"/>
      <c r="AM216" s="751"/>
      <c r="AN216" s="751"/>
      <c r="AO216" s="751"/>
      <c r="AP216" s="751"/>
      <c r="AQ216" s="751"/>
      <c r="AR216" s="752"/>
      <c r="AS216" s="752"/>
      <c r="AT216" s="752"/>
      <c r="AU216" s="752"/>
      <c r="AV216" s="752"/>
      <c r="AW216" s="752"/>
      <c r="AX216" s="752"/>
      <c r="AY216" s="753"/>
      <c r="AZ216" s="770"/>
    </row>
    <row r="217" spans="1:52" s="770" customFormat="1" ht="12" customHeight="1">
      <c r="A217" s="753"/>
      <c r="B217" s="810"/>
      <c r="C217" s="811"/>
      <c r="D217" s="759" t="s">
        <v>3901</v>
      </c>
      <c r="E217" s="849">
        <v>2</v>
      </c>
      <c r="F217" s="874" t="s">
        <v>3981</v>
      </c>
      <c r="G217" s="874"/>
      <c r="H217" s="871">
        <v>1</v>
      </c>
      <c r="I217" s="799"/>
      <c r="J217" s="821"/>
      <c r="K217" s="753"/>
      <c r="L217" s="753"/>
      <c r="M217" s="753"/>
      <c r="N217" s="753"/>
      <c r="O217" s="753"/>
      <c r="P217" s="753"/>
      <c r="Q217" s="753"/>
      <c r="R217" s="799"/>
      <c r="S217" s="812"/>
      <c r="T217" s="812"/>
      <c r="U217" s="812"/>
      <c r="V217" s="812"/>
      <c r="W217" s="812"/>
      <c r="X217" s="812"/>
      <c r="Y217" s="812"/>
      <c r="Z217" s="812"/>
      <c r="AA217" s="812"/>
      <c r="AB217" s="812"/>
      <c r="AC217" s="812"/>
      <c r="AD217" s="799"/>
      <c r="AE217" s="750"/>
      <c r="AF217" s="751"/>
      <c r="AG217" s="751"/>
      <c r="AH217" s="751"/>
      <c r="AI217" s="751"/>
      <c r="AJ217" s="751"/>
      <c r="AK217" s="751"/>
      <c r="AL217" s="751"/>
      <c r="AM217" s="751"/>
      <c r="AN217" s="751"/>
      <c r="AO217" s="751"/>
      <c r="AP217" s="751"/>
      <c r="AQ217" s="751"/>
      <c r="AR217" s="752"/>
      <c r="AS217" s="752"/>
      <c r="AT217" s="752"/>
      <c r="AU217" s="752"/>
      <c r="AV217" s="752"/>
      <c r="AW217" s="752"/>
      <c r="AX217" s="752"/>
      <c r="AY217" s="753"/>
    </row>
    <row r="218" spans="1:52" s="869" customFormat="1" ht="12.9" customHeight="1">
      <c r="B218" s="870"/>
      <c r="C218" s="748"/>
      <c r="D218" s="759" t="s">
        <v>3901</v>
      </c>
      <c r="E218" s="849">
        <v>3</v>
      </c>
      <c r="F218" s="874" t="s">
        <v>3982</v>
      </c>
      <c r="G218" s="874"/>
      <c r="H218" s="871">
        <v>1</v>
      </c>
      <c r="I218" s="817"/>
      <c r="J218" s="817"/>
      <c r="K218" s="817"/>
      <c r="L218" s="817"/>
      <c r="M218" s="817"/>
      <c r="N218" s="760"/>
      <c r="O218" s="872"/>
      <c r="P218" s="872"/>
      <c r="S218" s="812"/>
      <c r="T218" s="812"/>
      <c r="U218" s="812"/>
      <c r="V218" s="812"/>
      <c r="W218" s="812"/>
      <c r="X218" s="812"/>
      <c r="Y218" s="812"/>
      <c r="Z218" s="812"/>
      <c r="AA218" s="812"/>
      <c r="AB218" s="812"/>
      <c r="AC218" s="812"/>
      <c r="AE218" s="750"/>
      <c r="AF218" s="751"/>
      <c r="AG218" s="751"/>
      <c r="AH218" s="751"/>
      <c r="AI218" s="751"/>
      <c r="AJ218" s="751"/>
      <c r="AK218" s="751"/>
      <c r="AL218" s="751"/>
      <c r="AM218" s="751"/>
      <c r="AN218" s="751"/>
      <c r="AO218" s="751"/>
      <c r="AP218" s="751"/>
      <c r="AQ218" s="751"/>
      <c r="AR218" s="752"/>
      <c r="AS218" s="752"/>
      <c r="AT218" s="752"/>
      <c r="AU218" s="752"/>
      <c r="AV218" s="752"/>
      <c r="AW218" s="752"/>
      <c r="AX218" s="752"/>
      <c r="AY218" s="753"/>
      <c r="AZ218" s="770"/>
    </row>
    <row r="219" spans="1:52" s="869" customFormat="1" ht="12.9" customHeight="1">
      <c r="B219" s="870"/>
      <c r="C219" s="748"/>
      <c r="D219" s="759" t="s">
        <v>3901</v>
      </c>
      <c r="E219" s="849">
        <v>4</v>
      </c>
      <c r="F219" s="874" t="s">
        <v>3983</v>
      </c>
      <c r="G219" s="874"/>
      <c r="H219" s="871">
        <v>1</v>
      </c>
      <c r="I219" s="817"/>
      <c r="J219" s="817"/>
      <c r="K219" s="817"/>
      <c r="L219" s="817"/>
      <c r="M219" s="817"/>
      <c r="N219" s="760"/>
      <c r="O219" s="872"/>
      <c r="P219" s="872"/>
      <c r="S219" s="812"/>
      <c r="T219" s="812"/>
      <c r="U219" s="812"/>
      <c r="V219" s="812"/>
      <c r="W219" s="812"/>
      <c r="X219" s="812"/>
      <c r="Y219" s="812"/>
      <c r="Z219" s="812"/>
      <c r="AA219" s="812"/>
      <c r="AB219" s="812"/>
      <c r="AC219" s="812"/>
      <c r="AE219" s="750"/>
      <c r="AF219" s="751"/>
      <c r="AG219" s="751"/>
      <c r="AH219" s="751"/>
      <c r="AI219" s="751"/>
      <c r="AJ219" s="751"/>
      <c r="AK219" s="751"/>
      <c r="AL219" s="751"/>
      <c r="AM219" s="751"/>
      <c r="AN219" s="751"/>
      <c r="AO219" s="751"/>
      <c r="AP219" s="751"/>
      <c r="AQ219" s="751"/>
      <c r="AR219" s="752"/>
      <c r="AS219" s="752"/>
      <c r="AT219" s="752"/>
      <c r="AU219" s="752"/>
      <c r="AV219" s="752"/>
      <c r="AW219" s="752"/>
      <c r="AX219" s="752"/>
      <c r="AY219" s="753"/>
      <c r="AZ219" s="770"/>
    </row>
    <row r="220" spans="1:52" s="770" customFormat="1" ht="12" customHeight="1">
      <c r="A220" s="753"/>
      <c r="B220" s="810"/>
      <c r="C220" s="811"/>
      <c r="D220" s="759" t="s">
        <v>3901</v>
      </c>
      <c r="E220" s="849">
        <v>5</v>
      </c>
      <c r="F220" s="874" t="s">
        <v>3984</v>
      </c>
      <c r="G220" s="874"/>
      <c r="H220" s="871">
        <v>1</v>
      </c>
      <c r="I220" s="799"/>
      <c r="J220" s="821"/>
      <c r="K220" s="753"/>
      <c r="L220" s="753"/>
      <c r="M220" s="753"/>
      <c r="N220" s="753"/>
      <c r="O220" s="753"/>
      <c r="P220" s="753"/>
      <c r="Q220" s="753"/>
      <c r="R220" s="799"/>
      <c r="S220" s="812"/>
      <c r="T220" s="812"/>
      <c r="U220" s="812"/>
      <c r="V220" s="812"/>
      <c r="W220" s="812"/>
      <c r="X220" s="812"/>
      <c r="Y220" s="812"/>
      <c r="Z220" s="812"/>
      <c r="AA220" s="812"/>
      <c r="AB220" s="812"/>
      <c r="AC220" s="812"/>
      <c r="AD220" s="799"/>
      <c r="AE220" s="750"/>
      <c r="AF220" s="751"/>
      <c r="AG220" s="751"/>
      <c r="AH220" s="751"/>
      <c r="AI220" s="751"/>
      <c r="AJ220" s="751"/>
      <c r="AK220" s="751"/>
      <c r="AL220" s="751"/>
      <c r="AM220" s="751"/>
      <c r="AN220" s="751"/>
      <c r="AO220" s="751"/>
      <c r="AP220" s="751"/>
      <c r="AQ220" s="751"/>
      <c r="AR220" s="752"/>
      <c r="AS220" s="752"/>
      <c r="AT220" s="752"/>
      <c r="AU220" s="752"/>
      <c r="AV220" s="752"/>
      <c r="AW220" s="752"/>
      <c r="AX220" s="752"/>
      <c r="AY220" s="753"/>
    </row>
    <row r="221" spans="1:52" s="770" customFormat="1" ht="12" customHeight="1">
      <c r="A221" s="753"/>
      <c r="B221" s="810"/>
      <c r="C221" s="811"/>
      <c r="D221" s="759" t="s">
        <v>3901</v>
      </c>
      <c r="E221" s="849">
        <v>6</v>
      </c>
      <c r="F221" s="874" t="s">
        <v>3985</v>
      </c>
      <c r="G221" s="874"/>
      <c r="H221" s="871">
        <v>1</v>
      </c>
      <c r="I221" s="799"/>
      <c r="J221" s="821"/>
      <c r="K221" s="753"/>
      <c r="L221" s="753"/>
      <c r="M221" s="753"/>
      <c r="N221" s="753"/>
      <c r="O221" s="753"/>
      <c r="P221" s="753"/>
      <c r="Q221" s="753"/>
      <c r="R221" s="799"/>
      <c r="S221" s="812"/>
      <c r="T221" s="812"/>
      <c r="U221" s="812"/>
      <c r="V221" s="812"/>
      <c r="W221" s="812"/>
      <c r="X221" s="812"/>
      <c r="Y221" s="812"/>
      <c r="Z221" s="812"/>
      <c r="AA221" s="812"/>
      <c r="AB221" s="812"/>
      <c r="AC221" s="812"/>
      <c r="AD221" s="799"/>
      <c r="AE221" s="750"/>
      <c r="AF221" s="751"/>
      <c r="AG221" s="751"/>
      <c r="AH221" s="751"/>
      <c r="AI221" s="751"/>
      <c r="AJ221" s="751"/>
      <c r="AK221" s="751"/>
      <c r="AL221" s="751"/>
      <c r="AM221" s="751"/>
      <c r="AN221" s="751"/>
      <c r="AO221" s="751"/>
      <c r="AP221" s="751"/>
      <c r="AQ221" s="751"/>
      <c r="AR221" s="752"/>
      <c r="AS221" s="752"/>
      <c r="AT221" s="752"/>
      <c r="AU221" s="752"/>
      <c r="AV221" s="752"/>
      <c r="AW221" s="752"/>
      <c r="AX221" s="752"/>
      <c r="AY221" s="753"/>
    </row>
    <row r="222" spans="1:52" s="770" customFormat="1" ht="12" customHeight="1">
      <c r="A222" s="753"/>
      <c r="B222" s="810"/>
      <c r="C222" s="811"/>
      <c r="D222" s="759" t="s">
        <v>3901</v>
      </c>
      <c r="E222" s="849">
        <v>7</v>
      </c>
      <c r="F222" s="874" t="s">
        <v>3986</v>
      </c>
      <c r="G222" s="874"/>
      <c r="H222" s="871">
        <v>1</v>
      </c>
      <c r="I222" s="799"/>
      <c r="J222" s="821"/>
      <c r="K222" s="753"/>
      <c r="L222" s="753"/>
      <c r="M222" s="753"/>
      <c r="N222" s="753"/>
      <c r="O222" s="753"/>
      <c r="P222" s="753"/>
      <c r="Q222" s="753"/>
      <c r="R222" s="799"/>
      <c r="S222" s="812"/>
      <c r="T222" s="812"/>
      <c r="U222" s="812"/>
      <c r="V222" s="812"/>
      <c r="W222" s="812"/>
      <c r="X222" s="812"/>
      <c r="Y222" s="812"/>
      <c r="Z222" s="812"/>
      <c r="AA222" s="812"/>
      <c r="AB222" s="812"/>
      <c r="AC222" s="812"/>
      <c r="AD222" s="799"/>
      <c r="AE222" s="750"/>
      <c r="AF222" s="751"/>
      <c r="AG222" s="751"/>
      <c r="AH222" s="751"/>
      <c r="AI222" s="751"/>
      <c r="AJ222" s="751"/>
      <c r="AK222" s="751"/>
      <c r="AL222" s="751"/>
      <c r="AM222" s="751"/>
      <c r="AN222" s="751"/>
      <c r="AO222" s="751"/>
      <c r="AP222" s="751"/>
      <c r="AQ222" s="751"/>
      <c r="AR222" s="752"/>
      <c r="AS222" s="752"/>
      <c r="AT222" s="752"/>
      <c r="AU222" s="752"/>
      <c r="AV222" s="752"/>
      <c r="AW222" s="752"/>
      <c r="AX222" s="752"/>
      <c r="AY222" s="753"/>
    </row>
    <row r="223" spans="1:52" s="770" customFormat="1" ht="12" customHeight="1">
      <c r="A223" s="753"/>
      <c r="B223" s="810"/>
      <c r="C223" s="811"/>
      <c r="D223" s="759" t="s">
        <v>3901</v>
      </c>
      <c r="E223" s="849">
        <v>8</v>
      </c>
      <c r="F223" s="820" t="s">
        <v>3987</v>
      </c>
      <c r="G223" s="820"/>
      <c r="H223" s="873">
        <v>2</v>
      </c>
      <c r="I223" s="817"/>
      <c r="J223" s="817"/>
      <c r="K223" s="817"/>
      <c r="L223" s="817"/>
      <c r="M223" s="817"/>
      <c r="N223" s="753"/>
      <c r="O223" s="753"/>
      <c r="P223" s="753"/>
      <c r="Q223" s="753"/>
      <c r="R223" s="799"/>
      <c r="S223" s="812"/>
      <c r="T223" s="812"/>
      <c r="U223" s="812"/>
      <c r="V223" s="812"/>
      <c r="W223" s="812"/>
      <c r="X223" s="812"/>
      <c r="Y223" s="812"/>
      <c r="Z223" s="812"/>
      <c r="AA223" s="812"/>
      <c r="AB223" s="812"/>
      <c r="AC223" s="812"/>
      <c r="AD223" s="799"/>
      <c r="AE223" s="750"/>
      <c r="AF223" s="751"/>
      <c r="AG223" s="751"/>
      <c r="AH223" s="751"/>
      <c r="AI223" s="751"/>
      <c r="AJ223" s="751"/>
      <c r="AK223" s="751"/>
      <c r="AL223" s="751"/>
      <c r="AM223" s="751"/>
      <c r="AN223" s="751"/>
      <c r="AO223" s="751"/>
      <c r="AP223" s="751"/>
      <c r="AQ223" s="751"/>
      <c r="AR223" s="752"/>
      <c r="AS223" s="752"/>
      <c r="AT223" s="752"/>
      <c r="AU223" s="752"/>
      <c r="AV223" s="752"/>
      <c r="AW223" s="752"/>
      <c r="AX223" s="752"/>
      <c r="AY223" s="753"/>
    </row>
    <row r="224" spans="1:52" s="770" customFormat="1" ht="12" customHeight="1">
      <c r="A224" s="753"/>
      <c r="B224" s="810"/>
      <c r="C224" s="811"/>
      <c r="D224" s="759" t="s">
        <v>3901</v>
      </c>
      <c r="E224" s="849">
        <v>9</v>
      </c>
      <c r="F224" s="820" t="s">
        <v>3988</v>
      </c>
      <c r="G224" s="820"/>
      <c r="H224" s="873">
        <v>2</v>
      </c>
      <c r="I224" s="817"/>
      <c r="J224" s="817"/>
      <c r="K224" s="817"/>
      <c r="L224" s="817"/>
      <c r="M224" s="817"/>
      <c r="N224" s="753"/>
      <c r="O224" s="753"/>
      <c r="P224" s="753"/>
      <c r="Q224" s="753"/>
      <c r="R224" s="799"/>
      <c r="S224" s="799"/>
      <c r="T224" s="799"/>
      <c r="U224" s="799"/>
      <c r="V224" s="799"/>
      <c r="W224" s="812"/>
      <c r="X224" s="812"/>
      <c r="Y224" s="812"/>
      <c r="Z224" s="812"/>
      <c r="AA224" s="812"/>
      <c r="AB224" s="812"/>
      <c r="AC224" s="812"/>
      <c r="AD224" s="799"/>
      <c r="AE224" s="750"/>
      <c r="AF224" s="751"/>
      <c r="AG224" s="751"/>
      <c r="AH224" s="751"/>
      <c r="AI224" s="751"/>
      <c r="AJ224" s="751"/>
      <c r="AK224" s="751"/>
      <c r="AL224" s="751"/>
      <c r="AM224" s="751"/>
      <c r="AN224" s="751"/>
      <c r="AO224" s="751"/>
      <c r="AP224" s="751"/>
      <c r="AQ224" s="751"/>
      <c r="AR224" s="752"/>
      <c r="AS224" s="752"/>
      <c r="AT224" s="752"/>
      <c r="AU224" s="752"/>
      <c r="AV224" s="752"/>
      <c r="AW224" s="752"/>
      <c r="AX224" s="752"/>
      <c r="AY224" s="753"/>
    </row>
    <row r="225" spans="1:51" s="770" customFormat="1" ht="12" customHeight="1">
      <c r="A225" s="753"/>
      <c r="B225" s="810"/>
      <c r="C225" s="811"/>
      <c r="D225" s="759" t="s">
        <v>3901</v>
      </c>
      <c r="E225" s="849">
        <v>10</v>
      </c>
      <c r="F225" s="820" t="s">
        <v>3989</v>
      </c>
      <c r="G225" s="820"/>
      <c r="H225" s="873">
        <v>2</v>
      </c>
      <c r="I225" s="817"/>
      <c r="J225" s="817"/>
      <c r="K225" s="817"/>
      <c r="L225" s="817"/>
      <c r="M225" s="817"/>
      <c r="N225" s="753"/>
      <c r="O225" s="753"/>
      <c r="P225" s="753"/>
      <c r="Q225" s="753"/>
      <c r="R225" s="799"/>
      <c r="S225" s="799"/>
      <c r="T225" s="799"/>
      <c r="U225" s="799"/>
      <c r="V225" s="799"/>
      <c r="W225" s="812"/>
      <c r="X225" s="812"/>
      <c r="Y225" s="812"/>
      <c r="Z225" s="812"/>
      <c r="AA225" s="812"/>
      <c r="AB225" s="812"/>
      <c r="AC225" s="812"/>
      <c r="AD225" s="799"/>
      <c r="AE225" s="750"/>
      <c r="AF225" s="751"/>
      <c r="AG225" s="751"/>
      <c r="AH225" s="751"/>
      <c r="AI225" s="751"/>
      <c r="AJ225" s="751"/>
      <c r="AK225" s="751"/>
      <c r="AL225" s="751"/>
      <c r="AM225" s="751"/>
      <c r="AN225" s="751"/>
      <c r="AO225" s="751"/>
      <c r="AP225" s="751"/>
      <c r="AQ225" s="751"/>
      <c r="AR225" s="752"/>
      <c r="AS225" s="752"/>
      <c r="AT225" s="752"/>
      <c r="AU225" s="752"/>
      <c r="AV225" s="752"/>
      <c r="AW225" s="752"/>
      <c r="AX225" s="752"/>
      <c r="AY225" s="753"/>
    </row>
    <row r="226" spans="1:51" s="770" customFormat="1" ht="12" customHeight="1">
      <c r="A226" s="753"/>
      <c r="B226" s="810"/>
      <c r="C226" s="811"/>
      <c r="D226" s="759" t="s">
        <v>3901</v>
      </c>
      <c r="E226" s="849">
        <v>11</v>
      </c>
      <c r="F226" s="820" t="s">
        <v>3990</v>
      </c>
      <c r="G226" s="820"/>
      <c r="H226" s="873">
        <v>2</v>
      </c>
      <c r="I226" s="799"/>
      <c r="J226" s="821"/>
      <c r="K226" s="753"/>
      <c r="L226" s="753"/>
      <c r="M226" s="753"/>
      <c r="N226" s="753"/>
      <c r="O226" s="753"/>
      <c r="P226" s="753"/>
      <c r="Q226" s="753"/>
      <c r="R226" s="799"/>
      <c r="S226" s="799"/>
      <c r="T226" s="799"/>
      <c r="U226" s="799"/>
      <c r="V226" s="799"/>
      <c r="W226" s="799"/>
      <c r="X226" s="799"/>
      <c r="Y226" s="799"/>
      <c r="Z226" s="799"/>
      <c r="AA226" s="799"/>
      <c r="AB226" s="799"/>
      <c r="AC226" s="799"/>
      <c r="AD226" s="799"/>
      <c r="AE226" s="750"/>
      <c r="AF226" s="751"/>
      <c r="AG226" s="751"/>
      <c r="AH226" s="751"/>
      <c r="AI226" s="751"/>
      <c r="AJ226" s="751"/>
      <c r="AK226" s="751"/>
      <c r="AL226" s="751"/>
      <c r="AM226" s="751"/>
      <c r="AN226" s="751"/>
      <c r="AO226" s="751"/>
      <c r="AP226" s="751"/>
      <c r="AQ226" s="751"/>
      <c r="AR226" s="752"/>
      <c r="AS226" s="752"/>
      <c r="AT226" s="752"/>
      <c r="AU226" s="752"/>
      <c r="AV226" s="752"/>
      <c r="AW226" s="752"/>
      <c r="AX226" s="752"/>
      <c r="AY226" s="753"/>
    </row>
    <row r="227" spans="1:51" s="770" customFormat="1" ht="12" customHeight="1">
      <c r="A227" s="753"/>
      <c r="B227" s="810"/>
      <c r="C227" s="811"/>
      <c r="D227" s="759" t="s">
        <v>3901</v>
      </c>
      <c r="E227" s="849">
        <v>12</v>
      </c>
      <c r="F227" s="820" t="s">
        <v>3991</v>
      </c>
      <c r="G227" s="820"/>
      <c r="H227" s="873">
        <v>2</v>
      </c>
      <c r="I227" s="799"/>
      <c r="J227" s="821"/>
      <c r="K227" s="753"/>
      <c r="L227" s="753"/>
      <c r="M227" s="753"/>
      <c r="N227" s="753"/>
      <c r="O227" s="753"/>
      <c r="P227" s="753"/>
      <c r="Q227" s="753"/>
      <c r="R227" s="799"/>
      <c r="S227" s="799"/>
      <c r="T227" s="799"/>
      <c r="U227" s="799"/>
      <c r="V227" s="799"/>
      <c r="W227" s="799"/>
      <c r="X227" s="799"/>
      <c r="Y227" s="799"/>
      <c r="Z227" s="799"/>
      <c r="AA227" s="799"/>
      <c r="AB227" s="799"/>
      <c r="AC227" s="799"/>
      <c r="AD227" s="799"/>
      <c r="AE227" s="750"/>
      <c r="AF227" s="751"/>
      <c r="AG227" s="751"/>
      <c r="AH227" s="751"/>
      <c r="AI227" s="751"/>
      <c r="AJ227" s="751"/>
      <c r="AK227" s="751"/>
      <c r="AL227" s="751"/>
      <c r="AM227" s="751"/>
      <c r="AN227" s="751"/>
      <c r="AO227" s="751"/>
      <c r="AP227" s="751"/>
      <c r="AQ227" s="751"/>
      <c r="AR227" s="752"/>
      <c r="AS227" s="752"/>
      <c r="AT227" s="752"/>
      <c r="AU227" s="752"/>
      <c r="AV227" s="752"/>
      <c r="AW227" s="752"/>
      <c r="AX227" s="752"/>
      <c r="AY227" s="753"/>
    </row>
    <row r="228" spans="1:51" s="770" customFormat="1" ht="12" customHeight="1">
      <c r="A228" s="753"/>
      <c r="B228" s="810"/>
      <c r="C228" s="811"/>
      <c r="D228" s="759" t="s">
        <v>3901</v>
      </c>
      <c r="E228" s="849">
        <v>13</v>
      </c>
      <c r="F228" s="820" t="s">
        <v>3992</v>
      </c>
      <c r="G228" s="814"/>
      <c r="H228" s="799"/>
      <c r="I228" s="799"/>
      <c r="J228" s="821"/>
      <c r="K228" s="753"/>
      <c r="L228" s="753"/>
      <c r="M228" s="753"/>
      <c r="N228" s="753"/>
      <c r="O228" s="753"/>
      <c r="P228" s="753"/>
      <c r="Q228" s="753"/>
      <c r="R228" s="799"/>
      <c r="S228" s="799"/>
      <c r="T228" s="799"/>
      <c r="U228" s="799"/>
      <c r="V228" s="799"/>
      <c r="W228" s="799"/>
      <c r="X228" s="799"/>
      <c r="Y228" s="799"/>
      <c r="Z228" s="799"/>
      <c r="AA228" s="799"/>
      <c r="AB228" s="799"/>
      <c r="AC228" s="799"/>
      <c r="AD228" s="799"/>
      <c r="AE228" s="750"/>
      <c r="AF228" s="751"/>
      <c r="AG228" s="751"/>
      <c r="AH228" s="751"/>
      <c r="AI228" s="751"/>
      <c r="AJ228" s="751"/>
      <c r="AK228" s="751"/>
      <c r="AL228" s="751"/>
      <c r="AM228" s="751"/>
      <c r="AN228" s="751"/>
      <c r="AO228" s="751"/>
      <c r="AP228" s="751"/>
      <c r="AQ228" s="751"/>
      <c r="AR228" s="752"/>
      <c r="AS228" s="752"/>
      <c r="AT228" s="752"/>
      <c r="AU228" s="752"/>
      <c r="AV228" s="752"/>
      <c r="AW228" s="752"/>
      <c r="AX228" s="752"/>
      <c r="AY228" s="753"/>
    </row>
    <row r="229" spans="1:51" s="770" customFormat="1" ht="12" customHeight="1">
      <c r="A229" s="753"/>
      <c r="B229" s="810"/>
      <c r="C229" s="811"/>
      <c r="D229" s="759"/>
      <c r="E229" s="849"/>
      <c r="F229" s="825"/>
      <c r="G229" s="825"/>
      <c r="H229" s="799"/>
      <c r="I229" s="799"/>
      <c r="J229" s="821"/>
      <c r="K229" s="753"/>
      <c r="L229" s="753"/>
      <c r="M229" s="753"/>
      <c r="N229" s="753"/>
      <c r="O229" s="753"/>
      <c r="P229" s="753"/>
      <c r="Q229" s="753"/>
      <c r="R229" s="799"/>
      <c r="S229" s="799"/>
      <c r="T229" s="799"/>
      <c r="U229" s="799"/>
      <c r="V229" s="799"/>
      <c r="W229" s="799"/>
      <c r="X229" s="799"/>
      <c r="Y229" s="799"/>
      <c r="Z229" s="799"/>
      <c r="AA229" s="799"/>
      <c r="AB229" s="799"/>
      <c r="AC229" s="799"/>
      <c r="AD229" s="799"/>
      <c r="AE229" s="750"/>
      <c r="AF229" s="751"/>
      <c r="AG229" s="751"/>
      <c r="AH229" s="751"/>
      <c r="AI229" s="751"/>
      <c r="AJ229" s="751"/>
      <c r="AK229" s="751"/>
      <c r="AL229" s="751"/>
      <c r="AM229" s="751"/>
      <c r="AN229" s="751"/>
      <c r="AO229" s="751"/>
      <c r="AP229" s="751"/>
      <c r="AQ229" s="751"/>
      <c r="AR229" s="752"/>
      <c r="AS229" s="752"/>
      <c r="AT229" s="752"/>
      <c r="AU229" s="752"/>
      <c r="AV229" s="752"/>
      <c r="AW229" s="752"/>
      <c r="AX229" s="752"/>
      <c r="AY229" s="753"/>
    </row>
    <row r="230" spans="1:51" s="770" customFormat="1" ht="12" customHeight="1">
      <c r="A230" s="753"/>
      <c r="B230" s="810"/>
      <c r="C230" s="811"/>
      <c r="D230" s="759"/>
      <c r="E230" s="849"/>
      <c r="F230" s="825"/>
      <c r="G230" s="825"/>
      <c r="H230" s="799"/>
      <c r="I230" s="799"/>
      <c r="J230" s="821"/>
      <c r="K230" s="753"/>
      <c r="L230" s="753"/>
      <c r="M230" s="753"/>
      <c r="N230" s="753"/>
      <c r="O230" s="753"/>
      <c r="P230" s="753"/>
      <c r="Q230" s="753"/>
      <c r="R230" s="799"/>
      <c r="S230" s="799"/>
      <c r="T230" s="799"/>
      <c r="U230" s="799"/>
      <c r="V230" s="799"/>
      <c r="W230" s="799"/>
      <c r="X230" s="799"/>
      <c r="Y230" s="799"/>
      <c r="Z230" s="799"/>
      <c r="AA230" s="799"/>
      <c r="AB230" s="799"/>
      <c r="AC230" s="799"/>
      <c r="AD230" s="799"/>
      <c r="AE230" s="750"/>
      <c r="AF230" s="751"/>
      <c r="AG230" s="751"/>
      <c r="AH230" s="751"/>
      <c r="AI230" s="751"/>
      <c r="AJ230" s="751"/>
      <c r="AK230" s="751"/>
      <c r="AL230" s="751"/>
      <c r="AM230" s="751"/>
      <c r="AN230" s="751"/>
      <c r="AO230" s="751"/>
      <c r="AP230" s="751"/>
      <c r="AQ230" s="751"/>
      <c r="AR230" s="752"/>
      <c r="AS230" s="752"/>
      <c r="AT230" s="752"/>
      <c r="AU230" s="752"/>
      <c r="AV230" s="752"/>
      <c r="AW230" s="752"/>
      <c r="AX230" s="752"/>
      <c r="AY230" s="753"/>
    </row>
    <row r="231" spans="1:51" s="753" customFormat="1" ht="12" customHeight="1">
      <c r="B231" s="796" t="s">
        <v>3806</v>
      </c>
      <c r="C231" s="797"/>
      <c r="E231" s="798"/>
      <c r="F231" s="799"/>
      <c r="AE231" s="750"/>
      <c r="AF231" s="751"/>
      <c r="AG231" s="751"/>
      <c r="AH231" s="751"/>
      <c r="AI231" s="751"/>
      <c r="AJ231" s="751"/>
      <c r="AK231" s="751"/>
      <c r="AL231" s="751"/>
      <c r="AM231" s="751"/>
      <c r="AN231" s="751"/>
      <c r="AO231" s="751"/>
      <c r="AP231" s="751"/>
      <c r="AQ231" s="751"/>
      <c r="AR231" s="752"/>
      <c r="AS231" s="752"/>
      <c r="AT231" s="752"/>
      <c r="AU231" s="752"/>
      <c r="AV231" s="752"/>
      <c r="AW231" s="752"/>
      <c r="AX231" s="752"/>
    </row>
    <row r="232" spans="1:51" s="770" customFormat="1" ht="12" customHeight="1">
      <c r="A232" s="744"/>
      <c r="B232" s="800" t="s">
        <v>3993</v>
      </c>
      <c r="C232" s="801"/>
      <c r="D232" s="802"/>
      <c r="E232" s="803"/>
      <c r="F232" s="802"/>
      <c r="G232" s="804"/>
      <c r="H232" s="804"/>
      <c r="I232" s="804"/>
      <c r="J232" s="804"/>
      <c r="K232" s="804"/>
      <c r="L232" s="804"/>
      <c r="M232" s="804"/>
      <c r="N232" s="804"/>
      <c r="O232" s="804"/>
      <c r="P232" s="804"/>
      <c r="Q232" s="804"/>
      <c r="R232" s="804"/>
      <c r="S232" s="804"/>
      <c r="T232" s="804"/>
      <c r="U232" s="804"/>
      <c r="V232" s="804"/>
      <c r="W232" s="804"/>
      <c r="X232" s="804"/>
      <c r="Y232" s="804"/>
      <c r="Z232" s="804"/>
      <c r="AA232" s="805"/>
      <c r="AB232" s="804"/>
      <c r="AC232" s="804"/>
      <c r="AD232" s="806" t="s">
        <v>613</v>
      </c>
      <c r="AE232" s="750"/>
      <c r="AF232" s="751"/>
      <c r="AG232" s="751"/>
      <c r="AH232" s="751"/>
      <c r="AI232" s="751"/>
      <c r="AJ232" s="751"/>
      <c r="AK232" s="751"/>
      <c r="AL232" s="751"/>
      <c r="AM232" s="751"/>
      <c r="AN232" s="751"/>
      <c r="AO232" s="751"/>
      <c r="AP232" s="751"/>
      <c r="AQ232" s="751"/>
      <c r="AR232" s="752"/>
      <c r="AS232" s="752"/>
      <c r="AT232" s="752"/>
      <c r="AU232" s="752"/>
      <c r="AV232" s="752"/>
      <c r="AW232" s="752"/>
      <c r="AX232" s="752"/>
      <c r="AY232" s="753"/>
    </row>
    <row r="233" spans="1:51" s="770" customFormat="1" ht="12" customHeight="1">
      <c r="A233" s="753"/>
      <c r="B233" s="886"/>
      <c r="C233" s="808">
        <v>13</v>
      </c>
      <c r="D233" s="753" t="s">
        <v>3994</v>
      </c>
      <c r="E233" s="888"/>
      <c r="F233" s="888"/>
      <c r="G233" s="888"/>
      <c r="H233" s="888"/>
      <c r="I233" s="888"/>
      <c r="J233" s="888"/>
      <c r="K233" s="888"/>
      <c r="L233" s="888"/>
      <c r="M233" s="888"/>
      <c r="N233" s="888"/>
      <c r="O233" s="888"/>
      <c r="P233" s="888"/>
      <c r="Q233" s="888"/>
      <c r="R233" s="889"/>
      <c r="S233" s="889"/>
      <c r="T233" s="889"/>
      <c r="U233" s="889"/>
      <c r="V233" s="889"/>
      <c r="W233" s="889"/>
      <c r="X233" s="889"/>
      <c r="Y233" s="889"/>
      <c r="Z233" s="889"/>
      <c r="AA233" s="889"/>
      <c r="AB233" s="889"/>
      <c r="AC233" s="889"/>
      <c r="AD233" s="890"/>
      <c r="AE233" s="750"/>
      <c r="AF233" s="751"/>
      <c r="AG233" s="751"/>
      <c r="AH233" s="751"/>
      <c r="AI233" s="751"/>
      <c r="AJ233" s="751"/>
      <c r="AK233" s="751"/>
      <c r="AL233" s="751"/>
      <c r="AM233" s="751"/>
      <c r="AN233" s="751"/>
      <c r="AO233" s="751"/>
      <c r="AP233" s="751"/>
      <c r="AQ233" s="751"/>
      <c r="AR233" s="752"/>
      <c r="AS233" s="752"/>
      <c r="AT233" s="752"/>
      <c r="AU233" s="752"/>
      <c r="AV233" s="752"/>
      <c r="AW233" s="752"/>
      <c r="AX233" s="752"/>
      <c r="AY233" s="753"/>
    </row>
    <row r="234" spans="1:51" s="770" customFormat="1" ht="12" customHeight="1">
      <c r="A234" s="753"/>
      <c r="B234" s="810"/>
      <c r="C234" s="797"/>
      <c r="D234" s="753"/>
      <c r="E234" s="809"/>
      <c r="F234" s="834"/>
      <c r="G234" s="809"/>
      <c r="H234" s="817"/>
      <c r="I234" s="817"/>
      <c r="J234" s="817"/>
      <c r="K234" s="817"/>
      <c r="L234" s="817"/>
      <c r="M234" s="817"/>
      <c r="N234" s="817"/>
      <c r="O234" s="809"/>
      <c r="P234" s="809"/>
      <c r="Q234" s="809"/>
      <c r="R234" s="759"/>
      <c r="S234" s="759"/>
      <c r="T234" s="759"/>
      <c r="U234" s="759"/>
      <c r="V234" s="759"/>
      <c r="W234" s="759"/>
      <c r="X234" s="759"/>
      <c r="Y234" s="759"/>
      <c r="Z234" s="759"/>
      <c r="AA234" s="759"/>
      <c r="AB234" s="759"/>
      <c r="AC234" s="759"/>
      <c r="AD234" s="759"/>
      <c r="AE234" s="750"/>
      <c r="AF234" s="751"/>
      <c r="AG234" s="751"/>
      <c r="AH234" s="751"/>
      <c r="AI234" s="751"/>
      <c r="AJ234" s="751"/>
      <c r="AK234" s="751"/>
      <c r="AL234" s="751"/>
      <c r="AM234" s="751"/>
      <c r="AN234" s="751"/>
      <c r="AO234" s="751"/>
      <c r="AP234" s="751"/>
      <c r="AQ234" s="751"/>
      <c r="AR234" s="752"/>
      <c r="AS234" s="752"/>
      <c r="AT234" s="752"/>
      <c r="AU234" s="752"/>
      <c r="AV234" s="752"/>
      <c r="AW234" s="752"/>
      <c r="AX234" s="752"/>
      <c r="AY234" s="753"/>
    </row>
    <row r="235" spans="1:51" s="770" customFormat="1" ht="12" customHeight="1">
      <c r="A235" s="753"/>
      <c r="B235" s="810"/>
      <c r="C235" s="835"/>
      <c r="D235" s="753"/>
      <c r="E235" s="852"/>
      <c r="F235" s="811"/>
      <c r="H235" s="853">
        <v>1</v>
      </c>
      <c r="I235" s="853">
        <v>2</v>
      </c>
      <c r="J235" s="853">
        <v>3</v>
      </c>
      <c r="K235" s="825"/>
      <c r="L235" s="875"/>
      <c r="M235" s="817"/>
      <c r="N235" s="817"/>
      <c r="O235" s="875"/>
      <c r="Q235" s="753"/>
      <c r="R235" s="799"/>
      <c r="S235" s="799"/>
      <c r="T235" s="799"/>
      <c r="U235" s="799"/>
      <c r="V235" s="799"/>
      <c r="W235" s="799"/>
      <c r="X235" s="799"/>
      <c r="Y235" s="799"/>
      <c r="Z235" s="799"/>
      <c r="AA235" s="799"/>
      <c r="AB235" s="799"/>
      <c r="AC235" s="799"/>
      <c r="AD235" s="799"/>
      <c r="AE235" s="750"/>
      <c r="AF235" s="751"/>
      <c r="AG235" s="751"/>
      <c r="AH235" s="751"/>
      <c r="AI235" s="751"/>
      <c r="AJ235" s="751"/>
      <c r="AK235" s="751"/>
      <c r="AL235" s="751"/>
      <c r="AM235" s="751"/>
      <c r="AN235" s="751"/>
      <c r="AO235" s="751"/>
      <c r="AP235" s="751"/>
      <c r="AQ235" s="751"/>
      <c r="AR235" s="752"/>
      <c r="AS235" s="752"/>
      <c r="AT235" s="752"/>
      <c r="AU235" s="752"/>
      <c r="AV235" s="752"/>
      <c r="AW235" s="752"/>
      <c r="AX235" s="752"/>
      <c r="AY235" s="753"/>
    </row>
    <row r="236" spans="1:51" s="770" customFormat="1" ht="122.4" customHeight="1">
      <c r="A236" s="753"/>
      <c r="B236" s="810"/>
      <c r="C236" s="811"/>
      <c r="D236" s="811"/>
      <c r="E236" s="852"/>
      <c r="F236" s="854"/>
      <c r="H236" s="855" t="s">
        <v>3995</v>
      </c>
      <c r="I236" s="855" t="s">
        <v>3996</v>
      </c>
      <c r="J236" s="855" t="s">
        <v>3997</v>
      </c>
      <c r="K236" s="825"/>
      <c r="Z236" s="799"/>
      <c r="AA236" s="799"/>
      <c r="AB236" s="799"/>
      <c r="AC236" s="799"/>
      <c r="AD236" s="799"/>
      <c r="AE236" s="750"/>
      <c r="AF236" s="751"/>
      <c r="AG236" s="856"/>
      <c r="AH236" s="856"/>
      <c r="AI236" s="751"/>
      <c r="AJ236" s="751"/>
      <c r="AK236" s="751"/>
      <c r="AL236" s="751"/>
      <c r="AM236" s="751"/>
      <c r="AN236" s="751"/>
      <c r="AO236" s="751"/>
      <c r="AP236" s="751"/>
      <c r="AQ236" s="751"/>
      <c r="AR236" s="752"/>
      <c r="AS236" s="752"/>
      <c r="AT236" s="752"/>
      <c r="AU236" s="752"/>
      <c r="AV236" s="752"/>
      <c r="AW236" s="752"/>
      <c r="AX236" s="752"/>
      <c r="AY236" s="753"/>
    </row>
    <row r="237" spans="1:51" s="770" customFormat="1" ht="12" customHeight="1">
      <c r="A237" s="753"/>
      <c r="B237" s="810"/>
      <c r="C237" s="811"/>
      <c r="D237" s="811"/>
      <c r="E237" s="852"/>
      <c r="F237" s="892" t="s">
        <v>3998</v>
      </c>
      <c r="H237" s="858" t="s">
        <v>3881</v>
      </c>
      <c r="I237" s="858" t="s">
        <v>3881</v>
      </c>
      <c r="J237" s="858" t="s">
        <v>3881</v>
      </c>
      <c r="K237" s="825"/>
      <c r="Z237" s="799"/>
      <c r="AA237" s="799"/>
      <c r="AB237" s="799"/>
      <c r="AC237" s="799"/>
      <c r="AD237" s="799"/>
      <c r="AE237" s="750"/>
      <c r="AF237" s="751"/>
      <c r="AG237" s="751"/>
      <c r="AH237" s="751"/>
      <c r="AI237" s="751"/>
      <c r="AJ237" s="751"/>
      <c r="AK237" s="751"/>
      <c r="AL237" s="751"/>
      <c r="AM237" s="751"/>
      <c r="AN237" s="751"/>
      <c r="AO237" s="751"/>
      <c r="AP237" s="751"/>
      <c r="AQ237" s="751"/>
      <c r="AR237" s="752"/>
      <c r="AS237" s="752"/>
      <c r="AT237" s="752"/>
      <c r="AU237" s="752"/>
      <c r="AV237" s="752"/>
      <c r="AW237" s="752"/>
      <c r="AX237" s="752"/>
      <c r="AY237" s="753"/>
    </row>
    <row r="238" spans="1:51" s="770" customFormat="1" ht="12" customHeight="1">
      <c r="A238" s="753"/>
      <c r="B238" s="810"/>
      <c r="C238" s="811"/>
      <c r="D238" s="749"/>
      <c r="E238" s="893">
        <v>1</v>
      </c>
      <c r="F238" s="891"/>
      <c r="G238" s="891" t="s">
        <v>3980</v>
      </c>
      <c r="H238" s="759" t="s">
        <v>3901</v>
      </c>
      <c r="I238" s="759" t="s">
        <v>3901</v>
      </c>
      <c r="J238" s="759" t="s">
        <v>3809</v>
      </c>
      <c r="K238" s="759"/>
      <c r="Z238" s="799"/>
      <c r="AA238" s="799"/>
      <c r="AB238" s="799"/>
      <c r="AC238" s="799"/>
      <c r="AD238" s="799"/>
      <c r="AE238" s="750"/>
      <c r="AF238" s="751"/>
      <c r="AG238" s="751"/>
      <c r="AH238" s="751"/>
      <c r="AI238" s="751"/>
      <c r="AJ238" s="751"/>
      <c r="AK238" s="751"/>
      <c r="AL238" s="751"/>
      <c r="AM238" s="751"/>
      <c r="AN238" s="751"/>
      <c r="AO238" s="751"/>
      <c r="AP238" s="751"/>
      <c r="AQ238" s="751"/>
      <c r="AR238" s="752"/>
      <c r="AS238" s="752"/>
      <c r="AT238" s="752"/>
      <c r="AU238" s="752"/>
      <c r="AV238" s="752"/>
      <c r="AW238" s="752"/>
      <c r="AX238" s="752"/>
      <c r="AY238" s="753"/>
    </row>
    <row r="239" spans="1:51" s="770" customFormat="1" ht="12" customHeight="1">
      <c r="A239" s="753"/>
      <c r="B239" s="810"/>
      <c r="C239" s="811"/>
      <c r="D239" s="749"/>
      <c r="E239" s="893">
        <v>2</v>
      </c>
      <c r="F239" s="891"/>
      <c r="G239" s="891" t="s">
        <v>3981</v>
      </c>
      <c r="H239" s="759" t="s">
        <v>3901</v>
      </c>
      <c r="I239" s="759" t="s">
        <v>3901</v>
      </c>
      <c r="J239" s="759" t="s">
        <v>3809</v>
      </c>
      <c r="K239" s="825"/>
      <c r="Z239" s="799"/>
      <c r="AA239" s="799"/>
      <c r="AB239" s="799"/>
      <c r="AC239" s="799"/>
      <c r="AD239" s="799"/>
      <c r="AE239" s="750"/>
      <c r="AF239" s="751"/>
      <c r="AG239" s="751"/>
      <c r="AH239" s="751"/>
      <c r="AI239" s="751"/>
      <c r="AJ239" s="751"/>
      <c r="AK239" s="751"/>
      <c r="AL239" s="751"/>
      <c r="AM239" s="751"/>
      <c r="AN239" s="751"/>
      <c r="AO239" s="751"/>
      <c r="AP239" s="751"/>
      <c r="AQ239" s="751"/>
      <c r="AR239" s="752"/>
      <c r="AS239" s="752"/>
      <c r="AT239" s="752"/>
      <c r="AU239" s="752"/>
      <c r="AV239" s="752"/>
      <c r="AW239" s="752"/>
      <c r="AX239" s="752"/>
      <c r="AY239" s="753"/>
    </row>
    <row r="240" spans="1:51" s="770" customFormat="1" ht="12" customHeight="1">
      <c r="A240" s="753"/>
      <c r="B240" s="810"/>
      <c r="C240" s="811"/>
      <c r="D240" s="749"/>
      <c r="E240" s="893">
        <v>3</v>
      </c>
      <c r="F240" s="891"/>
      <c r="G240" s="891" t="s">
        <v>3999</v>
      </c>
      <c r="H240" s="759" t="s">
        <v>3901</v>
      </c>
      <c r="I240" s="759" t="s">
        <v>3901</v>
      </c>
      <c r="J240" s="759" t="s">
        <v>3809</v>
      </c>
      <c r="K240" s="825"/>
      <c r="Z240" s="799"/>
      <c r="AA240" s="799"/>
      <c r="AB240" s="799"/>
      <c r="AC240" s="799"/>
      <c r="AD240" s="799"/>
      <c r="AE240" s="750"/>
      <c r="AF240" s="751"/>
      <c r="AG240" s="751"/>
      <c r="AH240" s="751"/>
      <c r="AI240" s="751"/>
      <c r="AJ240" s="751"/>
      <c r="AK240" s="751"/>
      <c r="AL240" s="751"/>
      <c r="AM240" s="751"/>
      <c r="AN240" s="751"/>
      <c r="AO240" s="751"/>
      <c r="AP240" s="751"/>
      <c r="AQ240" s="751"/>
      <c r="AR240" s="752"/>
      <c r="AS240" s="752"/>
      <c r="AT240" s="752"/>
      <c r="AU240" s="752"/>
      <c r="AV240" s="752"/>
      <c r="AW240" s="752"/>
      <c r="AX240" s="752"/>
      <c r="AY240" s="753"/>
    </row>
    <row r="241" spans="1:52" s="770" customFormat="1" ht="12" customHeight="1">
      <c r="A241" s="753"/>
      <c r="B241" s="810"/>
      <c r="C241" s="811"/>
      <c r="D241" s="749"/>
      <c r="E241" s="893">
        <v>4</v>
      </c>
      <c r="F241" s="891"/>
      <c r="G241" s="891" t="s">
        <v>3983</v>
      </c>
      <c r="H241" s="759" t="s">
        <v>3901</v>
      </c>
      <c r="I241" s="759" t="s">
        <v>3901</v>
      </c>
      <c r="J241" s="759" t="s">
        <v>3809</v>
      </c>
      <c r="K241" s="825"/>
      <c r="L241" s="817"/>
      <c r="Z241" s="799"/>
      <c r="AA241" s="799"/>
      <c r="AB241" s="799"/>
      <c r="AC241" s="799"/>
      <c r="AD241" s="799"/>
      <c r="AE241" s="750"/>
      <c r="AF241" s="751"/>
      <c r="AG241" s="751"/>
      <c r="AH241" s="751"/>
      <c r="AI241" s="751"/>
      <c r="AJ241" s="751"/>
      <c r="AK241" s="751"/>
      <c r="AL241" s="751"/>
      <c r="AM241" s="751"/>
      <c r="AN241" s="751"/>
      <c r="AO241" s="751"/>
      <c r="AP241" s="751"/>
      <c r="AQ241" s="751"/>
      <c r="AR241" s="752"/>
      <c r="AS241" s="752"/>
      <c r="AT241" s="752"/>
      <c r="AU241" s="752"/>
      <c r="AV241" s="752"/>
      <c r="AW241" s="752"/>
      <c r="AX241" s="752"/>
      <c r="AY241" s="753"/>
    </row>
    <row r="242" spans="1:52" s="770" customFormat="1" ht="12" customHeight="1">
      <c r="A242" s="753"/>
      <c r="B242" s="810"/>
      <c r="C242" s="811"/>
      <c r="D242" s="749"/>
      <c r="E242" s="893">
        <v>5</v>
      </c>
      <c r="F242" s="891"/>
      <c r="G242" s="891" t="s">
        <v>3984</v>
      </c>
      <c r="H242" s="759" t="s">
        <v>3901</v>
      </c>
      <c r="I242" s="759" t="s">
        <v>3901</v>
      </c>
      <c r="J242" s="759" t="s">
        <v>3809</v>
      </c>
      <c r="K242" s="825"/>
      <c r="L242" s="817"/>
      <c r="Z242" s="799"/>
      <c r="AA242" s="799"/>
      <c r="AB242" s="799"/>
      <c r="AC242" s="799"/>
      <c r="AD242" s="799"/>
      <c r="AE242" s="750"/>
      <c r="AF242" s="751"/>
      <c r="AG242" s="751"/>
      <c r="AH242" s="751"/>
      <c r="AI242" s="751"/>
      <c r="AJ242" s="751"/>
      <c r="AK242" s="751"/>
      <c r="AL242" s="751"/>
      <c r="AM242" s="751"/>
      <c r="AN242" s="751"/>
      <c r="AO242" s="751"/>
      <c r="AP242" s="751"/>
      <c r="AQ242" s="751"/>
      <c r="AR242" s="752"/>
      <c r="AS242" s="752"/>
      <c r="AT242" s="752"/>
      <c r="AU242" s="752"/>
      <c r="AV242" s="752"/>
      <c r="AW242" s="752"/>
      <c r="AX242" s="752"/>
      <c r="AY242" s="753"/>
    </row>
    <row r="243" spans="1:52" s="753" customFormat="1" ht="12" customHeight="1">
      <c r="B243" s="810"/>
      <c r="C243" s="797"/>
      <c r="E243" s="893">
        <v>6</v>
      </c>
      <c r="F243" s="891"/>
      <c r="G243" s="891" t="s">
        <v>3985</v>
      </c>
      <c r="H243" s="759" t="s">
        <v>3901</v>
      </c>
      <c r="I243" s="759" t="s">
        <v>3901</v>
      </c>
      <c r="J243" s="759" t="s">
        <v>3809</v>
      </c>
      <c r="K243" s="825"/>
      <c r="M243" s="770"/>
      <c r="N243" s="770"/>
      <c r="O243" s="770"/>
      <c r="P243" s="770"/>
      <c r="Q243" s="770"/>
      <c r="R243" s="770"/>
      <c r="S243" s="770"/>
      <c r="T243" s="770"/>
      <c r="U243" s="770"/>
      <c r="V243" s="770"/>
      <c r="W243" s="770"/>
      <c r="X243" s="770"/>
      <c r="Y243" s="770"/>
      <c r="AE243" s="750"/>
      <c r="AF243" s="751"/>
      <c r="AG243" s="751"/>
      <c r="AH243" s="751"/>
      <c r="AI243" s="751"/>
      <c r="AJ243" s="751"/>
      <c r="AK243" s="751"/>
      <c r="AL243" s="751"/>
      <c r="AM243" s="751"/>
      <c r="AN243" s="751"/>
      <c r="AO243" s="751"/>
      <c r="AP243" s="751"/>
      <c r="AQ243" s="751"/>
      <c r="AR243" s="752"/>
      <c r="AS243" s="752"/>
      <c r="AT243" s="752"/>
      <c r="AU243" s="752"/>
      <c r="AV243" s="752"/>
      <c r="AW243" s="752"/>
      <c r="AX243" s="752"/>
    </row>
    <row r="244" spans="1:52" s="753" customFormat="1" ht="12" customHeight="1">
      <c r="B244" s="810"/>
      <c r="C244" s="797"/>
      <c r="E244" s="893">
        <v>7</v>
      </c>
      <c r="F244" s="891"/>
      <c r="G244" s="891" t="s">
        <v>3986</v>
      </c>
      <c r="H244" s="759" t="s">
        <v>3901</v>
      </c>
      <c r="I244" s="759" t="s">
        <v>3901</v>
      </c>
      <c r="J244" s="759" t="s">
        <v>3809</v>
      </c>
      <c r="K244" s="825"/>
      <c r="M244" s="770"/>
      <c r="N244" s="770"/>
      <c r="O244" s="770"/>
      <c r="P244" s="770"/>
      <c r="Q244" s="770"/>
      <c r="R244" s="770"/>
      <c r="S244" s="770"/>
      <c r="T244" s="770"/>
      <c r="U244" s="770"/>
      <c r="V244" s="770"/>
      <c r="W244" s="770"/>
      <c r="X244" s="770"/>
      <c r="Y244" s="770"/>
      <c r="AE244" s="750"/>
      <c r="AF244" s="751"/>
      <c r="AG244" s="751"/>
      <c r="AH244" s="751"/>
      <c r="AI244" s="751"/>
      <c r="AJ244" s="751"/>
      <c r="AK244" s="751"/>
      <c r="AL244" s="751"/>
      <c r="AM244" s="751"/>
      <c r="AN244" s="751"/>
      <c r="AO244" s="751"/>
      <c r="AP244" s="751"/>
      <c r="AQ244" s="751"/>
      <c r="AR244" s="752"/>
      <c r="AS244" s="752"/>
      <c r="AT244" s="752"/>
      <c r="AU244" s="752"/>
      <c r="AV244" s="752"/>
      <c r="AW244" s="752"/>
      <c r="AX244" s="752"/>
    </row>
    <row r="245" spans="1:52" s="770" customFormat="1" ht="12" customHeight="1">
      <c r="A245" s="753"/>
      <c r="B245" s="810"/>
      <c r="C245" s="797"/>
      <c r="D245" s="753"/>
      <c r="E245" s="860">
        <v>8</v>
      </c>
      <c r="F245" s="861"/>
      <c r="G245" s="861" t="s">
        <v>3987</v>
      </c>
      <c r="H245" s="759" t="s">
        <v>3901</v>
      </c>
      <c r="I245" s="759" t="s">
        <v>3901</v>
      </c>
      <c r="J245" s="759" t="s">
        <v>3809</v>
      </c>
      <c r="K245" s="817"/>
      <c r="L245" s="817"/>
      <c r="Z245" s="753"/>
      <c r="AA245" s="753"/>
      <c r="AB245" s="753"/>
      <c r="AC245" s="753"/>
      <c r="AD245" s="753"/>
      <c r="AE245" s="750"/>
      <c r="AF245" s="751"/>
      <c r="AG245" s="751"/>
      <c r="AH245" s="751"/>
      <c r="AI245" s="751"/>
      <c r="AJ245" s="751"/>
      <c r="AK245" s="751"/>
      <c r="AL245" s="751"/>
      <c r="AM245" s="751"/>
      <c r="AN245" s="751"/>
      <c r="AO245" s="751"/>
      <c r="AP245" s="751"/>
      <c r="AQ245" s="751"/>
      <c r="AR245" s="752"/>
      <c r="AS245" s="752"/>
      <c r="AT245" s="752"/>
      <c r="AU245" s="752"/>
      <c r="AV245" s="752"/>
      <c r="AW245" s="752"/>
      <c r="AX245" s="752"/>
      <c r="AY245" s="753"/>
    </row>
    <row r="246" spans="1:52" s="770" customFormat="1" ht="12" customHeight="1">
      <c r="A246" s="753"/>
      <c r="B246" s="810"/>
      <c r="C246" s="797"/>
      <c r="D246" s="753"/>
      <c r="E246" s="860">
        <v>9</v>
      </c>
      <c r="F246" s="861"/>
      <c r="G246" s="861" t="s">
        <v>4000</v>
      </c>
      <c r="H246" s="759" t="s">
        <v>3901</v>
      </c>
      <c r="I246" s="759" t="s">
        <v>3901</v>
      </c>
      <c r="J246" s="759" t="s">
        <v>3809</v>
      </c>
      <c r="K246" s="817"/>
      <c r="L246" s="817"/>
      <c r="Z246" s="753"/>
      <c r="AA246" s="753"/>
      <c r="AB246" s="753"/>
      <c r="AC246" s="753"/>
      <c r="AD246" s="753"/>
      <c r="AE246" s="750"/>
      <c r="AF246" s="751"/>
      <c r="AG246" s="751"/>
      <c r="AH246" s="751"/>
      <c r="AI246" s="751"/>
      <c r="AJ246" s="751"/>
      <c r="AK246" s="751"/>
      <c r="AL246" s="751"/>
      <c r="AM246" s="751"/>
      <c r="AN246" s="751"/>
      <c r="AO246" s="751"/>
      <c r="AP246" s="751"/>
      <c r="AQ246" s="751"/>
      <c r="AR246" s="752"/>
      <c r="AS246" s="752"/>
      <c r="AT246" s="752"/>
      <c r="AU246" s="752"/>
      <c r="AV246" s="752"/>
      <c r="AW246" s="752"/>
      <c r="AX246" s="752"/>
      <c r="AY246" s="753"/>
    </row>
    <row r="247" spans="1:52" s="770" customFormat="1" ht="12" customHeight="1">
      <c r="A247" s="753"/>
      <c r="B247" s="810"/>
      <c r="C247" s="797"/>
      <c r="D247" s="753"/>
      <c r="E247" s="860">
        <v>10</v>
      </c>
      <c r="F247" s="861"/>
      <c r="G247" s="861" t="s">
        <v>3989</v>
      </c>
      <c r="H247" s="759" t="s">
        <v>3901</v>
      </c>
      <c r="I247" s="759" t="s">
        <v>3901</v>
      </c>
      <c r="J247" s="759" t="s">
        <v>3809</v>
      </c>
      <c r="K247" s="817"/>
      <c r="L247" s="817"/>
      <c r="M247" s="817"/>
      <c r="N247" s="817"/>
      <c r="O247" s="753"/>
      <c r="P247" s="753"/>
      <c r="Q247" s="753"/>
      <c r="R247" s="753"/>
      <c r="S247" s="753"/>
      <c r="T247" s="753"/>
      <c r="U247" s="753"/>
      <c r="V247" s="753"/>
      <c r="W247" s="753"/>
      <c r="X247" s="753"/>
      <c r="Y247" s="753"/>
      <c r="Z247" s="753"/>
      <c r="AA247" s="753"/>
      <c r="AB247" s="753"/>
      <c r="AC247" s="753"/>
      <c r="AD247" s="753"/>
      <c r="AE247" s="750"/>
      <c r="AF247" s="751"/>
      <c r="AG247" s="751"/>
      <c r="AH247" s="751"/>
      <c r="AI247" s="751"/>
      <c r="AJ247" s="751"/>
      <c r="AK247" s="751"/>
      <c r="AL247" s="751"/>
      <c r="AM247" s="751"/>
      <c r="AN247" s="751"/>
      <c r="AO247" s="751"/>
      <c r="AP247" s="751"/>
      <c r="AQ247" s="751"/>
      <c r="AR247" s="752"/>
      <c r="AS247" s="752"/>
      <c r="AT247" s="752"/>
      <c r="AU247" s="752"/>
      <c r="AV247" s="752"/>
      <c r="AW247" s="752"/>
      <c r="AX247" s="752"/>
      <c r="AY247" s="753"/>
    </row>
    <row r="248" spans="1:52" s="770" customFormat="1" ht="12" customHeight="1">
      <c r="A248" s="753"/>
      <c r="B248" s="810"/>
      <c r="C248" s="797"/>
      <c r="D248" s="753"/>
      <c r="E248" s="860">
        <v>11</v>
      </c>
      <c r="F248" s="861"/>
      <c r="G248" s="861" t="s">
        <v>4001</v>
      </c>
      <c r="H248" s="759" t="s">
        <v>3901</v>
      </c>
      <c r="I248" s="759" t="s">
        <v>3901</v>
      </c>
      <c r="J248" s="759" t="s">
        <v>3809</v>
      </c>
      <c r="K248" s="817"/>
      <c r="L248" s="817"/>
      <c r="M248" s="817"/>
      <c r="N248" s="817"/>
      <c r="O248" s="753"/>
      <c r="P248" s="753"/>
      <c r="Q248" s="753"/>
      <c r="R248" s="753"/>
      <c r="S248" s="753"/>
      <c r="T248" s="753"/>
      <c r="U248" s="753"/>
      <c r="V248" s="753"/>
      <c r="W248" s="753"/>
      <c r="X248" s="753"/>
      <c r="Y248" s="753"/>
      <c r="Z248" s="753"/>
      <c r="AA248" s="753"/>
      <c r="AB248" s="753"/>
      <c r="AC248" s="753"/>
      <c r="AD248" s="753"/>
      <c r="AE248" s="750"/>
      <c r="AF248" s="751"/>
      <c r="AG248" s="751"/>
      <c r="AH248" s="751"/>
      <c r="AI248" s="751"/>
      <c r="AJ248" s="751"/>
      <c r="AK248" s="751"/>
      <c r="AL248" s="751"/>
      <c r="AM248" s="751"/>
      <c r="AN248" s="751"/>
      <c r="AO248" s="751"/>
      <c r="AP248" s="751"/>
      <c r="AQ248" s="751"/>
      <c r="AR248" s="752"/>
      <c r="AS248" s="752"/>
      <c r="AT248" s="752"/>
      <c r="AU248" s="752"/>
      <c r="AV248" s="752"/>
      <c r="AW248" s="752"/>
      <c r="AX248" s="752"/>
      <c r="AY248" s="753"/>
    </row>
    <row r="249" spans="1:52" s="770" customFormat="1" ht="12" customHeight="1">
      <c r="A249" s="753"/>
      <c r="B249" s="810"/>
      <c r="C249" s="797"/>
      <c r="D249" s="753"/>
      <c r="E249" s="860">
        <v>12</v>
      </c>
      <c r="F249" s="861"/>
      <c r="G249" s="861" t="s">
        <v>3991</v>
      </c>
      <c r="H249" s="759" t="s">
        <v>3901</v>
      </c>
      <c r="I249" s="759" t="s">
        <v>3901</v>
      </c>
      <c r="J249" s="759" t="s">
        <v>3809</v>
      </c>
      <c r="K249" s="817"/>
      <c r="L249" s="817"/>
      <c r="M249" s="817"/>
      <c r="N249" s="817"/>
      <c r="O249" s="753"/>
      <c r="P249" s="753"/>
      <c r="Q249" s="753"/>
      <c r="R249" s="753"/>
      <c r="S249" s="753"/>
      <c r="T249" s="753"/>
      <c r="U249" s="753"/>
      <c r="V249" s="753"/>
      <c r="W249" s="753"/>
      <c r="X249" s="753"/>
      <c r="Y249" s="753"/>
      <c r="Z249" s="753"/>
      <c r="AA249" s="753"/>
      <c r="AB249" s="753"/>
      <c r="AC249" s="753"/>
      <c r="AD249" s="753"/>
      <c r="AE249" s="750"/>
      <c r="AF249" s="751"/>
      <c r="AG249" s="751"/>
      <c r="AH249" s="751"/>
      <c r="AI249" s="751"/>
      <c r="AJ249" s="751"/>
      <c r="AK249" s="751"/>
      <c r="AL249" s="751"/>
      <c r="AM249" s="751"/>
      <c r="AN249" s="751"/>
      <c r="AO249" s="751"/>
      <c r="AP249" s="751"/>
      <c r="AQ249" s="751"/>
      <c r="AR249" s="752"/>
      <c r="AS249" s="752"/>
      <c r="AT249" s="752"/>
      <c r="AU249" s="752"/>
      <c r="AV249" s="752"/>
      <c r="AW249" s="752"/>
      <c r="AX249" s="752"/>
      <c r="AY249" s="753"/>
    </row>
    <row r="250" spans="1:52" s="770" customFormat="1" ht="12" customHeight="1">
      <c r="A250" s="753"/>
      <c r="B250" s="810"/>
      <c r="C250" s="797"/>
      <c r="D250" s="753"/>
      <c r="E250" s="894">
        <v>13</v>
      </c>
      <c r="F250" s="895"/>
      <c r="G250" s="895" t="s">
        <v>4002</v>
      </c>
      <c r="H250" s="759" t="s">
        <v>3901</v>
      </c>
      <c r="I250" s="759" t="s">
        <v>3901</v>
      </c>
      <c r="J250" s="759" t="s">
        <v>3809</v>
      </c>
      <c r="K250" s="817"/>
      <c r="L250" s="817"/>
      <c r="M250" s="817"/>
      <c r="N250" s="817"/>
      <c r="O250" s="753"/>
      <c r="P250" s="753"/>
      <c r="Q250" s="753"/>
      <c r="R250" s="753"/>
      <c r="S250" s="753"/>
      <c r="T250" s="753"/>
      <c r="U250" s="753"/>
      <c r="V250" s="753"/>
      <c r="W250" s="753"/>
      <c r="X250" s="753"/>
      <c r="Y250" s="753"/>
      <c r="Z250" s="753"/>
      <c r="AA250" s="753"/>
      <c r="AB250" s="753"/>
      <c r="AC250" s="753"/>
      <c r="AD250" s="753"/>
      <c r="AE250" s="750"/>
      <c r="AF250" s="751"/>
      <c r="AG250" s="751"/>
      <c r="AH250" s="751"/>
      <c r="AI250" s="751"/>
      <c r="AJ250" s="751"/>
      <c r="AK250" s="751"/>
      <c r="AL250" s="751"/>
      <c r="AM250" s="751"/>
      <c r="AN250" s="751"/>
      <c r="AO250" s="751"/>
      <c r="AP250" s="751"/>
      <c r="AQ250" s="751"/>
      <c r="AR250" s="752"/>
      <c r="AS250" s="752"/>
      <c r="AT250" s="752"/>
      <c r="AU250" s="752"/>
      <c r="AV250" s="752"/>
      <c r="AW250" s="752"/>
      <c r="AX250" s="752"/>
      <c r="AY250" s="753"/>
    </row>
    <row r="251" spans="1:52" s="770" customFormat="1" ht="12" customHeight="1">
      <c r="A251" s="753"/>
      <c r="B251" s="810"/>
      <c r="C251" s="797"/>
      <c r="D251" s="753"/>
      <c r="E251" s="809"/>
      <c r="F251" s="753"/>
      <c r="G251" s="817"/>
      <c r="H251" s="817"/>
      <c r="I251" s="817"/>
      <c r="J251" s="817"/>
      <c r="K251" s="817"/>
      <c r="L251" s="817"/>
      <c r="M251" s="817"/>
      <c r="N251" s="817"/>
      <c r="O251" s="753"/>
      <c r="P251" s="753"/>
      <c r="Q251" s="753"/>
      <c r="R251" s="753"/>
      <c r="S251" s="753"/>
      <c r="T251" s="753"/>
      <c r="U251" s="753"/>
      <c r="V251" s="753"/>
      <c r="W251" s="753"/>
      <c r="X251" s="753"/>
      <c r="Y251" s="753"/>
      <c r="Z251" s="753"/>
      <c r="AA251" s="753"/>
      <c r="AB251" s="753"/>
      <c r="AC251" s="753"/>
      <c r="AD251" s="753"/>
      <c r="AE251" s="750"/>
      <c r="AF251" s="751"/>
      <c r="AG251" s="751"/>
      <c r="AH251" s="751"/>
      <c r="AI251" s="751"/>
      <c r="AJ251" s="751"/>
      <c r="AK251" s="751"/>
      <c r="AL251" s="751"/>
      <c r="AM251" s="751"/>
      <c r="AN251" s="751"/>
      <c r="AO251" s="751"/>
      <c r="AP251" s="751"/>
      <c r="AQ251" s="751"/>
      <c r="AR251" s="752"/>
      <c r="AS251" s="752"/>
      <c r="AT251" s="752"/>
      <c r="AU251" s="752"/>
      <c r="AV251" s="752"/>
      <c r="AW251" s="752"/>
      <c r="AX251" s="752"/>
      <c r="AY251" s="753"/>
    </row>
    <row r="252" spans="1:52" s="770" customFormat="1" ht="12" customHeight="1">
      <c r="A252" s="753"/>
      <c r="B252" s="810"/>
      <c r="C252" s="811"/>
      <c r="D252" s="759"/>
      <c r="E252" s="849"/>
      <c r="F252" s="850"/>
      <c r="G252" s="836"/>
      <c r="H252" s="799"/>
      <c r="I252" s="799"/>
      <c r="J252" s="821"/>
      <c r="K252" s="753"/>
      <c r="L252" s="753"/>
      <c r="M252" s="753"/>
      <c r="N252" s="753"/>
      <c r="O252" s="753"/>
      <c r="P252" s="753"/>
      <c r="Q252" s="753"/>
      <c r="R252" s="799"/>
      <c r="S252" s="799"/>
      <c r="T252" s="799"/>
      <c r="U252" s="799"/>
      <c r="V252" s="799"/>
      <c r="W252" s="799"/>
      <c r="X252" s="799"/>
      <c r="Y252" s="799"/>
      <c r="Z252" s="799"/>
      <c r="AA252" s="799"/>
      <c r="AB252" s="799"/>
      <c r="AC252" s="799"/>
      <c r="AD252" s="799"/>
      <c r="AE252" s="750"/>
      <c r="AF252" s="751"/>
      <c r="AG252" s="751"/>
      <c r="AH252" s="751"/>
      <c r="AI252" s="751"/>
      <c r="AJ252" s="751"/>
      <c r="AK252" s="751"/>
      <c r="AL252" s="751"/>
      <c r="AM252" s="751"/>
      <c r="AN252" s="751"/>
      <c r="AO252" s="751"/>
      <c r="AP252" s="751"/>
      <c r="AQ252" s="751"/>
      <c r="AR252" s="752"/>
      <c r="AS252" s="752"/>
      <c r="AT252" s="752"/>
      <c r="AU252" s="752"/>
      <c r="AV252" s="752"/>
      <c r="AW252" s="752"/>
      <c r="AX252" s="752"/>
      <c r="AY252" s="753"/>
    </row>
    <row r="253" spans="1:52" s="753" customFormat="1" ht="12" customHeight="1">
      <c r="B253" s="796" t="s">
        <v>3806</v>
      </c>
      <c r="C253" s="797"/>
      <c r="E253" s="798"/>
      <c r="F253" s="799"/>
      <c r="AE253" s="750"/>
      <c r="AF253" s="751"/>
      <c r="AG253" s="751"/>
      <c r="AH253" s="751"/>
      <c r="AI253" s="751"/>
      <c r="AJ253" s="751"/>
      <c r="AK253" s="751"/>
      <c r="AL253" s="751"/>
      <c r="AM253" s="751"/>
      <c r="AN253" s="751"/>
      <c r="AO253" s="751"/>
      <c r="AP253" s="751"/>
      <c r="AQ253" s="751"/>
      <c r="AR253" s="752"/>
      <c r="AS253" s="752"/>
      <c r="AT253" s="752"/>
      <c r="AU253" s="752"/>
      <c r="AV253" s="752"/>
      <c r="AW253" s="752"/>
      <c r="AX253" s="752"/>
    </row>
    <row r="254" spans="1:52" s="812" customFormat="1" ht="12.9" customHeight="1">
      <c r="B254" s="800" t="s">
        <v>4003</v>
      </c>
      <c r="C254" s="801"/>
      <c r="D254" s="863"/>
      <c r="E254" s="864"/>
      <c r="F254" s="863"/>
      <c r="G254" s="865"/>
      <c r="H254" s="865"/>
      <c r="I254" s="865"/>
      <c r="J254" s="865"/>
      <c r="K254" s="865"/>
      <c r="L254" s="865"/>
      <c r="M254" s="865"/>
      <c r="N254" s="865"/>
      <c r="O254" s="865"/>
      <c r="P254" s="865"/>
      <c r="Q254" s="865"/>
      <c r="R254" s="865"/>
      <c r="S254" s="865"/>
      <c r="T254" s="865"/>
      <c r="U254" s="865"/>
      <c r="V254" s="865"/>
      <c r="W254" s="865"/>
      <c r="X254" s="865"/>
      <c r="Y254" s="865"/>
      <c r="Z254" s="865"/>
      <c r="AA254" s="865"/>
      <c r="AB254" s="865"/>
      <c r="AC254" s="865"/>
      <c r="AD254" s="806" t="s">
        <v>568</v>
      </c>
      <c r="AE254" s="750"/>
      <c r="AF254" s="751"/>
      <c r="AG254" s="751"/>
      <c r="AH254" s="751"/>
      <c r="AI254" s="751"/>
      <c r="AJ254" s="751"/>
      <c r="AK254" s="751"/>
      <c r="AL254" s="751"/>
      <c r="AM254" s="751"/>
      <c r="AN254" s="751"/>
      <c r="AO254" s="751"/>
      <c r="AP254" s="751"/>
      <c r="AQ254" s="751"/>
      <c r="AR254" s="752"/>
      <c r="AS254" s="752"/>
      <c r="AT254" s="752"/>
      <c r="AU254" s="752"/>
      <c r="AV254" s="752"/>
      <c r="AW254" s="752"/>
      <c r="AX254" s="752"/>
      <c r="AY254" s="753"/>
      <c r="AZ254" s="770"/>
    </row>
    <row r="255" spans="1:52" s="812" customFormat="1" ht="12.9" customHeight="1">
      <c r="B255" s="866"/>
      <c r="C255" s="808">
        <v>14</v>
      </c>
      <c r="D255" s="753" t="s">
        <v>4004</v>
      </c>
      <c r="E255" s="828"/>
      <c r="F255" s="828"/>
      <c r="G255" s="809"/>
      <c r="H255" s="809"/>
      <c r="I255" s="809"/>
      <c r="J255" s="809"/>
      <c r="K255" s="809"/>
      <c r="L255" s="809"/>
      <c r="M255" s="809"/>
      <c r="N255" s="828"/>
      <c r="O255" s="828"/>
      <c r="P255" s="828"/>
      <c r="Q255" s="828"/>
      <c r="Z255" s="818"/>
      <c r="AE255" s="750"/>
      <c r="AF255" s="751"/>
      <c r="AG255" s="751"/>
      <c r="AH255" s="751"/>
      <c r="AI255" s="751"/>
      <c r="AJ255" s="751"/>
      <c r="AK255" s="751"/>
      <c r="AL255" s="751"/>
      <c r="AM255" s="751"/>
      <c r="AN255" s="751"/>
      <c r="AO255" s="751"/>
      <c r="AP255" s="751"/>
      <c r="AQ255" s="751"/>
      <c r="AR255" s="752"/>
      <c r="AS255" s="752"/>
      <c r="AT255" s="752"/>
      <c r="AU255" s="752"/>
      <c r="AV255" s="752"/>
      <c r="AW255" s="752"/>
      <c r="AX255" s="752"/>
      <c r="AY255" s="753"/>
      <c r="AZ255" s="770"/>
    </row>
    <row r="256" spans="1:52" s="812" customFormat="1" ht="12.9" customHeight="1">
      <c r="B256" s="867"/>
      <c r="C256" s="797"/>
      <c r="D256" s="760"/>
      <c r="E256" s="868"/>
      <c r="F256" s="760"/>
      <c r="G256" s="809"/>
      <c r="H256" s="809"/>
      <c r="I256" s="809"/>
      <c r="J256" s="809"/>
      <c r="K256" s="809"/>
      <c r="L256" s="809"/>
      <c r="M256" s="809"/>
      <c r="N256" s="828"/>
      <c r="O256" s="828"/>
      <c r="P256" s="828"/>
      <c r="Q256" s="828"/>
      <c r="AE256" s="750"/>
      <c r="AF256" s="751"/>
      <c r="AG256" s="751"/>
      <c r="AH256" s="751"/>
      <c r="AI256" s="751"/>
      <c r="AJ256" s="751"/>
      <c r="AK256" s="751"/>
      <c r="AL256" s="751"/>
      <c r="AM256" s="751"/>
      <c r="AN256" s="751"/>
      <c r="AO256" s="751"/>
      <c r="AP256" s="751"/>
      <c r="AQ256" s="751"/>
      <c r="AR256" s="752"/>
      <c r="AS256" s="752"/>
      <c r="AT256" s="752"/>
      <c r="AU256" s="752"/>
      <c r="AV256" s="752"/>
      <c r="AW256" s="752"/>
      <c r="AX256" s="752"/>
      <c r="AY256" s="753"/>
      <c r="AZ256" s="770"/>
    </row>
    <row r="257" spans="1:52" s="869" customFormat="1" ht="12.9" customHeight="1">
      <c r="B257" s="870"/>
      <c r="C257" s="835"/>
      <c r="D257" s="759" t="s">
        <v>3809</v>
      </c>
      <c r="E257" s="849">
        <v>1</v>
      </c>
      <c r="F257" s="874" t="s">
        <v>4005</v>
      </c>
      <c r="G257" s="874"/>
      <c r="H257" s="817"/>
      <c r="I257" s="817"/>
      <c r="J257" s="817"/>
      <c r="K257" s="817"/>
      <c r="L257" s="817"/>
      <c r="M257" s="817"/>
      <c r="N257" s="760"/>
      <c r="O257" s="872"/>
      <c r="P257" s="872"/>
      <c r="S257" s="812"/>
      <c r="T257" s="812"/>
      <c r="U257" s="812"/>
      <c r="V257" s="812"/>
      <c r="W257" s="812"/>
      <c r="X257" s="812"/>
      <c r="Y257" s="812"/>
      <c r="Z257" s="812"/>
      <c r="AA257" s="812"/>
      <c r="AB257" s="812"/>
      <c r="AC257" s="812"/>
      <c r="AE257" s="750"/>
      <c r="AF257" s="751"/>
      <c r="AG257" s="751"/>
      <c r="AH257" s="751"/>
      <c r="AI257" s="751"/>
      <c r="AJ257" s="751"/>
      <c r="AK257" s="751"/>
      <c r="AL257" s="751"/>
      <c r="AM257" s="751"/>
      <c r="AN257" s="751"/>
      <c r="AO257" s="751"/>
      <c r="AP257" s="751"/>
      <c r="AQ257" s="751"/>
      <c r="AR257" s="752"/>
      <c r="AS257" s="752"/>
      <c r="AT257" s="752"/>
      <c r="AU257" s="752"/>
      <c r="AV257" s="752"/>
      <c r="AW257" s="752"/>
      <c r="AX257" s="752"/>
      <c r="AY257" s="753"/>
      <c r="AZ257" s="770"/>
    </row>
    <row r="258" spans="1:52" s="770" customFormat="1" ht="12" customHeight="1">
      <c r="A258" s="753"/>
      <c r="B258" s="810"/>
      <c r="C258" s="811"/>
      <c r="D258" s="759" t="s">
        <v>3809</v>
      </c>
      <c r="E258" s="849">
        <v>2</v>
      </c>
      <c r="F258" s="874" t="s">
        <v>4006</v>
      </c>
      <c r="G258" s="874"/>
      <c r="H258" s="799"/>
      <c r="I258" s="799"/>
      <c r="J258" s="821"/>
      <c r="K258" s="753"/>
      <c r="L258" s="753"/>
      <c r="M258" s="753"/>
      <c r="N258" s="753"/>
      <c r="O258" s="753"/>
      <c r="P258" s="753"/>
      <c r="Q258" s="753"/>
      <c r="R258" s="799"/>
      <c r="S258" s="812"/>
      <c r="T258" s="812"/>
      <c r="U258" s="812"/>
      <c r="V258" s="812"/>
      <c r="W258" s="812"/>
      <c r="X258" s="812"/>
      <c r="Y258" s="812"/>
      <c r="Z258" s="812"/>
      <c r="AA258" s="812"/>
      <c r="AB258" s="812"/>
      <c r="AC258" s="812"/>
      <c r="AD258" s="799"/>
      <c r="AE258" s="750"/>
      <c r="AF258" s="751"/>
      <c r="AG258" s="751"/>
      <c r="AH258" s="751"/>
      <c r="AI258" s="751"/>
      <c r="AJ258" s="751"/>
      <c r="AK258" s="751"/>
      <c r="AL258" s="751"/>
      <c r="AM258" s="751"/>
      <c r="AN258" s="751"/>
      <c r="AO258" s="751"/>
      <c r="AP258" s="751"/>
      <c r="AQ258" s="751"/>
      <c r="AR258" s="752"/>
      <c r="AS258" s="752"/>
      <c r="AT258" s="752"/>
      <c r="AU258" s="752"/>
      <c r="AV258" s="752"/>
      <c r="AW258" s="752"/>
      <c r="AX258" s="752"/>
      <c r="AY258" s="753"/>
    </row>
    <row r="259" spans="1:52" s="869" customFormat="1" ht="12.9" customHeight="1">
      <c r="B259" s="870"/>
      <c r="C259" s="748"/>
      <c r="D259" s="759" t="s">
        <v>3809</v>
      </c>
      <c r="E259" s="849">
        <v>3</v>
      </c>
      <c r="F259" s="814" t="s">
        <v>4007</v>
      </c>
      <c r="G259" s="814"/>
      <c r="H259" s="815" t="s">
        <v>3811</v>
      </c>
      <c r="I259" s="817"/>
      <c r="J259" s="817"/>
      <c r="K259" s="817"/>
      <c r="L259" s="817"/>
      <c r="M259" s="817"/>
      <c r="N259" s="760"/>
      <c r="O259" s="872"/>
      <c r="P259" s="872"/>
      <c r="S259" s="812"/>
      <c r="T259" s="812"/>
      <c r="U259" s="812"/>
      <c r="V259" s="812"/>
      <c r="W259" s="812"/>
      <c r="X259" s="812"/>
      <c r="Y259" s="812"/>
      <c r="Z259" s="812"/>
      <c r="AA259" s="812"/>
      <c r="AB259" s="812"/>
      <c r="AC259" s="812"/>
      <c r="AE259" s="750"/>
      <c r="AF259" s="751"/>
      <c r="AG259" s="751"/>
      <c r="AH259" s="751"/>
      <c r="AI259" s="751"/>
      <c r="AJ259" s="751"/>
      <c r="AK259" s="751"/>
      <c r="AL259" s="751"/>
      <c r="AM259" s="751"/>
      <c r="AN259" s="751"/>
      <c r="AO259" s="751"/>
      <c r="AP259" s="751"/>
      <c r="AQ259" s="751"/>
      <c r="AR259" s="752"/>
      <c r="AS259" s="752"/>
      <c r="AT259" s="752"/>
      <c r="AU259" s="752"/>
      <c r="AV259" s="752"/>
      <c r="AW259" s="752"/>
      <c r="AX259" s="752"/>
      <c r="AY259" s="753"/>
      <c r="AZ259" s="770"/>
    </row>
    <row r="260" spans="1:52" s="869" customFormat="1" ht="12.9" customHeight="1">
      <c r="B260" s="870"/>
      <c r="C260" s="748"/>
      <c r="D260" s="759" t="s">
        <v>3809</v>
      </c>
      <c r="E260" s="849">
        <v>4</v>
      </c>
      <c r="F260" s="814" t="s">
        <v>4008</v>
      </c>
      <c r="G260" s="814"/>
      <c r="H260" s="815" t="s">
        <v>3811</v>
      </c>
      <c r="I260" s="817"/>
      <c r="J260" s="817"/>
      <c r="K260" s="817"/>
      <c r="L260" s="817"/>
      <c r="M260" s="817"/>
      <c r="N260" s="760"/>
      <c r="O260" s="872"/>
      <c r="P260" s="872"/>
      <c r="S260" s="812"/>
      <c r="T260" s="812"/>
      <c r="U260" s="812"/>
      <c r="V260" s="812"/>
      <c r="W260" s="812"/>
      <c r="X260" s="812"/>
      <c r="Y260" s="812"/>
      <c r="Z260" s="812"/>
      <c r="AA260" s="812"/>
      <c r="AB260" s="812"/>
      <c r="AC260" s="812"/>
      <c r="AE260" s="750"/>
      <c r="AF260" s="751"/>
      <c r="AG260" s="751"/>
      <c r="AH260" s="751"/>
      <c r="AI260" s="751"/>
      <c r="AJ260" s="751"/>
      <c r="AK260" s="751"/>
      <c r="AL260" s="751"/>
      <c r="AM260" s="751"/>
      <c r="AN260" s="751"/>
      <c r="AO260" s="751"/>
      <c r="AP260" s="751"/>
      <c r="AQ260" s="751"/>
      <c r="AR260" s="752"/>
      <c r="AS260" s="752"/>
      <c r="AT260" s="752"/>
      <c r="AU260" s="752"/>
      <c r="AV260" s="752"/>
      <c r="AW260" s="752"/>
      <c r="AX260" s="752"/>
      <c r="AY260" s="753"/>
      <c r="AZ260" s="770"/>
    </row>
    <row r="261" spans="1:52" s="770" customFormat="1" ht="12" customHeight="1">
      <c r="A261" s="753"/>
      <c r="B261" s="810"/>
      <c r="C261" s="811"/>
      <c r="D261" s="759" t="s">
        <v>3809</v>
      </c>
      <c r="E261" s="849">
        <v>5</v>
      </c>
      <c r="F261" s="814" t="s">
        <v>4009</v>
      </c>
      <c r="G261" s="814"/>
      <c r="H261" s="815" t="s">
        <v>3811</v>
      </c>
      <c r="I261" s="799"/>
      <c r="J261" s="821"/>
      <c r="K261" s="753"/>
      <c r="L261" s="753"/>
      <c r="M261" s="753"/>
      <c r="N261" s="753"/>
      <c r="O261" s="753"/>
      <c r="P261" s="753"/>
      <c r="Q261" s="753"/>
      <c r="R261" s="799"/>
      <c r="S261" s="812"/>
      <c r="T261" s="812"/>
      <c r="U261" s="812"/>
      <c r="V261" s="812"/>
      <c r="W261" s="812"/>
      <c r="X261" s="812"/>
      <c r="Y261" s="812"/>
      <c r="Z261" s="812"/>
      <c r="AA261" s="812"/>
      <c r="AB261" s="812"/>
      <c r="AC261" s="812"/>
      <c r="AD261" s="799"/>
      <c r="AE261" s="750"/>
      <c r="AF261" s="751"/>
      <c r="AG261" s="751"/>
      <c r="AH261" s="751"/>
      <c r="AI261" s="751"/>
      <c r="AJ261" s="751"/>
      <c r="AK261" s="751"/>
      <c r="AL261" s="751"/>
      <c r="AM261" s="751"/>
      <c r="AN261" s="751"/>
      <c r="AO261" s="751"/>
      <c r="AP261" s="751"/>
      <c r="AQ261" s="751"/>
      <c r="AR261" s="752"/>
      <c r="AS261" s="752"/>
      <c r="AT261" s="752"/>
      <c r="AU261" s="752"/>
      <c r="AV261" s="752"/>
      <c r="AW261" s="752"/>
      <c r="AX261" s="752"/>
      <c r="AY261" s="753"/>
    </row>
    <row r="262" spans="1:52" s="770" customFormat="1" ht="12" customHeight="1">
      <c r="A262" s="753"/>
      <c r="B262" s="810"/>
      <c r="C262" s="811"/>
      <c r="D262" s="759" t="s">
        <v>3809</v>
      </c>
      <c r="E262" s="849">
        <v>6</v>
      </c>
      <c r="F262" s="814" t="s">
        <v>4010</v>
      </c>
      <c r="G262" s="814"/>
      <c r="H262" s="815" t="s">
        <v>3811</v>
      </c>
      <c r="I262" s="799"/>
      <c r="J262" s="821"/>
      <c r="K262" s="753"/>
      <c r="L262" s="753"/>
      <c r="M262" s="753"/>
      <c r="N262" s="753"/>
      <c r="O262" s="753"/>
      <c r="P262" s="753"/>
      <c r="Q262" s="753"/>
      <c r="R262" s="799"/>
      <c r="S262" s="812"/>
      <c r="T262" s="812"/>
      <c r="U262" s="812"/>
      <c r="V262" s="812"/>
      <c r="W262" s="812"/>
      <c r="X262" s="812"/>
      <c r="Y262" s="812"/>
      <c r="Z262" s="812"/>
      <c r="AA262" s="812"/>
      <c r="AB262" s="812"/>
      <c r="AC262" s="812"/>
      <c r="AD262" s="799"/>
      <c r="AE262" s="750"/>
      <c r="AF262" s="751"/>
      <c r="AG262" s="751"/>
      <c r="AH262" s="751"/>
      <c r="AI262" s="751"/>
      <c r="AJ262" s="751"/>
      <c r="AK262" s="751"/>
      <c r="AL262" s="751"/>
      <c r="AM262" s="751"/>
      <c r="AN262" s="751"/>
      <c r="AO262" s="751"/>
      <c r="AP262" s="751"/>
      <c r="AQ262" s="751"/>
      <c r="AR262" s="752"/>
      <c r="AS262" s="752"/>
      <c r="AT262" s="752"/>
      <c r="AU262" s="752"/>
      <c r="AV262" s="752"/>
      <c r="AW262" s="752"/>
      <c r="AX262" s="752"/>
      <c r="AY262" s="753"/>
    </row>
    <row r="263" spans="1:52" s="770" customFormat="1" ht="12" customHeight="1">
      <c r="A263" s="753"/>
      <c r="B263" s="810"/>
      <c r="C263" s="811"/>
      <c r="D263" s="759" t="s">
        <v>3809</v>
      </c>
      <c r="E263" s="849">
        <v>7</v>
      </c>
      <c r="F263" s="814" t="s">
        <v>4011</v>
      </c>
      <c r="G263" s="814"/>
      <c r="H263" s="815" t="s">
        <v>3811</v>
      </c>
      <c r="I263" s="799"/>
      <c r="J263" s="821"/>
      <c r="K263" s="753"/>
      <c r="L263" s="753"/>
      <c r="M263" s="753"/>
      <c r="N263" s="753"/>
      <c r="O263" s="753"/>
      <c r="P263" s="753"/>
      <c r="Q263" s="753"/>
      <c r="R263" s="799"/>
      <c r="S263" s="812"/>
      <c r="T263" s="812"/>
      <c r="U263" s="812"/>
      <c r="V263" s="812"/>
      <c r="W263" s="812"/>
      <c r="X263" s="812"/>
      <c r="Y263" s="812"/>
      <c r="Z263" s="812"/>
      <c r="AA263" s="812"/>
      <c r="AB263" s="812"/>
      <c r="AC263" s="812"/>
      <c r="AD263" s="799"/>
      <c r="AE263" s="750"/>
      <c r="AF263" s="751"/>
      <c r="AG263" s="751"/>
      <c r="AH263" s="751"/>
      <c r="AI263" s="751"/>
      <c r="AJ263" s="751"/>
      <c r="AK263" s="751"/>
      <c r="AL263" s="751"/>
      <c r="AM263" s="751"/>
      <c r="AN263" s="751"/>
      <c r="AO263" s="751"/>
      <c r="AP263" s="751"/>
      <c r="AQ263" s="751"/>
      <c r="AR263" s="752"/>
      <c r="AS263" s="752"/>
      <c r="AT263" s="752"/>
      <c r="AU263" s="752"/>
      <c r="AV263" s="752"/>
      <c r="AW263" s="752"/>
      <c r="AX263" s="752"/>
      <c r="AY263" s="753"/>
    </row>
    <row r="264" spans="1:52" s="770" customFormat="1" ht="12" customHeight="1">
      <c r="A264" s="753"/>
      <c r="B264" s="810"/>
      <c r="C264" s="797"/>
      <c r="D264" s="753"/>
      <c r="E264" s="809"/>
      <c r="F264" s="753"/>
      <c r="G264" s="753"/>
      <c r="H264" s="753"/>
      <c r="I264" s="753"/>
      <c r="J264" s="753"/>
      <c r="K264" s="753"/>
      <c r="L264" s="753"/>
      <c r="M264" s="753"/>
      <c r="N264" s="753"/>
      <c r="O264" s="753"/>
      <c r="P264" s="753"/>
      <c r="Q264" s="753"/>
      <c r="R264" s="753"/>
      <c r="S264" s="753"/>
      <c r="T264" s="753"/>
      <c r="U264" s="753"/>
      <c r="V264" s="753"/>
      <c r="W264" s="753"/>
      <c r="X264" s="753"/>
      <c r="Y264" s="753"/>
      <c r="Z264" s="753"/>
      <c r="AA264" s="753"/>
      <c r="AB264" s="753"/>
      <c r="AC264" s="753"/>
      <c r="AD264" s="753"/>
      <c r="AE264" s="750"/>
      <c r="AF264" s="751"/>
      <c r="AG264" s="751"/>
      <c r="AH264" s="751"/>
      <c r="AI264" s="751"/>
      <c r="AJ264" s="751"/>
      <c r="AK264" s="751"/>
      <c r="AL264" s="751"/>
      <c r="AM264" s="751"/>
      <c r="AN264" s="751"/>
      <c r="AO264" s="751"/>
      <c r="AP264" s="751"/>
      <c r="AQ264" s="751"/>
      <c r="AR264" s="752"/>
      <c r="AS264" s="752"/>
      <c r="AT264" s="752"/>
      <c r="AU264" s="752"/>
      <c r="AV264" s="752"/>
      <c r="AW264" s="752"/>
      <c r="AX264" s="752"/>
      <c r="AY264" s="753"/>
    </row>
    <row r="265" spans="1:52" s="770" customFormat="1" ht="12" customHeight="1">
      <c r="A265" s="753"/>
      <c r="B265" s="810"/>
      <c r="C265" s="797"/>
      <c r="D265" s="753"/>
      <c r="E265" s="809"/>
      <c r="F265" s="753"/>
      <c r="G265" s="817"/>
      <c r="H265" s="817"/>
      <c r="I265" s="817"/>
      <c r="J265" s="817"/>
      <c r="K265" s="817"/>
      <c r="L265" s="817"/>
      <c r="M265" s="817"/>
      <c r="N265" s="817"/>
      <c r="O265" s="753"/>
      <c r="P265" s="753"/>
      <c r="Q265" s="753"/>
      <c r="R265" s="753"/>
      <c r="S265" s="753"/>
      <c r="T265" s="753"/>
      <c r="U265" s="753"/>
      <c r="V265" s="753"/>
      <c r="W265" s="753"/>
      <c r="X265" s="753"/>
      <c r="Y265" s="753"/>
      <c r="Z265" s="753"/>
      <c r="AA265" s="753"/>
      <c r="AB265" s="753"/>
      <c r="AC265" s="753"/>
      <c r="AD265" s="753"/>
      <c r="AE265" s="750"/>
      <c r="AF265" s="751"/>
      <c r="AG265" s="751"/>
      <c r="AH265" s="751"/>
      <c r="AI265" s="751"/>
      <c r="AJ265" s="751"/>
      <c r="AK265" s="751"/>
      <c r="AL265" s="751"/>
      <c r="AM265" s="751"/>
      <c r="AN265" s="751"/>
      <c r="AO265" s="751"/>
      <c r="AP265" s="751"/>
      <c r="AQ265" s="751"/>
      <c r="AR265" s="752"/>
      <c r="AS265" s="752"/>
      <c r="AT265" s="752"/>
      <c r="AU265" s="752"/>
      <c r="AV265" s="752"/>
      <c r="AW265" s="752"/>
      <c r="AX265" s="752"/>
      <c r="AY265" s="753"/>
    </row>
    <row r="266" spans="1:52" s="753" customFormat="1" ht="12" customHeight="1">
      <c r="B266" s="810"/>
      <c r="C266" s="797"/>
      <c r="E266" s="798"/>
      <c r="F266" s="799"/>
      <c r="AE266" s="750"/>
      <c r="AF266" s="751"/>
      <c r="AG266" s="751"/>
      <c r="AH266" s="751"/>
      <c r="AI266" s="751"/>
      <c r="AJ266" s="751"/>
      <c r="AK266" s="751"/>
      <c r="AL266" s="751"/>
      <c r="AM266" s="751"/>
      <c r="AN266" s="751"/>
      <c r="AO266" s="751"/>
      <c r="AP266" s="751"/>
      <c r="AQ266" s="751"/>
      <c r="AR266" s="752"/>
      <c r="AS266" s="752"/>
      <c r="AT266" s="752"/>
      <c r="AU266" s="752"/>
      <c r="AV266" s="752"/>
      <c r="AW266" s="752"/>
      <c r="AX266" s="752"/>
    </row>
    <row r="267" spans="1:52" s="753" customFormat="1" ht="12" customHeight="1">
      <c r="B267" s="810"/>
      <c r="C267" s="797"/>
      <c r="E267" s="798"/>
      <c r="F267" s="799"/>
      <c r="AE267" s="750"/>
      <c r="AF267" s="751"/>
      <c r="AG267" s="751"/>
      <c r="AH267" s="751"/>
      <c r="AI267" s="751"/>
      <c r="AJ267" s="751"/>
      <c r="AK267" s="751"/>
      <c r="AL267" s="751"/>
      <c r="AM267" s="751"/>
      <c r="AN267" s="751"/>
      <c r="AO267" s="751"/>
      <c r="AP267" s="751"/>
      <c r="AQ267" s="751"/>
      <c r="AR267" s="752"/>
      <c r="AS267" s="752"/>
      <c r="AT267" s="752"/>
      <c r="AU267" s="752"/>
      <c r="AV267" s="752"/>
      <c r="AW267" s="752"/>
      <c r="AX267" s="752"/>
    </row>
    <row r="268" spans="1:52" s="770" customFormat="1" ht="12" customHeight="1">
      <c r="A268" s="748"/>
      <c r="B268" s="896" t="s">
        <v>4012</v>
      </c>
      <c r="C268" s="897"/>
      <c r="D268" s="897"/>
      <c r="E268" s="897"/>
      <c r="F268" s="897"/>
      <c r="G268" s="897"/>
      <c r="H268" s="897"/>
      <c r="I268" s="897"/>
      <c r="J268" s="897"/>
      <c r="K268" s="897"/>
      <c r="L268" s="897"/>
      <c r="M268" s="897"/>
      <c r="N268" s="897"/>
      <c r="O268" s="897"/>
      <c r="P268" s="897"/>
      <c r="Q268" s="897"/>
      <c r="R268" s="897"/>
      <c r="S268" s="897"/>
      <c r="T268" s="897"/>
      <c r="U268" s="897"/>
      <c r="V268" s="897"/>
      <c r="W268" s="897"/>
      <c r="X268" s="897"/>
      <c r="Y268" s="897"/>
      <c r="Z268" s="897"/>
      <c r="AA268" s="897"/>
      <c r="AB268" s="897"/>
      <c r="AC268" s="897"/>
      <c r="AD268" s="898"/>
      <c r="AE268" s="750"/>
      <c r="AF268" s="751"/>
      <c r="AG268" s="751"/>
      <c r="AH268" s="751"/>
      <c r="AI268" s="751"/>
      <c r="AJ268" s="751"/>
      <c r="AK268" s="751"/>
      <c r="AL268" s="751"/>
      <c r="AM268" s="751"/>
      <c r="AN268" s="751"/>
      <c r="AO268" s="751"/>
      <c r="AP268" s="751"/>
      <c r="AQ268" s="751"/>
      <c r="AR268" s="752"/>
      <c r="AS268" s="752"/>
      <c r="AT268" s="752"/>
      <c r="AU268" s="752"/>
      <c r="AV268" s="752"/>
      <c r="AW268" s="752"/>
      <c r="AX268" s="752"/>
      <c r="AY268" s="753"/>
    </row>
    <row r="269" spans="1:52" s="770" customFormat="1" ht="12" customHeight="1">
      <c r="A269" s="748"/>
      <c r="B269" s="793"/>
      <c r="C269" s="794"/>
      <c r="D269" s="794"/>
      <c r="E269" s="794"/>
      <c r="F269" s="794"/>
      <c r="G269" s="794"/>
      <c r="H269" s="794"/>
      <c r="I269" s="794"/>
      <c r="J269" s="794"/>
      <c r="K269" s="794"/>
      <c r="L269" s="794"/>
      <c r="M269" s="794"/>
      <c r="N269" s="794"/>
      <c r="O269" s="794"/>
      <c r="P269" s="794"/>
      <c r="Q269" s="794"/>
      <c r="R269" s="794"/>
      <c r="S269" s="794"/>
      <c r="T269" s="794"/>
      <c r="U269" s="794"/>
      <c r="V269" s="794"/>
      <c r="W269" s="794"/>
      <c r="X269" s="794"/>
      <c r="Y269" s="794"/>
      <c r="Z269" s="794"/>
      <c r="AA269" s="794"/>
      <c r="AB269" s="794"/>
      <c r="AC269" s="794"/>
      <c r="AD269" s="795"/>
      <c r="AE269" s="750"/>
      <c r="AF269" s="751"/>
      <c r="AG269" s="751"/>
      <c r="AH269" s="751"/>
      <c r="AI269" s="751"/>
      <c r="AJ269" s="751"/>
      <c r="AK269" s="751"/>
      <c r="AL269" s="751"/>
      <c r="AM269" s="751"/>
      <c r="AN269" s="751"/>
      <c r="AO269" s="751"/>
      <c r="AP269" s="751"/>
      <c r="AQ269" s="751"/>
      <c r="AR269" s="752"/>
      <c r="AS269" s="752"/>
      <c r="AT269" s="752"/>
      <c r="AU269" s="752"/>
      <c r="AV269" s="752"/>
      <c r="AW269" s="752"/>
      <c r="AX269" s="752"/>
      <c r="AY269" s="753"/>
    </row>
    <row r="270" spans="1:52" s="770" customFormat="1" ht="12" customHeight="1">
      <c r="A270" s="748"/>
      <c r="B270" s="793"/>
      <c r="C270" s="794"/>
      <c r="D270" s="794"/>
      <c r="E270" s="794"/>
      <c r="F270" s="794"/>
      <c r="G270" s="794"/>
      <c r="H270" s="794"/>
      <c r="I270" s="794"/>
      <c r="J270" s="794"/>
      <c r="K270" s="794"/>
      <c r="L270" s="794"/>
      <c r="M270" s="794"/>
      <c r="N270" s="794"/>
      <c r="O270" s="794"/>
      <c r="P270" s="794"/>
      <c r="Q270" s="794"/>
      <c r="R270" s="794"/>
      <c r="S270" s="794"/>
      <c r="T270" s="794"/>
      <c r="U270" s="794"/>
      <c r="V270" s="794"/>
      <c r="W270" s="794"/>
      <c r="X270" s="794"/>
      <c r="Y270" s="794"/>
      <c r="Z270" s="794"/>
      <c r="AA270" s="794"/>
      <c r="AB270" s="794"/>
      <c r="AC270" s="794"/>
      <c r="AD270" s="795"/>
      <c r="AE270" s="750"/>
      <c r="AF270" s="751"/>
      <c r="AG270" s="751"/>
      <c r="AH270" s="751"/>
      <c r="AI270" s="751"/>
      <c r="AJ270" s="751"/>
      <c r="AK270" s="751"/>
      <c r="AL270" s="751"/>
      <c r="AM270" s="751"/>
      <c r="AN270" s="751"/>
      <c r="AO270" s="751"/>
      <c r="AP270" s="751"/>
      <c r="AQ270" s="751"/>
      <c r="AR270" s="752"/>
      <c r="AS270" s="752"/>
      <c r="AT270" s="752"/>
      <c r="AU270" s="752"/>
      <c r="AV270" s="752"/>
      <c r="AW270" s="752"/>
      <c r="AX270" s="752"/>
      <c r="AY270" s="753"/>
    </row>
    <row r="271" spans="1:52" s="812" customFormat="1" ht="12.9" customHeight="1">
      <c r="B271" s="899" t="s">
        <v>4013</v>
      </c>
      <c r="C271" s="900"/>
      <c r="D271" s="901"/>
      <c r="E271" s="902"/>
      <c r="F271" s="901"/>
      <c r="G271" s="903"/>
      <c r="H271" s="903"/>
      <c r="I271" s="903"/>
      <c r="J271" s="903"/>
      <c r="K271" s="903"/>
      <c r="L271" s="903"/>
      <c r="M271" s="903"/>
      <c r="N271" s="903"/>
      <c r="O271" s="903"/>
      <c r="P271" s="903"/>
      <c r="Q271" s="903"/>
      <c r="R271" s="903"/>
      <c r="S271" s="903"/>
      <c r="T271" s="903"/>
      <c r="U271" s="903"/>
      <c r="V271" s="903"/>
      <c r="W271" s="903"/>
      <c r="X271" s="903"/>
      <c r="Y271" s="903"/>
      <c r="Z271" s="903"/>
      <c r="AA271" s="903"/>
      <c r="AB271" s="903"/>
      <c r="AC271" s="903"/>
      <c r="AD271" s="904"/>
      <c r="AE271" s="750"/>
      <c r="AF271" s="751"/>
      <c r="AG271" s="751"/>
      <c r="AH271" s="751"/>
      <c r="AI271" s="751"/>
      <c r="AJ271" s="751"/>
      <c r="AK271" s="751"/>
      <c r="AL271" s="751"/>
      <c r="AM271" s="751"/>
      <c r="AN271" s="751"/>
      <c r="AO271" s="751"/>
      <c r="AP271" s="751"/>
      <c r="AQ271" s="751"/>
      <c r="AR271" s="752"/>
      <c r="AS271" s="752"/>
      <c r="AT271" s="752"/>
      <c r="AU271" s="752"/>
      <c r="AV271" s="752"/>
      <c r="AW271" s="752"/>
      <c r="AX271" s="752"/>
      <c r="AY271" s="753"/>
      <c r="AZ271" s="770"/>
    </row>
    <row r="272" spans="1:52" s="753" customFormat="1" ht="12" customHeight="1">
      <c r="B272" s="810"/>
      <c r="C272" s="811"/>
      <c r="D272" s="749"/>
      <c r="E272" s="817"/>
      <c r="F272" s="817"/>
      <c r="G272" s="817"/>
      <c r="H272" s="817"/>
      <c r="I272" s="817"/>
      <c r="J272" s="817"/>
      <c r="K272" s="817"/>
      <c r="L272" s="817"/>
      <c r="M272" s="817"/>
      <c r="N272" s="817"/>
      <c r="O272" s="817"/>
      <c r="R272" s="799"/>
      <c r="S272" s="799"/>
      <c r="T272" s="799"/>
      <c r="U272" s="799"/>
      <c r="V272" s="799"/>
      <c r="W272" s="799"/>
      <c r="X272" s="799"/>
      <c r="Y272" s="799"/>
      <c r="Z272" s="799"/>
      <c r="AA272" s="799"/>
      <c r="AB272" s="799"/>
      <c r="AC272" s="799"/>
      <c r="AD272" s="799"/>
      <c r="AE272" s="750"/>
      <c r="AF272" s="751"/>
      <c r="AG272" s="751"/>
      <c r="AH272" s="751"/>
      <c r="AI272" s="751"/>
      <c r="AJ272" s="751"/>
      <c r="AK272" s="751"/>
      <c r="AL272" s="751"/>
      <c r="AM272" s="751"/>
      <c r="AN272" s="751"/>
      <c r="AO272" s="751"/>
      <c r="AP272" s="751"/>
      <c r="AQ272" s="751"/>
      <c r="AR272" s="752"/>
      <c r="AS272" s="752"/>
      <c r="AT272" s="752"/>
      <c r="AU272" s="752"/>
      <c r="AV272" s="752"/>
      <c r="AW272" s="752"/>
      <c r="AX272" s="752"/>
    </row>
    <row r="273" spans="1:52" s="753" customFormat="1" ht="12" customHeight="1">
      <c r="B273" s="810"/>
      <c r="C273" s="811"/>
      <c r="D273" s="749"/>
      <c r="E273" s="817"/>
      <c r="F273" s="817"/>
      <c r="G273" s="817"/>
      <c r="H273" s="817"/>
      <c r="I273" s="817"/>
      <c r="J273" s="817"/>
      <c r="K273" s="817"/>
      <c r="L273" s="817"/>
      <c r="M273" s="817"/>
      <c r="N273" s="817"/>
      <c r="O273" s="817"/>
      <c r="R273" s="799"/>
      <c r="S273" s="799"/>
      <c r="T273" s="799"/>
      <c r="U273" s="799"/>
      <c r="V273" s="799"/>
      <c r="W273" s="799"/>
      <c r="X273" s="799"/>
      <c r="Y273" s="799"/>
      <c r="Z273" s="799"/>
      <c r="AA273" s="799"/>
      <c r="AB273" s="799"/>
      <c r="AC273" s="799"/>
      <c r="AD273" s="799"/>
      <c r="AE273" s="750"/>
      <c r="AF273" s="751"/>
      <c r="AG273" s="751"/>
      <c r="AH273" s="751"/>
      <c r="AI273" s="751"/>
      <c r="AJ273" s="751"/>
      <c r="AK273" s="751"/>
      <c r="AL273" s="751"/>
      <c r="AM273" s="751"/>
      <c r="AN273" s="751"/>
      <c r="AO273" s="751"/>
      <c r="AP273" s="751"/>
      <c r="AQ273" s="751"/>
      <c r="AR273" s="752"/>
      <c r="AS273" s="752"/>
      <c r="AT273" s="752"/>
      <c r="AU273" s="752"/>
      <c r="AV273" s="752"/>
      <c r="AW273" s="752"/>
      <c r="AX273" s="752"/>
    </row>
    <row r="274" spans="1:52" s="753" customFormat="1" ht="12" customHeight="1">
      <c r="B274" s="905"/>
      <c r="C274" s="906"/>
      <c r="D274" s="907"/>
      <c r="E274" s="908"/>
      <c r="F274" s="908"/>
      <c r="G274" s="908"/>
      <c r="H274" s="908"/>
      <c r="I274" s="908"/>
      <c r="J274" s="908"/>
      <c r="K274" s="908"/>
      <c r="L274" s="908"/>
      <c r="M274" s="908"/>
      <c r="N274" s="908"/>
      <c r="O274" s="908"/>
      <c r="P274" s="909"/>
      <c r="Q274" s="909"/>
      <c r="R274" s="910"/>
      <c r="S274" s="910"/>
      <c r="T274" s="910"/>
      <c r="U274" s="910"/>
      <c r="V274" s="910"/>
      <c r="W274" s="910"/>
      <c r="X274" s="910"/>
      <c r="Y274" s="910"/>
      <c r="Z274" s="910"/>
      <c r="AA274" s="910"/>
      <c r="AB274" s="910"/>
      <c r="AC274" s="910"/>
      <c r="AD274" s="911"/>
      <c r="AE274" s="750"/>
      <c r="AF274" s="751"/>
      <c r="AG274" s="751"/>
      <c r="AH274" s="751"/>
      <c r="AI274" s="751"/>
      <c r="AJ274" s="751"/>
      <c r="AK274" s="751"/>
      <c r="AL274" s="751"/>
      <c r="AM274" s="751"/>
      <c r="AN274" s="751"/>
      <c r="AO274" s="751"/>
      <c r="AP274" s="751"/>
      <c r="AQ274" s="751"/>
      <c r="AR274" s="752"/>
      <c r="AS274" s="752"/>
      <c r="AT274" s="752"/>
      <c r="AU274" s="752"/>
      <c r="AV274" s="752"/>
      <c r="AW274" s="752"/>
      <c r="AX274" s="752"/>
    </row>
    <row r="275" spans="1:52" s="753" customFormat="1" ht="17.399999999999999">
      <c r="B275" s="810"/>
      <c r="C275" s="811"/>
      <c r="D275" s="749"/>
      <c r="E275" s="912"/>
      <c r="F275" s="913" t="s">
        <v>4014</v>
      </c>
      <c r="G275" s="817"/>
      <c r="H275" s="817"/>
      <c r="I275" s="817"/>
      <c r="J275" s="817"/>
      <c r="K275" s="817"/>
      <c r="L275" s="817"/>
      <c r="M275" s="817"/>
      <c r="N275" s="817"/>
      <c r="O275" s="817"/>
      <c r="R275" s="799"/>
      <c r="S275" s="799"/>
      <c r="T275" s="799"/>
      <c r="U275" s="799"/>
      <c r="V275" s="799"/>
      <c r="W275" s="799"/>
      <c r="X275" s="799"/>
      <c r="Y275" s="799"/>
      <c r="Z275" s="799"/>
      <c r="AA275" s="799"/>
      <c r="AB275" s="799"/>
      <c r="AC275" s="799"/>
      <c r="AD275" s="914"/>
      <c r="AE275" s="750"/>
      <c r="AF275" s="751"/>
      <c r="AG275" s="751"/>
      <c r="AH275" s="751"/>
      <c r="AI275" s="751"/>
      <c r="AJ275" s="751"/>
      <c r="AK275" s="751"/>
      <c r="AL275" s="751"/>
      <c r="AM275" s="751"/>
      <c r="AN275" s="751"/>
      <c r="AO275" s="751"/>
      <c r="AP275" s="751"/>
      <c r="AQ275" s="751"/>
      <c r="AR275" s="752"/>
      <c r="AS275" s="752"/>
      <c r="AT275" s="752"/>
      <c r="AU275" s="752"/>
      <c r="AV275" s="752"/>
      <c r="AW275" s="752"/>
      <c r="AX275" s="752"/>
    </row>
    <row r="276" spans="1:52" s="753" customFormat="1" ht="17.399999999999999">
      <c r="B276" s="810"/>
      <c r="C276" s="811"/>
      <c r="D276" s="749"/>
      <c r="E276" s="912"/>
      <c r="F276" s="913"/>
      <c r="G276" s="817"/>
      <c r="H276" s="817"/>
      <c r="I276" s="817"/>
      <c r="J276" s="817"/>
      <c r="K276" s="817"/>
      <c r="L276" s="817"/>
      <c r="M276" s="817"/>
      <c r="N276" s="817"/>
      <c r="O276" s="817"/>
      <c r="R276" s="799"/>
      <c r="S276" s="799"/>
      <c r="T276" s="799"/>
      <c r="U276" s="799"/>
      <c r="V276" s="799"/>
      <c r="W276" s="799"/>
      <c r="X276" s="799"/>
      <c r="Y276" s="799"/>
      <c r="Z276" s="799"/>
      <c r="AA276" s="799"/>
      <c r="AB276" s="799"/>
      <c r="AC276" s="799"/>
      <c r="AD276" s="914"/>
      <c r="AE276" s="750"/>
      <c r="AF276" s="751"/>
      <c r="AG276" s="751"/>
      <c r="AH276" s="751"/>
      <c r="AI276" s="751"/>
      <c r="AJ276" s="751"/>
      <c r="AK276" s="751"/>
      <c r="AL276" s="751"/>
      <c r="AM276" s="751"/>
      <c r="AN276" s="751"/>
      <c r="AO276" s="751"/>
      <c r="AP276" s="751"/>
      <c r="AQ276" s="751"/>
      <c r="AR276" s="752"/>
      <c r="AS276" s="752"/>
      <c r="AT276" s="752"/>
      <c r="AU276" s="752"/>
      <c r="AV276" s="752"/>
      <c r="AW276" s="752"/>
      <c r="AX276" s="752"/>
    </row>
    <row r="277" spans="1:52" s="753" customFormat="1" ht="17.399999999999999">
      <c r="B277" s="810"/>
      <c r="C277" s="811"/>
      <c r="D277" s="749"/>
      <c r="E277" s="912"/>
      <c r="F277" s="913" t="s">
        <v>4015</v>
      </c>
      <c r="G277" s="817"/>
      <c r="H277" s="817"/>
      <c r="I277" s="817"/>
      <c r="J277" s="817"/>
      <c r="K277" s="817"/>
      <c r="L277" s="817"/>
      <c r="M277" s="817"/>
      <c r="N277" s="817"/>
      <c r="O277" s="817"/>
      <c r="R277" s="799"/>
      <c r="S277" s="799"/>
      <c r="T277" s="799"/>
      <c r="U277" s="799"/>
      <c r="V277" s="799"/>
      <c r="W277" s="799"/>
      <c r="X277" s="799"/>
      <c r="Y277" s="799"/>
      <c r="Z277" s="799"/>
      <c r="AA277" s="799"/>
      <c r="AB277" s="799"/>
      <c r="AC277" s="799"/>
      <c r="AD277" s="914"/>
      <c r="AE277" s="750"/>
      <c r="AF277" s="751"/>
      <c r="AG277" s="751"/>
      <c r="AH277" s="751"/>
      <c r="AI277" s="751"/>
      <c r="AJ277" s="751"/>
      <c r="AK277" s="751"/>
      <c r="AL277" s="751"/>
      <c r="AM277" s="751"/>
      <c r="AN277" s="751"/>
      <c r="AO277" s="751"/>
      <c r="AP277" s="751"/>
      <c r="AQ277" s="751"/>
      <c r="AR277" s="752"/>
      <c r="AS277" s="752"/>
      <c r="AT277" s="752"/>
      <c r="AU277" s="752"/>
      <c r="AV277" s="752"/>
      <c r="AW277" s="752"/>
      <c r="AX277" s="752"/>
    </row>
    <row r="278" spans="1:52" s="753" customFormat="1" ht="17.399999999999999">
      <c r="B278" s="810"/>
      <c r="C278" s="811"/>
      <c r="D278" s="749"/>
      <c r="E278" s="912"/>
      <c r="F278" s="913"/>
      <c r="G278" s="817"/>
      <c r="H278" s="817"/>
      <c r="I278" s="817"/>
      <c r="J278" s="817"/>
      <c r="K278" s="817"/>
      <c r="L278" s="817"/>
      <c r="M278" s="817"/>
      <c r="N278" s="817"/>
      <c r="O278" s="817"/>
      <c r="R278" s="799"/>
      <c r="S278" s="799"/>
      <c r="T278" s="799"/>
      <c r="U278" s="799"/>
      <c r="V278" s="799"/>
      <c r="W278" s="799"/>
      <c r="X278" s="799"/>
      <c r="Y278" s="799"/>
      <c r="Z278" s="799"/>
      <c r="AA278" s="799"/>
      <c r="AB278" s="799"/>
      <c r="AC278" s="799"/>
      <c r="AD278" s="914"/>
      <c r="AE278" s="750"/>
      <c r="AF278" s="751"/>
      <c r="AG278" s="751"/>
      <c r="AH278" s="751"/>
      <c r="AI278" s="751"/>
      <c r="AJ278" s="751"/>
      <c r="AK278" s="751"/>
      <c r="AL278" s="751"/>
      <c r="AM278" s="751"/>
      <c r="AN278" s="751"/>
      <c r="AO278" s="751"/>
      <c r="AP278" s="751"/>
      <c r="AQ278" s="751"/>
      <c r="AR278" s="752"/>
      <c r="AS278" s="752"/>
      <c r="AT278" s="752"/>
      <c r="AU278" s="752"/>
      <c r="AV278" s="752"/>
      <c r="AW278" s="752"/>
      <c r="AX278" s="752"/>
    </row>
    <row r="279" spans="1:52" s="753" customFormat="1" ht="17.399999999999999">
      <c r="B279" s="810"/>
      <c r="C279" s="811"/>
      <c r="D279" s="749"/>
      <c r="E279" s="912"/>
      <c r="F279" s="913" t="s">
        <v>4016</v>
      </c>
      <c r="G279" s="817"/>
      <c r="H279" s="817"/>
      <c r="I279" s="817"/>
      <c r="J279" s="817"/>
      <c r="K279" s="817"/>
      <c r="L279" s="817"/>
      <c r="M279" s="817"/>
      <c r="N279" s="817"/>
      <c r="O279" s="817"/>
      <c r="R279" s="799"/>
      <c r="S279" s="799"/>
      <c r="T279" s="799"/>
      <c r="U279" s="799"/>
      <c r="V279" s="799"/>
      <c r="W279" s="799"/>
      <c r="X279" s="799"/>
      <c r="Y279" s="799"/>
      <c r="Z279" s="799"/>
      <c r="AA279" s="799"/>
      <c r="AB279" s="799"/>
      <c r="AC279" s="799"/>
      <c r="AD279" s="914"/>
      <c r="AE279" s="750"/>
      <c r="AF279" s="751"/>
      <c r="AG279" s="751"/>
      <c r="AH279" s="751"/>
      <c r="AI279" s="751"/>
      <c r="AJ279" s="751"/>
      <c r="AK279" s="751"/>
      <c r="AL279" s="751"/>
      <c r="AM279" s="751"/>
      <c r="AN279" s="751"/>
      <c r="AO279" s="751"/>
      <c r="AP279" s="751"/>
      <c r="AQ279" s="751"/>
      <c r="AR279" s="752"/>
      <c r="AS279" s="752"/>
      <c r="AT279" s="752"/>
      <c r="AU279" s="752"/>
      <c r="AV279" s="752"/>
      <c r="AW279" s="752"/>
      <c r="AX279" s="752"/>
    </row>
    <row r="280" spans="1:52" s="753" customFormat="1" ht="12" customHeight="1">
      <c r="B280" s="915"/>
      <c r="C280" s="916"/>
      <c r="D280" s="917"/>
      <c r="E280" s="918"/>
      <c r="F280" s="918"/>
      <c r="G280" s="918"/>
      <c r="H280" s="918"/>
      <c r="I280" s="918"/>
      <c r="J280" s="918"/>
      <c r="K280" s="918"/>
      <c r="L280" s="918"/>
      <c r="M280" s="918"/>
      <c r="N280" s="918"/>
      <c r="O280" s="918"/>
      <c r="P280" s="919"/>
      <c r="Q280" s="919"/>
      <c r="R280" s="920"/>
      <c r="S280" s="920"/>
      <c r="T280" s="920"/>
      <c r="U280" s="920"/>
      <c r="V280" s="920"/>
      <c r="W280" s="920"/>
      <c r="X280" s="920"/>
      <c r="Y280" s="920"/>
      <c r="Z280" s="920"/>
      <c r="AA280" s="920"/>
      <c r="AB280" s="920"/>
      <c r="AC280" s="920"/>
      <c r="AD280" s="921"/>
      <c r="AE280" s="750"/>
      <c r="AF280" s="751"/>
      <c r="AG280" s="751"/>
      <c r="AH280" s="751"/>
      <c r="AI280" s="751"/>
      <c r="AJ280" s="751"/>
      <c r="AK280" s="751"/>
      <c r="AL280" s="751"/>
      <c r="AM280" s="751"/>
      <c r="AN280" s="751"/>
      <c r="AO280" s="751"/>
      <c r="AP280" s="751"/>
      <c r="AQ280" s="751"/>
      <c r="AR280" s="752"/>
      <c r="AS280" s="752"/>
      <c r="AT280" s="752"/>
      <c r="AU280" s="752"/>
      <c r="AV280" s="752"/>
      <c r="AW280" s="752"/>
      <c r="AX280" s="752"/>
    </row>
    <row r="281" spans="1:52" s="753" customFormat="1" ht="12" customHeight="1">
      <c r="B281" s="810"/>
      <c r="C281" s="811"/>
      <c r="D281" s="749"/>
      <c r="E281" s="817"/>
      <c r="F281" s="817"/>
      <c r="G281" s="817"/>
      <c r="H281" s="817"/>
      <c r="I281" s="817"/>
      <c r="J281" s="817"/>
      <c r="K281" s="817"/>
      <c r="L281" s="817"/>
      <c r="M281" s="817"/>
      <c r="N281" s="817"/>
      <c r="O281" s="817"/>
      <c r="R281" s="799"/>
      <c r="S281" s="799"/>
      <c r="T281" s="799"/>
      <c r="U281" s="799"/>
      <c r="V281" s="799"/>
      <c r="W281" s="799"/>
      <c r="X281" s="799"/>
      <c r="Y281" s="799"/>
      <c r="Z281" s="799"/>
      <c r="AA281" s="799"/>
      <c r="AB281" s="799"/>
      <c r="AC281" s="799"/>
      <c r="AD281" s="799"/>
      <c r="AE281" s="750"/>
      <c r="AF281" s="751"/>
      <c r="AG281" s="751"/>
      <c r="AH281" s="751"/>
      <c r="AI281" s="751"/>
      <c r="AJ281" s="751"/>
      <c r="AK281" s="751"/>
      <c r="AL281" s="751"/>
      <c r="AM281" s="751"/>
      <c r="AN281" s="751"/>
      <c r="AO281" s="751"/>
      <c r="AP281" s="751"/>
      <c r="AQ281" s="751"/>
      <c r="AR281" s="752"/>
      <c r="AS281" s="752"/>
      <c r="AT281" s="752"/>
      <c r="AU281" s="752"/>
      <c r="AV281" s="752"/>
      <c r="AW281" s="752"/>
      <c r="AX281" s="752"/>
    </row>
    <row r="282" spans="1:52" s="753" customFormat="1" ht="12" customHeight="1">
      <c r="B282" s="810"/>
      <c r="C282" s="811"/>
      <c r="D282" s="749"/>
      <c r="E282" s="817"/>
      <c r="F282" s="817"/>
      <c r="G282" s="817"/>
      <c r="H282" s="817"/>
      <c r="I282" s="817"/>
      <c r="J282" s="817"/>
      <c r="K282" s="817"/>
      <c r="L282" s="817"/>
      <c r="M282" s="817"/>
      <c r="N282" s="817"/>
      <c r="O282" s="817"/>
      <c r="R282" s="799"/>
      <c r="S282" s="799"/>
      <c r="T282" s="799"/>
      <c r="U282" s="799"/>
      <c r="V282" s="799"/>
      <c r="W282" s="799"/>
      <c r="X282" s="799"/>
      <c r="Y282" s="799"/>
      <c r="Z282" s="799"/>
      <c r="AA282" s="799"/>
      <c r="AB282" s="799"/>
      <c r="AC282" s="799"/>
      <c r="AD282" s="799"/>
      <c r="AE282" s="750"/>
      <c r="AF282" s="751"/>
      <c r="AG282" s="751"/>
      <c r="AH282" s="751"/>
      <c r="AI282" s="751"/>
      <c r="AJ282" s="751"/>
      <c r="AK282" s="751"/>
      <c r="AL282" s="751"/>
      <c r="AM282" s="751"/>
      <c r="AN282" s="751"/>
      <c r="AO282" s="751"/>
      <c r="AP282" s="751"/>
      <c r="AQ282" s="751"/>
      <c r="AR282" s="752"/>
      <c r="AS282" s="752"/>
      <c r="AT282" s="752"/>
      <c r="AU282" s="752"/>
      <c r="AV282" s="752"/>
      <c r="AW282" s="752"/>
      <c r="AX282" s="752"/>
    </row>
    <row r="283" spans="1:52" s="812" customFormat="1" ht="12.9" customHeight="1">
      <c r="B283" s="899" t="s">
        <v>4017</v>
      </c>
      <c r="C283" s="900"/>
      <c r="D283" s="901"/>
      <c r="E283" s="902"/>
      <c r="F283" s="901"/>
      <c r="G283" s="903"/>
      <c r="H283" s="903"/>
      <c r="I283" s="903"/>
      <c r="J283" s="903"/>
      <c r="K283" s="903"/>
      <c r="L283" s="903"/>
      <c r="M283" s="903"/>
      <c r="N283" s="903"/>
      <c r="O283" s="903"/>
      <c r="P283" s="903"/>
      <c r="Q283" s="903"/>
      <c r="R283" s="903"/>
      <c r="S283" s="903"/>
      <c r="T283" s="903"/>
      <c r="U283" s="903"/>
      <c r="V283" s="903"/>
      <c r="W283" s="903"/>
      <c r="X283" s="903"/>
      <c r="Y283" s="903"/>
      <c r="Z283" s="903"/>
      <c r="AA283" s="903"/>
      <c r="AB283" s="903"/>
      <c r="AC283" s="903"/>
      <c r="AD283" s="904"/>
      <c r="AE283" s="750"/>
      <c r="AF283" s="751"/>
      <c r="AG283" s="751"/>
      <c r="AH283" s="751"/>
      <c r="AI283" s="751"/>
      <c r="AJ283" s="751"/>
      <c r="AK283" s="751"/>
      <c r="AL283" s="751"/>
      <c r="AM283" s="751"/>
      <c r="AN283" s="751"/>
      <c r="AO283" s="751"/>
      <c r="AP283" s="751"/>
      <c r="AQ283" s="751"/>
      <c r="AR283" s="752"/>
      <c r="AS283" s="752"/>
      <c r="AT283" s="752"/>
      <c r="AU283" s="752"/>
      <c r="AV283" s="752"/>
      <c r="AW283" s="752"/>
      <c r="AX283" s="752"/>
      <c r="AY283" s="753"/>
      <c r="AZ283" s="770"/>
    </row>
    <row r="284" spans="1:52" s="812" customFormat="1" ht="12.9" customHeight="1">
      <c r="B284" s="901" t="s">
        <v>4018</v>
      </c>
      <c r="C284" s="900"/>
      <c r="D284" s="901"/>
      <c r="E284" s="902"/>
      <c r="F284" s="901"/>
      <c r="G284" s="903"/>
      <c r="H284" s="903"/>
      <c r="I284" s="903"/>
      <c r="J284" s="903"/>
      <c r="K284" s="903"/>
      <c r="L284" s="903"/>
      <c r="M284" s="903"/>
      <c r="N284" s="903"/>
      <c r="O284" s="903"/>
      <c r="P284" s="903"/>
      <c r="Q284" s="903"/>
      <c r="R284" s="903"/>
      <c r="S284" s="903"/>
      <c r="T284" s="903"/>
      <c r="U284" s="903"/>
      <c r="V284" s="903"/>
      <c r="W284" s="903"/>
      <c r="X284" s="903"/>
      <c r="Y284" s="903"/>
      <c r="Z284" s="903"/>
      <c r="AA284" s="903"/>
      <c r="AB284" s="903"/>
      <c r="AC284" s="903"/>
      <c r="AD284" s="904"/>
      <c r="AE284" s="750"/>
      <c r="AF284" s="751"/>
      <c r="AG284" s="751"/>
      <c r="AH284" s="751"/>
      <c r="AI284" s="751"/>
      <c r="AJ284" s="751"/>
      <c r="AK284" s="751"/>
      <c r="AL284" s="751"/>
      <c r="AM284" s="751"/>
      <c r="AN284" s="751"/>
      <c r="AO284" s="751"/>
      <c r="AP284" s="751"/>
      <c r="AQ284" s="751"/>
      <c r="AR284" s="752"/>
      <c r="AS284" s="752"/>
      <c r="AT284" s="752"/>
      <c r="AU284" s="752"/>
      <c r="AV284" s="752"/>
      <c r="AW284" s="752"/>
      <c r="AX284" s="752"/>
      <c r="AY284" s="753"/>
      <c r="AZ284" s="770"/>
    </row>
    <row r="285" spans="1:52" s="753" customFormat="1" ht="12" customHeight="1">
      <c r="B285" s="810"/>
      <c r="C285" s="811"/>
      <c r="D285" s="749"/>
      <c r="E285" s="817"/>
      <c r="F285" s="817"/>
      <c r="G285" s="817"/>
      <c r="H285" s="817"/>
      <c r="I285" s="817"/>
      <c r="J285" s="817"/>
      <c r="K285" s="817"/>
      <c r="L285" s="817"/>
      <c r="M285" s="817"/>
      <c r="N285" s="817"/>
      <c r="O285" s="817"/>
      <c r="R285" s="799"/>
      <c r="S285" s="799"/>
      <c r="T285" s="799"/>
      <c r="U285" s="799"/>
      <c r="V285" s="799"/>
      <c r="W285" s="799"/>
      <c r="X285" s="799"/>
      <c r="Y285" s="799"/>
      <c r="Z285" s="799"/>
      <c r="AA285" s="799"/>
      <c r="AB285" s="799"/>
      <c r="AC285" s="799"/>
      <c r="AD285" s="799"/>
      <c r="AE285" s="750"/>
      <c r="AF285" s="751"/>
      <c r="AG285" s="751"/>
      <c r="AH285" s="751"/>
      <c r="AI285" s="751"/>
      <c r="AJ285" s="751"/>
      <c r="AK285" s="751"/>
      <c r="AL285" s="751"/>
      <c r="AM285" s="751"/>
      <c r="AN285" s="751"/>
      <c r="AO285" s="751"/>
      <c r="AP285" s="751"/>
      <c r="AQ285" s="751"/>
      <c r="AR285" s="752"/>
      <c r="AS285" s="752"/>
      <c r="AT285" s="752"/>
      <c r="AU285" s="752"/>
      <c r="AV285" s="752"/>
      <c r="AW285" s="752"/>
      <c r="AX285" s="752"/>
    </row>
    <row r="286" spans="1:52" s="753" customFormat="1" ht="12" customHeight="1">
      <c r="B286" s="810"/>
      <c r="C286" s="811"/>
      <c r="D286" s="749"/>
      <c r="E286" s="817"/>
      <c r="F286" s="817"/>
      <c r="G286" s="817"/>
      <c r="H286" s="817"/>
      <c r="I286" s="817"/>
      <c r="J286" s="817"/>
      <c r="K286" s="817"/>
      <c r="L286" s="817"/>
      <c r="M286" s="817"/>
      <c r="N286" s="817"/>
      <c r="O286" s="817"/>
      <c r="R286" s="799"/>
      <c r="S286" s="799"/>
      <c r="T286" s="799"/>
      <c r="U286" s="799"/>
      <c r="V286" s="799"/>
      <c r="W286" s="799"/>
      <c r="X286" s="799"/>
      <c r="Y286" s="799"/>
      <c r="Z286" s="799"/>
      <c r="AA286" s="799"/>
      <c r="AB286" s="799"/>
      <c r="AC286" s="799"/>
      <c r="AD286" s="799"/>
      <c r="AE286" s="750"/>
      <c r="AF286" s="751"/>
      <c r="AG286" s="751"/>
      <c r="AH286" s="751"/>
      <c r="AI286" s="751"/>
      <c r="AJ286" s="751"/>
      <c r="AK286" s="751"/>
      <c r="AL286" s="751"/>
      <c r="AM286" s="751"/>
      <c r="AN286" s="751"/>
      <c r="AO286" s="751"/>
      <c r="AP286" s="751"/>
      <c r="AQ286" s="751"/>
      <c r="AR286" s="752"/>
      <c r="AS286" s="752"/>
      <c r="AT286" s="752"/>
      <c r="AU286" s="752"/>
      <c r="AV286" s="752"/>
      <c r="AW286" s="752"/>
      <c r="AX286" s="752"/>
    </row>
    <row r="287" spans="1:52" s="753" customFormat="1" ht="12" customHeight="1">
      <c r="A287" s="748"/>
      <c r="B287" s="793"/>
      <c r="C287" s="794"/>
      <c r="D287" s="794"/>
      <c r="E287" s="794"/>
      <c r="F287" s="794"/>
      <c r="G287" s="794"/>
      <c r="H287" s="794"/>
      <c r="I287" s="794"/>
      <c r="J287" s="794"/>
      <c r="K287" s="794"/>
      <c r="L287" s="794"/>
      <c r="M287" s="794"/>
      <c r="N287" s="794"/>
      <c r="O287" s="794"/>
      <c r="P287" s="794"/>
      <c r="Q287" s="794"/>
      <c r="R287" s="794"/>
      <c r="S287" s="794"/>
      <c r="T287" s="794"/>
      <c r="U287" s="794"/>
      <c r="V287" s="794"/>
      <c r="W287" s="794"/>
      <c r="X287" s="794"/>
      <c r="Y287" s="794"/>
      <c r="Z287" s="794"/>
      <c r="AA287" s="794"/>
      <c r="AB287" s="794"/>
      <c r="AC287" s="794"/>
      <c r="AD287" s="795"/>
      <c r="AE287" s="750"/>
      <c r="AF287" s="751"/>
      <c r="AG287" s="751"/>
      <c r="AH287" s="751"/>
      <c r="AI287" s="751"/>
      <c r="AJ287" s="751"/>
      <c r="AK287" s="751"/>
      <c r="AL287" s="751"/>
      <c r="AM287" s="751"/>
      <c r="AN287" s="751"/>
      <c r="AO287" s="751"/>
      <c r="AP287" s="751"/>
      <c r="AQ287" s="751"/>
      <c r="AR287" s="752"/>
      <c r="AS287" s="752"/>
      <c r="AT287" s="752"/>
      <c r="AU287" s="752"/>
      <c r="AV287" s="752"/>
      <c r="AW287" s="752"/>
      <c r="AX287" s="752"/>
    </row>
    <row r="288" spans="1:52" s="753" customFormat="1" ht="12" customHeight="1">
      <c r="A288" s="748"/>
      <c r="B288" s="793"/>
      <c r="C288" s="794"/>
      <c r="D288" s="794"/>
      <c r="E288" s="794"/>
      <c r="F288" s="794"/>
      <c r="G288" s="794"/>
      <c r="H288" s="794"/>
      <c r="I288" s="794"/>
      <c r="J288" s="794"/>
      <c r="K288" s="794"/>
      <c r="L288" s="794"/>
      <c r="M288" s="794"/>
      <c r="N288" s="794"/>
      <c r="O288" s="794"/>
      <c r="P288" s="794"/>
      <c r="Q288" s="794"/>
      <c r="R288" s="794"/>
      <c r="S288" s="794"/>
      <c r="T288" s="794"/>
      <c r="U288" s="794"/>
      <c r="V288" s="794"/>
      <c r="W288" s="794"/>
      <c r="X288" s="794"/>
      <c r="Y288" s="794"/>
      <c r="Z288" s="794"/>
      <c r="AA288" s="794"/>
      <c r="AB288" s="794"/>
      <c r="AC288" s="794"/>
      <c r="AD288" s="795"/>
      <c r="AE288" s="750"/>
      <c r="AF288" s="751"/>
      <c r="AG288" s="751"/>
      <c r="AH288" s="751"/>
      <c r="AI288" s="751"/>
      <c r="AJ288" s="751"/>
      <c r="AK288" s="751"/>
      <c r="AL288" s="751"/>
      <c r="AM288" s="751"/>
      <c r="AN288" s="751"/>
      <c r="AO288" s="751"/>
      <c r="AP288" s="751"/>
      <c r="AQ288" s="751"/>
      <c r="AR288" s="752"/>
      <c r="AS288" s="752"/>
      <c r="AT288" s="752"/>
      <c r="AU288" s="752"/>
      <c r="AV288" s="752"/>
      <c r="AW288" s="752"/>
      <c r="AX288" s="752"/>
    </row>
    <row r="289" spans="1:50" s="753" customFormat="1" ht="12" customHeight="1">
      <c r="A289" s="748"/>
      <c r="B289" s="793"/>
      <c r="C289" s="794"/>
      <c r="D289" s="794"/>
      <c r="E289" s="794"/>
      <c r="F289" s="794"/>
      <c r="G289" s="794"/>
      <c r="H289" s="794"/>
      <c r="I289" s="794"/>
      <c r="J289" s="794"/>
      <c r="K289" s="794"/>
      <c r="L289" s="794"/>
      <c r="M289" s="794"/>
      <c r="N289" s="794"/>
      <c r="O289" s="794"/>
      <c r="P289" s="794"/>
      <c r="Q289" s="794"/>
      <c r="R289" s="794"/>
      <c r="S289" s="794"/>
      <c r="T289" s="794"/>
      <c r="U289" s="794"/>
      <c r="V289" s="794"/>
      <c r="W289" s="794"/>
      <c r="X289" s="794"/>
      <c r="Y289" s="794"/>
      <c r="Z289" s="794"/>
      <c r="AA289" s="794"/>
      <c r="AB289" s="794"/>
      <c r="AC289" s="794"/>
      <c r="AD289" s="795"/>
      <c r="AE289" s="750"/>
      <c r="AF289" s="751"/>
      <c r="AG289" s="751"/>
      <c r="AH289" s="751"/>
      <c r="AI289" s="751"/>
      <c r="AJ289" s="751"/>
      <c r="AK289" s="751"/>
      <c r="AL289" s="751"/>
      <c r="AM289" s="751"/>
      <c r="AN289" s="751"/>
      <c r="AO289" s="751"/>
      <c r="AP289" s="751"/>
      <c r="AQ289" s="751"/>
      <c r="AR289" s="752"/>
      <c r="AS289" s="752"/>
      <c r="AT289" s="752"/>
      <c r="AU289" s="752"/>
      <c r="AV289" s="752"/>
      <c r="AW289" s="752"/>
      <c r="AX289" s="752"/>
    </row>
    <row r="290" spans="1:50" s="753" customFormat="1" ht="12" customHeight="1">
      <c r="A290" s="748"/>
      <c r="B290" s="793"/>
      <c r="C290" s="794"/>
      <c r="D290" s="794"/>
      <c r="E290" s="794"/>
      <c r="F290" s="794"/>
      <c r="G290" s="794"/>
      <c r="H290" s="794"/>
      <c r="I290" s="794"/>
      <c r="J290" s="794"/>
      <c r="K290" s="794"/>
      <c r="L290" s="794"/>
      <c r="M290" s="794"/>
      <c r="N290" s="794"/>
      <c r="O290" s="794"/>
      <c r="P290" s="794"/>
      <c r="Q290" s="794"/>
      <c r="R290" s="794"/>
      <c r="S290" s="794"/>
      <c r="T290" s="794"/>
      <c r="U290" s="794"/>
      <c r="V290" s="794"/>
      <c r="W290" s="794"/>
      <c r="X290" s="794"/>
      <c r="Y290" s="794"/>
      <c r="Z290" s="794"/>
      <c r="AA290" s="794"/>
      <c r="AB290" s="794"/>
      <c r="AC290" s="794"/>
      <c r="AD290" s="795"/>
      <c r="AE290" s="750"/>
      <c r="AF290" s="751"/>
      <c r="AG290" s="751"/>
      <c r="AH290" s="751"/>
      <c r="AI290" s="751"/>
      <c r="AJ290" s="751"/>
      <c r="AK290" s="751"/>
      <c r="AL290" s="751"/>
      <c r="AM290" s="751"/>
      <c r="AN290" s="751"/>
      <c r="AO290" s="751"/>
      <c r="AP290" s="751"/>
      <c r="AQ290" s="751"/>
      <c r="AR290" s="752"/>
      <c r="AS290" s="752"/>
      <c r="AT290" s="752"/>
      <c r="AU290" s="752"/>
      <c r="AV290" s="752"/>
      <c r="AW290" s="752"/>
      <c r="AX290" s="752"/>
    </row>
    <row r="291" spans="1:50" s="753" customFormat="1" ht="12" customHeight="1">
      <c r="A291" s="748"/>
      <c r="B291" s="793"/>
      <c r="C291" s="794"/>
      <c r="D291" s="794"/>
      <c r="E291" s="794"/>
      <c r="F291" s="794"/>
      <c r="G291" s="794"/>
      <c r="H291" s="794"/>
      <c r="I291" s="794"/>
      <c r="J291" s="794"/>
      <c r="K291" s="794"/>
      <c r="L291" s="794"/>
      <c r="M291" s="794"/>
      <c r="N291" s="794"/>
      <c r="O291" s="794"/>
      <c r="P291" s="794"/>
      <c r="Q291" s="794"/>
      <c r="R291" s="794"/>
      <c r="S291" s="794"/>
      <c r="T291" s="794"/>
      <c r="U291" s="794"/>
      <c r="V291" s="794"/>
      <c r="W291" s="794"/>
      <c r="X291" s="794"/>
      <c r="Y291" s="794"/>
      <c r="Z291" s="794"/>
      <c r="AA291" s="794"/>
      <c r="AB291" s="794"/>
      <c r="AC291" s="794"/>
      <c r="AD291" s="795"/>
      <c r="AE291" s="750"/>
      <c r="AF291" s="751"/>
      <c r="AG291" s="751"/>
      <c r="AH291" s="751"/>
      <c r="AI291" s="751"/>
      <c r="AJ291" s="751"/>
      <c r="AK291" s="751"/>
      <c r="AL291" s="751"/>
      <c r="AM291" s="751"/>
      <c r="AN291" s="751"/>
      <c r="AO291" s="751"/>
      <c r="AP291" s="751"/>
      <c r="AQ291" s="751"/>
      <c r="AR291" s="752"/>
      <c r="AS291" s="752"/>
      <c r="AT291" s="752"/>
      <c r="AU291" s="752"/>
      <c r="AV291" s="752"/>
      <c r="AW291" s="752"/>
      <c r="AX291" s="752"/>
    </row>
    <row r="292" spans="1:50" s="753" customFormat="1" ht="12" customHeight="1">
      <c r="A292" s="748"/>
      <c r="B292" s="793"/>
      <c r="C292" s="794"/>
      <c r="D292" s="794"/>
      <c r="E292" s="794"/>
      <c r="F292" s="794"/>
      <c r="G292" s="794"/>
      <c r="H292" s="794"/>
      <c r="I292" s="794"/>
      <c r="J292" s="794"/>
      <c r="K292" s="794"/>
      <c r="L292" s="794"/>
      <c r="M292" s="794"/>
      <c r="N292" s="794"/>
      <c r="O292" s="794"/>
      <c r="P292" s="794"/>
      <c r="Q292" s="794"/>
      <c r="R292" s="794"/>
      <c r="S292" s="794"/>
      <c r="T292" s="794"/>
      <c r="U292" s="794"/>
      <c r="V292" s="794"/>
      <c r="W292" s="794"/>
      <c r="X292" s="794"/>
      <c r="Y292" s="794"/>
      <c r="Z292" s="794"/>
      <c r="AA292" s="794"/>
      <c r="AB292" s="794"/>
      <c r="AC292" s="794"/>
      <c r="AD292" s="795"/>
      <c r="AE292" s="750"/>
      <c r="AF292" s="751"/>
      <c r="AG292" s="751"/>
      <c r="AH292" s="751"/>
      <c r="AI292" s="751"/>
      <c r="AJ292" s="751"/>
      <c r="AK292" s="751"/>
      <c r="AL292" s="751"/>
      <c r="AM292" s="751"/>
      <c r="AN292" s="751"/>
      <c r="AO292" s="751"/>
      <c r="AP292" s="751"/>
      <c r="AQ292" s="751"/>
      <c r="AR292" s="752"/>
      <c r="AS292" s="752"/>
      <c r="AT292" s="752"/>
      <c r="AU292" s="752"/>
      <c r="AV292" s="752"/>
      <c r="AW292" s="752"/>
      <c r="AX292" s="752"/>
    </row>
    <row r="293" spans="1:50" s="753" customFormat="1" ht="12" customHeight="1">
      <c r="A293" s="748"/>
      <c r="B293" s="793"/>
      <c r="C293" s="794"/>
      <c r="D293" s="794"/>
      <c r="E293" s="794"/>
      <c r="F293" s="794"/>
      <c r="G293" s="794"/>
      <c r="H293" s="794"/>
      <c r="I293" s="794"/>
      <c r="J293" s="794"/>
      <c r="K293" s="794"/>
      <c r="L293" s="794"/>
      <c r="M293" s="794"/>
      <c r="N293" s="794"/>
      <c r="O293" s="794"/>
      <c r="P293" s="794"/>
      <c r="Q293" s="794"/>
      <c r="R293" s="794"/>
      <c r="S293" s="794"/>
      <c r="T293" s="794"/>
      <c r="U293" s="794"/>
      <c r="V293" s="794"/>
      <c r="W293" s="794"/>
      <c r="X293" s="794"/>
      <c r="Y293" s="794"/>
      <c r="Z293" s="794"/>
      <c r="AA293" s="794"/>
      <c r="AB293" s="794"/>
      <c r="AC293" s="794"/>
      <c r="AD293" s="795"/>
      <c r="AE293" s="750"/>
      <c r="AF293" s="751"/>
      <c r="AG293" s="751"/>
      <c r="AH293" s="751"/>
      <c r="AI293" s="751"/>
      <c r="AJ293" s="751"/>
      <c r="AK293" s="751"/>
      <c r="AL293" s="751"/>
      <c r="AM293" s="751"/>
      <c r="AN293" s="751"/>
      <c r="AO293" s="751"/>
      <c r="AP293" s="751"/>
      <c r="AQ293" s="751"/>
      <c r="AR293" s="752"/>
      <c r="AS293" s="752"/>
      <c r="AT293" s="752"/>
      <c r="AU293" s="752"/>
      <c r="AV293" s="752"/>
      <c r="AW293" s="752"/>
      <c r="AX293" s="752"/>
    </row>
    <row r="294" spans="1:50" s="753" customFormat="1" ht="12" customHeight="1">
      <c r="A294" s="748"/>
      <c r="B294" s="793"/>
      <c r="C294" s="794"/>
      <c r="D294" s="794"/>
      <c r="E294" s="794"/>
      <c r="F294" s="794"/>
      <c r="G294" s="794"/>
      <c r="H294" s="794"/>
      <c r="I294" s="794"/>
      <c r="J294" s="794"/>
      <c r="K294" s="794"/>
      <c r="L294" s="794"/>
      <c r="M294" s="794"/>
      <c r="N294" s="794"/>
      <c r="O294" s="794"/>
      <c r="P294" s="794"/>
      <c r="Q294" s="794"/>
      <c r="R294" s="794"/>
      <c r="S294" s="794"/>
      <c r="T294" s="794"/>
      <c r="U294" s="794"/>
      <c r="V294" s="794"/>
      <c r="W294" s="794"/>
      <c r="X294" s="794"/>
      <c r="Y294" s="794"/>
      <c r="Z294" s="794"/>
      <c r="AA294" s="794"/>
      <c r="AB294" s="794"/>
      <c r="AC294" s="794"/>
      <c r="AD294" s="795"/>
      <c r="AE294" s="750"/>
      <c r="AF294" s="751"/>
      <c r="AG294" s="751"/>
      <c r="AH294" s="751"/>
      <c r="AI294" s="751"/>
      <c r="AJ294" s="751"/>
      <c r="AK294" s="751"/>
      <c r="AL294" s="751"/>
      <c r="AM294" s="751"/>
      <c r="AN294" s="751"/>
      <c r="AO294" s="751"/>
      <c r="AP294" s="751"/>
      <c r="AQ294" s="751"/>
      <c r="AR294" s="752"/>
      <c r="AS294" s="752"/>
      <c r="AT294" s="752"/>
      <c r="AU294" s="752"/>
      <c r="AV294" s="752"/>
      <c r="AW294" s="752"/>
      <c r="AX294" s="752"/>
    </row>
    <row r="295" spans="1:50" s="753" customFormat="1" ht="12" customHeight="1">
      <c r="A295" s="748"/>
      <c r="B295" s="793"/>
      <c r="C295" s="794"/>
      <c r="D295" s="794"/>
      <c r="E295" s="794"/>
      <c r="F295" s="794"/>
      <c r="G295" s="794"/>
      <c r="H295" s="794"/>
      <c r="I295" s="794"/>
      <c r="J295" s="794"/>
      <c r="K295" s="794"/>
      <c r="L295" s="794"/>
      <c r="M295" s="794"/>
      <c r="N295" s="794"/>
      <c r="O295" s="794"/>
      <c r="P295" s="794"/>
      <c r="Q295" s="794"/>
      <c r="R295" s="794"/>
      <c r="S295" s="794"/>
      <c r="T295" s="794"/>
      <c r="U295" s="794"/>
      <c r="V295" s="794"/>
      <c r="W295" s="794"/>
      <c r="X295" s="794"/>
      <c r="Y295" s="794"/>
      <c r="Z295" s="794"/>
      <c r="AA295" s="794"/>
      <c r="AB295" s="794"/>
      <c r="AC295" s="794"/>
      <c r="AD295" s="795"/>
      <c r="AE295" s="750"/>
      <c r="AF295" s="751"/>
      <c r="AG295" s="751"/>
      <c r="AH295" s="751"/>
      <c r="AI295" s="751"/>
      <c r="AJ295" s="751"/>
      <c r="AK295" s="751"/>
      <c r="AL295" s="751"/>
      <c r="AM295" s="751"/>
      <c r="AN295" s="751"/>
      <c r="AO295" s="751"/>
      <c r="AP295" s="751"/>
      <c r="AQ295" s="751"/>
      <c r="AR295" s="752"/>
      <c r="AS295" s="752"/>
      <c r="AT295" s="752"/>
      <c r="AU295" s="752"/>
      <c r="AV295" s="752"/>
      <c r="AW295" s="752"/>
      <c r="AX295" s="752"/>
    </row>
    <row r="296" spans="1:50" s="753" customFormat="1" ht="12" customHeight="1">
      <c r="A296" s="748"/>
      <c r="B296" s="793"/>
      <c r="C296" s="794"/>
      <c r="D296" s="794"/>
      <c r="E296" s="794"/>
      <c r="F296" s="794"/>
      <c r="G296" s="794"/>
      <c r="H296" s="794"/>
      <c r="I296" s="794"/>
      <c r="J296" s="794"/>
      <c r="K296" s="794"/>
      <c r="L296" s="794"/>
      <c r="M296" s="794"/>
      <c r="N296" s="794"/>
      <c r="O296" s="794"/>
      <c r="P296" s="794"/>
      <c r="Q296" s="794"/>
      <c r="R296" s="794"/>
      <c r="S296" s="794"/>
      <c r="T296" s="794"/>
      <c r="U296" s="794"/>
      <c r="V296" s="794"/>
      <c r="W296" s="794"/>
      <c r="X296" s="794"/>
      <c r="Y296" s="794"/>
      <c r="Z296" s="794"/>
      <c r="AA296" s="794"/>
      <c r="AB296" s="794"/>
      <c r="AC296" s="794"/>
      <c r="AD296" s="795"/>
      <c r="AE296" s="750"/>
      <c r="AF296" s="751"/>
      <c r="AG296" s="751"/>
      <c r="AH296" s="751"/>
      <c r="AI296" s="751"/>
      <c r="AJ296" s="751"/>
      <c r="AK296" s="751"/>
      <c r="AL296" s="751"/>
      <c r="AM296" s="751"/>
      <c r="AN296" s="751"/>
      <c r="AO296" s="751"/>
      <c r="AP296" s="751"/>
      <c r="AQ296" s="751"/>
      <c r="AR296" s="752"/>
      <c r="AS296" s="752"/>
      <c r="AT296" s="752"/>
      <c r="AU296" s="752"/>
      <c r="AV296" s="752"/>
      <c r="AW296" s="752"/>
      <c r="AX296" s="752"/>
    </row>
    <row r="297" spans="1:50" s="753" customFormat="1" ht="12" customHeight="1">
      <c r="A297" s="748"/>
      <c r="B297" s="793"/>
      <c r="C297" s="794"/>
      <c r="D297" s="794"/>
      <c r="E297" s="794"/>
      <c r="F297" s="794"/>
      <c r="G297" s="794"/>
      <c r="H297" s="794"/>
      <c r="I297" s="794"/>
      <c r="J297" s="794"/>
      <c r="K297" s="794"/>
      <c r="L297" s="794"/>
      <c r="M297" s="794"/>
      <c r="N297" s="794"/>
      <c r="O297" s="794"/>
      <c r="P297" s="794"/>
      <c r="Q297" s="794"/>
      <c r="R297" s="794"/>
      <c r="S297" s="794"/>
      <c r="T297" s="794"/>
      <c r="U297" s="794"/>
      <c r="V297" s="794"/>
      <c r="W297" s="794"/>
      <c r="X297" s="794"/>
      <c r="Y297" s="794"/>
      <c r="Z297" s="794"/>
      <c r="AA297" s="794"/>
      <c r="AB297" s="794"/>
      <c r="AC297" s="794"/>
      <c r="AD297" s="795"/>
      <c r="AE297" s="750"/>
      <c r="AF297" s="751"/>
      <c r="AG297" s="751"/>
      <c r="AH297" s="751"/>
      <c r="AI297" s="751"/>
      <c r="AJ297" s="751"/>
      <c r="AK297" s="751"/>
      <c r="AL297" s="751"/>
      <c r="AM297" s="751"/>
      <c r="AN297" s="751"/>
      <c r="AO297" s="751"/>
      <c r="AP297" s="751"/>
      <c r="AQ297" s="751"/>
      <c r="AR297" s="752"/>
      <c r="AS297" s="752"/>
      <c r="AT297" s="752"/>
      <c r="AU297" s="752"/>
      <c r="AV297" s="752"/>
      <c r="AW297" s="752"/>
      <c r="AX297" s="752"/>
    </row>
    <row r="298" spans="1:50" s="753" customFormat="1" ht="12" customHeight="1">
      <c r="A298" s="748"/>
      <c r="B298" s="793"/>
      <c r="C298" s="794"/>
      <c r="D298" s="794"/>
      <c r="E298" s="794"/>
      <c r="F298" s="794"/>
      <c r="G298" s="794"/>
      <c r="H298" s="794"/>
      <c r="I298" s="794"/>
      <c r="J298" s="794"/>
      <c r="K298" s="794"/>
      <c r="L298" s="794"/>
      <c r="M298" s="794"/>
      <c r="N298" s="794"/>
      <c r="O298" s="794"/>
      <c r="P298" s="794"/>
      <c r="Q298" s="794"/>
      <c r="R298" s="794"/>
      <c r="S298" s="794"/>
      <c r="T298" s="794"/>
      <c r="U298" s="794"/>
      <c r="V298" s="794"/>
      <c r="W298" s="794"/>
      <c r="X298" s="794"/>
      <c r="Y298" s="794"/>
      <c r="Z298" s="794"/>
      <c r="AA298" s="794"/>
      <c r="AB298" s="794"/>
      <c r="AC298" s="794"/>
      <c r="AD298" s="795"/>
      <c r="AE298" s="750"/>
      <c r="AF298" s="751"/>
      <c r="AG298" s="751"/>
      <c r="AH298" s="751"/>
      <c r="AI298" s="751"/>
      <c r="AJ298" s="751"/>
      <c r="AK298" s="751"/>
      <c r="AL298" s="751"/>
      <c r="AM298" s="751"/>
      <c r="AN298" s="751"/>
      <c r="AO298" s="751"/>
      <c r="AP298" s="751"/>
      <c r="AQ298" s="751"/>
      <c r="AR298" s="752"/>
      <c r="AS298" s="752"/>
      <c r="AT298" s="752"/>
      <c r="AU298" s="752"/>
      <c r="AV298" s="752"/>
      <c r="AW298" s="752"/>
      <c r="AX298" s="752"/>
    </row>
    <row r="299" spans="1:50" s="753" customFormat="1" ht="12" customHeight="1">
      <c r="A299" s="748"/>
      <c r="B299" s="793"/>
      <c r="C299" s="794"/>
      <c r="D299" s="794"/>
      <c r="E299" s="794"/>
      <c r="F299" s="794"/>
      <c r="G299" s="794"/>
      <c r="H299" s="794"/>
      <c r="I299" s="794"/>
      <c r="J299" s="794"/>
      <c r="K299" s="794"/>
      <c r="L299" s="794"/>
      <c r="M299" s="794"/>
      <c r="N299" s="794"/>
      <c r="O299" s="794"/>
      <c r="P299" s="794"/>
      <c r="Q299" s="794"/>
      <c r="R299" s="794"/>
      <c r="S299" s="794"/>
      <c r="T299" s="794"/>
      <c r="U299" s="794"/>
      <c r="V299" s="794"/>
      <c r="W299" s="794"/>
      <c r="X299" s="794"/>
      <c r="Y299" s="794"/>
      <c r="Z299" s="794"/>
      <c r="AA299" s="794"/>
      <c r="AB299" s="794"/>
      <c r="AC299" s="794"/>
      <c r="AD299" s="795"/>
      <c r="AE299" s="750"/>
      <c r="AF299" s="751"/>
      <c r="AG299" s="751"/>
      <c r="AH299" s="751"/>
      <c r="AI299" s="751"/>
      <c r="AJ299" s="751"/>
      <c r="AK299" s="751"/>
      <c r="AL299" s="751"/>
      <c r="AM299" s="751"/>
      <c r="AN299" s="751"/>
      <c r="AO299" s="751"/>
      <c r="AP299" s="751"/>
      <c r="AQ299" s="751"/>
      <c r="AR299" s="752"/>
      <c r="AS299" s="752"/>
      <c r="AT299" s="752"/>
      <c r="AU299" s="752"/>
      <c r="AV299" s="752"/>
      <c r="AW299" s="752"/>
      <c r="AX299" s="752"/>
    </row>
    <row r="300" spans="1:50" s="753" customFormat="1" ht="12" customHeight="1">
      <c r="A300" s="748"/>
      <c r="B300" s="793"/>
      <c r="C300" s="794"/>
      <c r="D300" s="794"/>
      <c r="E300" s="794"/>
      <c r="F300" s="794"/>
      <c r="G300" s="794"/>
      <c r="H300" s="794"/>
      <c r="I300" s="794"/>
      <c r="J300" s="794"/>
      <c r="K300" s="794"/>
      <c r="L300" s="794"/>
      <c r="M300" s="794"/>
      <c r="N300" s="794"/>
      <c r="O300" s="794"/>
      <c r="P300" s="794"/>
      <c r="Q300" s="794"/>
      <c r="R300" s="794"/>
      <c r="S300" s="794"/>
      <c r="T300" s="794"/>
      <c r="U300" s="794"/>
      <c r="V300" s="794"/>
      <c r="W300" s="794"/>
      <c r="X300" s="794"/>
      <c r="Y300" s="794"/>
      <c r="Z300" s="794"/>
      <c r="AA300" s="794"/>
      <c r="AB300" s="794"/>
      <c r="AC300" s="794"/>
      <c r="AD300" s="795"/>
      <c r="AE300" s="750"/>
      <c r="AF300" s="751"/>
      <c r="AG300" s="751"/>
      <c r="AH300" s="751"/>
      <c r="AI300" s="751"/>
      <c r="AJ300" s="751"/>
      <c r="AK300" s="751"/>
      <c r="AL300" s="751"/>
      <c r="AM300" s="751"/>
      <c r="AN300" s="751"/>
      <c r="AO300" s="751"/>
      <c r="AP300" s="751"/>
      <c r="AQ300" s="751"/>
      <c r="AR300" s="752"/>
      <c r="AS300" s="752"/>
      <c r="AT300" s="752"/>
      <c r="AU300" s="752"/>
      <c r="AV300" s="752"/>
      <c r="AW300" s="752"/>
      <c r="AX300" s="752"/>
    </row>
    <row r="301" spans="1:50" s="753" customFormat="1" ht="12" customHeight="1">
      <c r="A301" s="748"/>
      <c r="B301" s="793"/>
      <c r="C301" s="794"/>
      <c r="D301" s="794"/>
      <c r="E301" s="794"/>
      <c r="F301" s="794"/>
      <c r="G301" s="794"/>
      <c r="H301" s="794"/>
      <c r="I301" s="794"/>
      <c r="J301" s="794"/>
      <c r="K301" s="794"/>
      <c r="L301" s="794"/>
      <c r="M301" s="794"/>
      <c r="N301" s="794"/>
      <c r="O301" s="794"/>
      <c r="P301" s="794"/>
      <c r="Q301" s="794"/>
      <c r="R301" s="794"/>
      <c r="S301" s="794"/>
      <c r="T301" s="794"/>
      <c r="U301" s="794"/>
      <c r="V301" s="794"/>
      <c r="W301" s="794"/>
      <c r="X301" s="794"/>
      <c r="Y301" s="794"/>
      <c r="Z301" s="794"/>
      <c r="AA301" s="794"/>
      <c r="AB301" s="794"/>
      <c r="AC301" s="794"/>
      <c r="AD301" s="795"/>
      <c r="AE301" s="750"/>
      <c r="AF301" s="751"/>
      <c r="AG301" s="751"/>
      <c r="AH301" s="751"/>
      <c r="AI301" s="751"/>
      <c r="AJ301" s="751"/>
      <c r="AK301" s="751"/>
      <c r="AL301" s="751"/>
      <c r="AM301" s="751"/>
      <c r="AN301" s="751"/>
      <c r="AO301" s="751"/>
      <c r="AP301" s="751"/>
      <c r="AQ301" s="751"/>
      <c r="AR301" s="752"/>
      <c r="AS301" s="752"/>
      <c r="AT301" s="752"/>
      <c r="AU301" s="752"/>
      <c r="AV301" s="752"/>
      <c r="AW301" s="752"/>
      <c r="AX301" s="752"/>
    </row>
    <row r="302" spans="1:50" s="753" customFormat="1" ht="12" customHeight="1">
      <c r="A302" s="748"/>
      <c r="B302" s="793"/>
      <c r="C302" s="794"/>
      <c r="D302" s="794"/>
      <c r="E302" s="794"/>
      <c r="F302" s="794"/>
      <c r="G302" s="794"/>
      <c r="H302" s="794"/>
      <c r="I302" s="794"/>
      <c r="J302" s="794"/>
      <c r="K302" s="794"/>
      <c r="L302" s="794"/>
      <c r="M302" s="794"/>
      <c r="N302" s="794"/>
      <c r="O302" s="794"/>
      <c r="P302" s="794"/>
      <c r="Q302" s="794"/>
      <c r="R302" s="794"/>
      <c r="S302" s="794"/>
      <c r="T302" s="794"/>
      <c r="U302" s="794"/>
      <c r="V302" s="794"/>
      <c r="W302" s="794"/>
      <c r="X302" s="794"/>
      <c r="Y302" s="794"/>
      <c r="Z302" s="794"/>
      <c r="AA302" s="794"/>
      <c r="AB302" s="794"/>
      <c r="AC302" s="794"/>
      <c r="AD302" s="795"/>
      <c r="AE302" s="750"/>
      <c r="AF302" s="751"/>
      <c r="AG302" s="751"/>
      <c r="AH302" s="751"/>
      <c r="AI302" s="751"/>
      <c r="AJ302" s="751"/>
      <c r="AK302" s="751"/>
      <c r="AL302" s="751"/>
      <c r="AM302" s="751"/>
      <c r="AN302" s="751"/>
      <c r="AO302" s="751"/>
      <c r="AP302" s="751"/>
      <c r="AQ302" s="751"/>
      <c r="AR302" s="752"/>
      <c r="AS302" s="752"/>
      <c r="AT302" s="752"/>
      <c r="AU302" s="752"/>
      <c r="AV302" s="752"/>
      <c r="AW302" s="752"/>
      <c r="AX302" s="752"/>
    </row>
    <row r="303" spans="1:50" s="753" customFormat="1" ht="12" customHeight="1">
      <c r="A303" s="748"/>
      <c r="B303" s="793"/>
      <c r="C303" s="794"/>
      <c r="D303" s="794"/>
      <c r="E303" s="794"/>
      <c r="F303" s="794"/>
      <c r="G303" s="794"/>
      <c r="H303" s="794"/>
      <c r="I303" s="794"/>
      <c r="J303" s="794"/>
      <c r="K303" s="794"/>
      <c r="L303" s="794"/>
      <c r="M303" s="794"/>
      <c r="N303" s="794"/>
      <c r="O303" s="794"/>
      <c r="P303" s="794"/>
      <c r="Q303" s="794"/>
      <c r="R303" s="794"/>
      <c r="S303" s="794"/>
      <c r="T303" s="794"/>
      <c r="U303" s="794"/>
      <c r="V303" s="794"/>
      <c r="W303" s="794"/>
      <c r="X303" s="794"/>
      <c r="Y303" s="794"/>
      <c r="Z303" s="794"/>
      <c r="AA303" s="794"/>
      <c r="AB303" s="794"/>
      <c r="AC303" s="794"/>
      <c r="AD303" s="795"/>
      <c r="AE303" s="750"/>
      <c r="AF303" s="751"/>
      <c r="AG303" s="751"/>
      <c r="AH303" s="751"/>
      <c r="AI303" s="751"/>
      <c r="AJ303" s="751"/>
      <c r="AK303" s="751"/>
      <c r="AL303" s="751"/>
      <c r="AM303" s="751"/>
      <c r="AN303" s="751"/>
      <c r="AO303" s="751"/>
      <c r="AP303" s="751"/>
      <c r="AQ303" s="751"/>
      <c r="AR303" s="752"/>
      <c r="AS303" s="752"/>
      <c r="AT303" s="752"/>
      <c r="AU303" s="752"/>
      <c r="AV303" s="752"/>
      <c r="AW303" s="752"/>
      <c r="AX303" s="752"/>
    </row>
    <row r="304" spans="1:50" s="753" customFormat="1" ht="12" customHeight="1">
      <c r="A304" s="748"/>
      <c r="B304" s="793"/>
      <c r="C304" s="794"/>
      <c r="D304" s="794"/>
      <c r="E304" s="794"/>
      <c r="F304" s="794"/>
      <c r="G304" s="794"/>
      <c r="H304" s="794"/>
      <c r="I304" s="794"/>
      <c r="J304" s="794"/>
      <c r="K304" s="794"/>
      <c r="L304" s="794"/>
      <c r="M304" s="794"/>
      <c r="N304" s="794"/>
      <c r="O304" s="794"/>
      <c r="P304" s="794"/>
      <c r="Q304" s="794"/>
      <c r="R304" s="794"/>
      <c r="S304" s="794"/>
      <c r="T304" s="794"/>
      <c r="U304" s="794"/>
      <c r="V304" s="794"/>
      <c r="W304" s="794"/>
      <c r="X304" s="794"/>
      <c r="Y304" s="794"/>
      <c r="Z304" s="794"/>
      <c r="AA304" s="794"/>
      <c r="AB304" s="794"/>
      <c r="AC304" s="794"/>
      <c r="AD304" s="795"/>
      <c r="AE304" s="750"/>
      <c r="AF304" s="751"/>
      <c r="AG304" s="751"/>
      <c r="AH304" s="751"/>
      <c r="AI304" s="751"/>
      <c r="AJ304" s="751"/>
      <c r="AK304" s="751"/>
      <c r="AL304" s="751"/>
      <c r="AM304" s="751"/>
      <c r="AN304" s="751"/>
      <c r="AO304" s="751"/>
      <c r="AP304" s="751"/>
      <c r="AQ304" s="751"/>
      <c r="AR304" s="752"/>
      <c r="AS304" s="752"/>
      <c r="AT304" s="752"/>
      <c r="AU304" s="752"/>
      <c r="AV304" s="752"/>
      <c r="AW304" s="752"/>
      <c r="AX304" s="752"/>
    </row>
    <row r="305" spans="1:52" s="753" customFormat="1" ht="12" customHeight="1">
      <c r="A305" s="748"/>
      <c r="B305" s="793"/>
      <c r="C305" s="794"/>
      <c r="D305" s="794"/>
      <c r="E305" s="794"/>
      <c r="F305" s="794"/>
      <c r="G305" s="794"/>
      <c r="H305" s="794"/>
      <c r="I305" s="794"/>
      <c r="J305" s="794"/>
      <c r="K305" s="794"/>
      <c r="L305" s="794"/>
      <c r="M305" s="794"/>
      <c r="N305" s="794"/>
      <c r="O305" s="794"/>
      <c r="P305" s="794"/>
      <c r="Q305" s="794"/>
      <c r="R305" s="794"/>
      <c r="S305" s="794"/>
      <c r="T305" s="794"/>
      <c r="U305" s="794"/>
      <c r="V305" s="794"/>
      <c r="W305" s="794"/>
      <c r="X305" s="794"/>
      <c r="Y305" s="794"/>
      <c r="Z305" s="794"/>
      <c r="AA305" s="794"/>
      <c r="AB305" s="794"/>
      <c r="AC305" s="794"/>
      <c r="AD305" s="795"/>
      <c r="AE305" s="750"/>
      <c r="AF305" s="751"/>
      <c r="AG305" s="751"/>
      <c r="AH305" s="751"/>
      <c r="AI305" s="751"/>
      <c r="AJ305" s="751"/>
      <c r="AK305" s="751"/>
      <c r="AL305" s="751"/>
      <c r="AM305" s="751"/>
      <c r="AN305" s="751"/>
      <c r="AO305" s="751"/>
      <c r="AP305" s="751"/>
      <c r="AQ305" s="751"/>
      <c r="AR305" s="752"/>
      <c r="AS305" s="752"/>
      <c r="AT305" s="752"/>
      <c r="AU305" s="752"/>
      <c r="AV305" s="752"/>
      <c r="AW305" s="752"/>
      <c r="AX305" s="752"/>
    </row>
    <row r="306" spans="1:52" s="753" customFormat="1" ht="12" customHeight="1">
      <c r="A306" s="748"/>
      <c r="B306" s="793"/>
      <c r="C306" s="794"/>
      <c r="D306" s="794"/>
      <c r="E306" s="794"/>
      <c r="F306" s="794"/>
      <c r="G306" s="794"/>
      <c r="H306" s="794"/>
      <c r="I306" s="794"/>
      <c r="J306" s="794"/>
      <c r="K306" s="794"/>
      <c r="L306" s="794"/>
      <c r="M306" s="794"/>
      <c r="N306" s="794"/>
      <c r="O306" s="794"/>
      <c r="P306" s="794"/>
      <c r="Q306" s="794"/>
      <c r="R306" s="794"/>
      <c r="S306" s="794"/>
      <c r="T306" s="794"/>
      <c r="U306" s="794"/>
      <c r="V306" s="794"/>
      <c r="W306" s="794"/>
      <c r="X306" s="794"/>
      <c r="Y306" s="794"/>
      <c r="Z306" s="794"/>
      <c r="AA306" s="794"/>
      <c r="AB306" s="794"/>
      <c r="AC306" s="794"/>
      <c r="AD306" s="795"/>
      <c r="AE306" s="750"/>
      <c r="AF306" s="751"/>
      <c r="AG306" s="751"/>
      <c r="AH306" s="751"/>
      <c r="AI306" s="751"/>
      <c r="AJ306" s="751"/>
      <c r="AK306" s="751"/>
      <c r="AL306" s="751"/>
      <c r="AM306" s="751"/>
      <c r="AN306" s="751"/>
      <c r="AO306" s="751"/>
      <c r="AP306" s="751"/>
      <c r="AQ306" s="751"/>
      <c r="AR306" s="752"/>
      <c r="AS306" s="752"/>
      <c r="AT306" s="752"/>
      <c r="AU306" s="752"/>
      <c r="AV306" s="752"/>
      <c r="AW306" s="752"/>
      <c r="AX306" s="752"/>
    </row>
    <row r="307" spans="1:52" s="753" customFormat="1" ht="12" customHeight="1">
      <c r="A307" s="748"/>
      <c r="B307" s="793"/>
      <c r="C307" s="794"/>
      <c r="D307" s="794"/>
      <c r="E307" s="794"/>
      <c r="F307" s="794"/>
      <c r="G307" s="794"/>
      <c r="H307" s="794"/>
      <c r="I307" s="794"/>
      <c r="J307" s="794"/>
      <c r="K307" s="794"/>
      <c r="L307" s="794"/>
      <c r="M307" s="794"/>
      <c r="N307" s="794"/>
      <c r="O307" s="794"/>
      <c r="P307" s="794"/>
      <c r="Q307" s="794"/>
      <c r="R307" s="794"/>
      <c r="S307" s="794"/>
      <c r="T307" s="794"/>
      <c r="U307" s="794"/>
      <c r="V307" s="794"/>
      <c r="W307" s="794"/>
      <c r="X307" s="794"/>
      <c r="Y307" s="794"/>
      <c r="Z307" s="794"/>
      <c r="AA307" s="794"/>
      <c r="AB307" s="794"/>
      <c r="AC307" s="794"/>
      <c r="AD307" s="795"/>
      <c r="AE307" s="750"/>
      <c r="AF307" s="751"/>
      <c r="AG307" s="751"/>
      <c r="AH307" s="751"/>
      <c r="AI307" s="751"/>
      <c r="AJ307" s="751"/>
      <c r="AK307" s="751"/>
      <c r="AL307" s="751"/>
      <c r="AM307" s="751"/>
      <c r="AN307" s="751"/>
      <c r="AO307" s="751"/>
      <c r="AP307" s="751"/>
      <c r="AQ307" s="751"/>
      <c r="AR307" s="752"/>
      <c r="AS307" s="752"/>
      <c r="AT307" s="752"/>
      <c r="AU307" s="752"/>
      <c r="AV307" s="752"/>
      <c r="AW307" s="752"/>
      <c r="AX307" s="752"/>
    </row>
    <row r="308" spans="1:52" s="753" customFormat="1" ht="12" customHeight="1">
      <c r="A308" s="748"/>
      <c r="B308" s="793"/>
      <c r="C308" s="794"/>
      <c r="D308" s="794"/>
      <c r="E308" s="794"/>
      <c r="F308" s="794"/>
      <c r="G308" s="794"/>
      <c r="H308" s="794"/>
      <c r="I308" s="794"/>
      <c r="J308" s="794"/>
      <c r="K308" s="794"/>
      <c r="L308" s="794"/>
      <c r="M308" s="794"/>
      <c r="N308" s="794"/>
      <c r="O308" s="794"/>
      <c r="P308" s="794"/>
      <c r="Q308" s="794"/>
      <c r="R308" s="794"/>
      <c r="S308" s="794"/>
      <c r="T308" s="794"/>
      <c r="U308" s="794"/>
      <c r="V308" s="794"/>
      <c r="W308" s="794"/>
      <c r="X308" s="794"/>
      <c r="Y308" s="794"/>
      <c r="Z308" s="794"/>
      <c r="AA308" s="794"/>
      <c r="AB308" s="794"/>
      <c r="AC308" s="794"/>
      <c r="AD308" s="795"/>
      <c r="AE308" s="750"/>
      <c r="AF308" s="751"/>
      <c r="AG308" s="751"/>
      <c r="AH308" s="751"/>
      <c r="AI308" s="751"/>
      <c r="AJ308" s="751"/>
      <c r="AK308" s="751"/>
      <c r="AL308" s="751"/>
      <c r="AM308" s="751"/>
      <c r="AN308" s="751"/>
      <c r="AO308" s="751"/>
      <c r="AP308" s="751"/>
      <c r="AQ308" s="751"/>
      <c r="AR308" s="752"/>
      <c r="AS308" s="752"/>
      <c r="AT308" s="752"/>
      <c r="AU308" s="752"/>
      <c r="AV308" s="752"/>
      <c r="AW308" s="752"/>
      <c r="AX308" s="752"/>
    </row>
    <row r="309" spans="1:52" s="753" customFormat="1" ht="12" customHeight="1">
      <c r="A309" s="748"/>
      <c r="B309" s="793"/>
      <c r="C309" s="794"/>
      <c r="D309" s="794"/>
      <c r="E309" s="794"/>
      <c r="F309" s="794"/>
      <c r="G309" s="794"/>
      <c r="H309" s="794"/>
      <c r="I309" s="794"/>
      <c r="J309" s="794"/>
      <c r="K309" s="794"/>
      <c r="L309" s="794"/>
      <c r="M309" s="794"/>
      <c r="N309" s="794"/>
      <c r="O309" s="794"/>
      <c r="P309" s="794"/>
      <c r="Q309" s="794"/>
      <c r="R309" s="794"/>
      <c r="S309" s="794"/>
      <c r="T309" s="794"/>
      <c r="U309" s="794"/>
      <c r="V309" s="794"/>
      <c r="W309" s="794"/>
      <c r="X309" s="794"/>
      <c r="Y309" s="794"/>
      <c r="Z309" s="794"/>
      <c r="AA309" s="794"/>
      <c r="AB309" s="794"/>
      <c r="AC309" s="794"/>
      <c r="AD309" s="795"/>
      <c r="AE309" s="750"/>
      <c r="AF309" s="751"/>
      <c r="AG309" s="751"/>
      <c r="AH309" s="751"/>
      <c r="AI309" s="751"/>
      <c r="AJ309" s="751"/>
      <c r="AK309" s="751"/>
      <c r="AL309" s="751"/>
      <c r="AM309" s="751"/>
      <c r="AN309" s="751"/>
      <c r="AO309" s="751"/>
      <c r="AP309" s="751"/>
      <c r="AQ309" s="751"/>
      <c r="AR309" s="752"/>
      <c r="AS309" s="752"/>
      <c r="AT309" s="752"/>
      <c r="AU309" s="752"/>
      <c r="AV309" s="752"/>
      <c r="AW309" s="752"/>
      <c r="AX309" s="752"/>
    </row>
    <row r="310" spans="1:52" s="753" customFormat="1" ht="12" customHeight="1">
      <c r="A310" s="748"/>
      <c r="B310" s="793"/>
      <c r="C310" s="794"/>
      <c r="D310" s="794"/>
      <c r="E310" s="794"/>
      <c r="F310" s="794"/>
      <c r="G310" s="794"/>
      <c r="H310" s="794"/>
      <c r="I310" s="794"/>
      <c r="J310" s="794"/>
      <c r="K310" s="794"/>
      <c r="L310" s="794"/>
      <c r="M310" s="794"/>
      <c r="N310" s="794"/>
      <c r="O310" s="794"/>
      <c r="P310" s="794"/>
      <c r="Q310" s="794"/>
      <c r="R310" s="794"/>
      <c r="S310" s="794"/>
      <c r="T310" s="794"/>
      <c r="U310" s="794"/>
      <c r="V310" s="794"/>
      <c r="W310" s="794"/>
      <c r="X310" s="794"/>
      <c r="Y310" s="794"/>
      <c r="Z310" s="794"/>
      <c r="AA310" s="794"/>
      <c r="AB310" s="794"/>
      <c r="AC310" s="794"/>
      <c r="AD310" s="795"/>
      <c r="AE310" s="750"/>
      <c r="AF310" s="751"/>
      <c r="AG310" s="751"/>
      <c r="AH310" s="751"/>
      <c r="AI310" s="751"/>
      <c r="AJ310" s="751"/>
      <c r="AK310" s="751"/>
      <c r="AL310" s="751"/>
      <c r="AM310" s="751"/>
      <c r="AN310" s="751"/>
      <c r="AO310" s="751"/>
      <c r="AP310" s="751"/>
      <c r="AQ310" s="751"/>
      <c r="AR310" s="752"/>
      <c r="AS310" s="752"/>
      <c r="AT310" s="752"/>
      <c r="AU310" s="752"/>
      <c r="AV310" s="752"/>
      <c r="AW310" s="752"/>
      <c r="AX310" s="752"/>
    </row>
    <row r="311" spans="1:52" s="753" customFormat="1" ht="12" customHeight="1">
      <c r="A311" s="748"/>
      <c r="B311" s="793"/>
      <c r="C311" s="794"/>
      <c r="D311" s="794"/>
      <c r="E311" s="794"/>
      <c r="F311" s="794"/>
      <c r="G311" s="794"/>
      <c r="H311" s="794"/>
      <c r="I311" s="794"/>
      <c r="J311" s="794"/>
      <c r="K311" s="794"/>
      <c r="L311" s="794"/>
      <c r="M311" s="794"/>
      <c r="N311" s="794"/>
      <c r="O311" s="794"/>
      <c r="P311" s="794"/>
      <c r="Q311" s="794"/>
      <c r="R311" s="794"/>
      <c r="S311" s="794"/>
      <c r="T311" s="794"/>
      <c r="U311" s="794"/>
      <c r="V311" s="794"/>
      <c r="W311" s="794"/>
      <c r="X311" s="794"/>
      <c r="Y311" s="794"/>
      <c r="Z311" s="794"/>
      <c r="AA311" s="794"/>
      <c r="AB311" s="794"/>
      <c r="AC311" s="794"/>
      <c r="AD311" s="795"/>
      <c r="AE311" s="750"/>
      <c r="AF311" s="751"/>
      <c r="AG311" s="751"/>
      <c r="AH311" s="751"/>
      <c r="AI311" s="751"/>
      <c r="AJ311" s="751"/>
      <c r="AK311" s="751"/>
      <c r="AL311" s="751"/>
      <c r="AM311" s="751"/>
      <c r="AN311" s="751"/>
      <c r="AO311" s="751"/>
      <c r="AP311" s="751"/>
      <c r="AQ311" s="751"/>
      <c r="AR311" s="752"/>
      <c r="AS311" s="752"/>
      <c r="AT311" s="752"/>
      <c r="AU311" s="752"/>
      <c r="AV311" s="752"/>
      <c r="AW311" s="752"/>
      <c r="AX311" s="752"/>
    </row>
    <row r="312" spans="1:52" s="753" customFormat="1" ht="12" customHeight="1">
      <c r="A312" s="748"/>
      <c r="B312" s="793"/>
      <c r="C312" s="794"/>
      <c r="D312" s="794"/>
      <c r="E312" s="794"/>
      <c r="F312" s="794"/>
      <c r="G312" s="794"/>
      <c r="H312" s="794"/>
      <c r="I312" s="794"/>
      <c r="J312" s="794"/>
      <c r="K312" s="794"/>
      <c r="L312" s="794"/>
      <c r="M312" s="794"/>
      <c r="N312" s="794"/>
      <c r="O312" s="794"/>
      <c r="P312" s="794"/>
      <c r="Q312" s="794"/>
      <c r="R312" s="794"/>
      <c r="S312" s="794"/>
      <c r="T312" s="794"/>
      <c r="U312" s="794"/>
      <c r="V312" s="794"/>
      <c r="W312" s="794"/>
      <c r="X312" s="794"/>
      <c r="Y312" s="794"/>
      <c r="Z312" s="794"/>
      <c r="AA312" s="794"/>
      <c r="AB312" s="794"/>
      <c r="AC312" s="794"/>
      <c r="AD312" s="795"/>
      <c r="AE312" s="750"/>
      <c r="AF312" s="751"/>
      <c r="AG312" s="751"/>
      <c r="AH312" s="751"/>
      <c r="AI312" s="751"/>
      <c r="AJ312" s="751"/>
      <c r="AK312" s="751"/>
      <c r="AL312" s="751"/>
      <c r="AM312" s="751"/>
      <c r="AN312" s="751"/>
      <c r="AO312" s="751"/>
      <c r="AP312" s="751"/>
      <c r="AQ312" s="751"/>
      <c r="AR312" s="752"/>
      <c r="AS312" s="752"/>
      <c r="AT312" s="752"/>
      <c r="AU312" s="752"/>
      <c r="AV312" s="752"/>
      <c r="AW312" s="752"/>
      <c r="AX312" s="752"/>
    </row>
    <row r="313" spans="1:52" s="753" customFormat="1" ht="12" customHeight="1">
      <c r="A313" s="748"/>
      <c r="B313" s="793"/>
      <c r="C313" s="794"/>
      <c r="D313" s="794"/>
      <c r="E313" s="794"/>
      <c r="F313" s="794"/>
      <c r="G313" s="794"/>
      <c r="H313" s="794"/>
      <c r="I313" s="794"/>
      <c r="J313" s="794"/>
      <c r="K313" s="794"/>
      <c r="L313" s="794"/>
      <c r="M313" s="794"/>
      <c r="N313" s="794"/>
      <c r="O313" s="794"/>
      <c r="P313" s="794"/>
      <c r="Q313" s="794"/>
      <c r="R313" s="794"/>
      <c r="S313" s="794"/>
      <c r="T313" s="794"/>
      <c r="U313" s="794"/>
      <c r="V313" s="794"/>
      <c r="W313" s="794"/>
      <c r="X313" s="794"/>
      <c r="Y313" s="794"/>
      <c r="Z313" s="794"/>
      <c r="AA313" s="794"/>
      <c r="AB313" s="794"/>
      <c r="AC313" s="794"/>
      <c r="AD313" s="795"/>
      <c r="AE313" s="750"/>
      <c r="AF313" s="751"/>
      <c r="AG313" s="751"/>
      <c r="AH313" s="751"/>
      <c r="AI313" s="751"/>
      <c r="AJ313" s="751"/>
      <c r="AK313" s="751"/>
      <c r="AL313" s="751"/>
      <c r="AM313" s="751"/>
      <c r="AN313" s="751"/>
      <c r="AO313" s="751"/>
      <c r="AP313" s="751"/>
      <c r="AQ313" s="751"/>
      <c r="AR313" s="752"/>
      <c r="AS313" s="752"/>
      <c r="AT313" s="752"/>
      <c r="AU313" s="752"/>
      <c r="AV313" s="752"/>
      <c r="AW313" s="752"/>
      <c r="AX313" s="752"/>
    </row>
    <row r="314" spans="1:52" s="753" customFormat="1" ht="12" customHeight="1">
      <c r="A314" s="748"/>
      <c r="B314" s="793"/>
      <c r="C314" s="794"/>
      <c r="D314" s="794"/>
      <c r="E314" s="794"/>
      <c r="F314" s="794"/>
      <c r="G314" s="794"/>
      <c r="H314" s="794"/>
      <c r="I314" s="794"/>
      <c r="J314" s="794"/>
      <c r="K314" s="794"/>
      <c r="L314" s="794"/>
      <c r="M314" s="794"/>
      <c r="N314" s="794"/>
      <c r="O314" s="794"/>
      <c r="P314" s="794"/>
      <c r="Q314" s="794"/>
      <c r="R314" s="794"/>
      <c r="S314" s="794"/>
      <c r="T314" s="794"/>
      <c r="U314" s="794"/>
      <c r="V314" s="794"/>
      <c r="W314" s="794"/>
      <c r="X314" s="794"/>
      <c r="Y314" s="794"/>
      <c r="Z314" s="794"/>
      <c r="AA314" s="794"/>
      <c r="AB314" s="794"/>
      <c r="AC314" s="794"/>
      <c r="AD314" s="795"/>
      <c r="AE314" s="750"/>
      <c r="AF314" s="751"/>
      <c r="AG314" s="751"/>
      <c r="AH314" s="751"/>
      <c r="AI314" s="751"/>
      <c r="AJ314" s="751"/>
      <c r="AK314" s="751"/>
      <c r="AL314" s="751"/>
      <c r="AM314" s="751"/>
      <c r="AN314" s="751"/>
      <c r="AO314" s="751"/>
      <c r="AP314" s="751"/>
      <c r="AQ314" s="751"/>
      <c r="AR314" s="752"/>
      <c r="AS314" s="752"/>
      <c r="AT314" s="752"/>
      <c r="AU314" s="752"/>
      <c r="AV314" s="752"/>
      <c r="AW314" s="752"/>
      <c r="AX314" s="752"/>
    </row>
    <row r="315" spans="1:52" s="753" customFormat="1" ht="12" customHeight="1">
      <c r="A315" s="748"/>
      <c r="B315" s="793"/>
      <c r="C315" s="794"/>
      <c r="D315" s="794"/>
      <c r="E315" s="794"/>
      <c r="F315" s="794"/>
      <c r="G315" s="794"/>
      <c r="H315" s="794"/>
      <c r="I315" s="794"/>
      <c r="J315" s="794"/>
      <c r="K315" s="794"/>
      <c r="L315" s="794"/>
      <c r="M315" s="794"/>
      <c r="N315" s="794"/>
      <c r="O315" s="794"/>
      <c r="P315" s="794"/>
      <c r="Q315" s="794"/>
      <c r="R315" s="794"/>
      <c r="S315" s="794"/>
      <c r="T315" s="794"/>
      <c r="U315" s="794"/>
      <c r="V315" s="794"/>
      <c r="W315" s="794"/>
      <c r="X315" s="794"/>
      <c r="Y315" s="794"/>
      <c r="Z315" s="794"/>
      <c r="AA315" s="794"/>
      <c r="AB315" s="794"/>
      <c r="AC315" s="794"/>
      <c r="AD315" s="795"/>
      <c r="AE315" s="750"/>
      <c r="AF315" s="751"/>
      <c r="AG315" s="751"/>
      <c r="AH315" s="751"/>
      <c r="AI315" s="751"/>
      <c r="AJ315" s="751"/>
      <c r="AK315" s="751"/>
      <c r="AL315" s="751"/>
      <c r="AM315" s="751"/>
      <c r="AN315" s="751"/>
      <c r="AO315" s="751"/>
      <c r="AP315" s="751"/>
      <c r="AQ315" s="751"/>
      <c r="AR315" s="752"/>
      <c r="AS315" s="752"/>
      <c r="AT315" s="752"/>
      <c r="AU315" s="752"/>
      <c r="AV315" s="752"/>
      <c r="AW315" s="752"/>
      <c r="AX315" s="752"/>
    </row>
    <row r="316" spans="1:52" s="753" customFormat="1" ht="12" customHeight="1">
      <c r="A316" s="748"/>
      <c r="B316" s="793"/>
      <c r="C316" s="794"/>
      <c r="D316" s="794"/>
      <c r="E316" s="794"/>
      <c r="F316" s="794"/>
      <c r="G316" s="794"/>
      <c r="H316" s="794"/>
      <c r="I316" s="794"/>
      <c r="J316" s="794"/>
      <c r="K316" s="794"/>
      <c r="L316" s="794"/>
      <c r="M316" s="794"/>
      <c r="N316" s="794"/>
      <c r="O316" s="794"/>
      <c r="P316" s="794"/>
      <c r="Q316" s="794"/>
      <c r="R316" s="794"/>
      <c r="S316" s="794"/>
      <c r="T316" s="794"/>
      <c r="U316" s="794"/>
      <c r="V316" s="794"/>
      <c r="W316" s="794"/>
      <c r="X316" s="794"/>
      <c r="Y316" s="794"/>
      <c r="Z316" s="794"/>
      <c r="AA316" s="794"/>
      <c r="AB316" s="794"/>
      <c r="AC316" s="794"/>
      <c r="AD316" s="795"/>
      <c r="AE316" s="750"/>
      <c r="AF316" s="751"/>
      <c r="AG316" s="751"/>
      <c r="AH316" s="751"/>
      <c r="AI316" s="751"/>
      <c r="AJ316" s="751"/>
      <c r="AK316" s="751"/>
      <c r="AL316" s="751"/>
      <c r="AM316" s="751"/>
      <c r="AN316" s="751"/>
      <c r="AO316" s="751"/>
      <c r="AP316" s="751"/>
      <c r="AQ316" s="751"/>
      <c r="AR316" s="752"/>
      <c r="AS316" s="752"/>
      <c r="AT316" s="752"/>
      <c r="AU316" s="752"/>
      <c r="AV316" s="752"/>
      <c r="AW316" s="752"/>
      <c r="AX316" s="752"/>
    </row>
    <row r="317" spans="1:52" s="753" customFormat="1" ht="12" customHeight="1">
      <c r="A317" s="748"/>
      <c r="B317" s="793"/>
      <c r="C317" s="794"/>
      <c r="D317" s="794"/>
      <c r="E317" s="794"/>
      <c r="F317" s="794"/>
      <c r="G317" s="794"/>
      <c r="H317" s="794"/>
      <c r="I317" s="794"/>
      <c r="J317" s="794"/>
      <c r="K317" s="794"/>
      <c r="L317" s="794"/>
      <c r="M317" s="794"/>
      <c r="N317" s="794"/>
      <c r="O317" s="794"/>
      <c r="P317" s="794"/>
      <c r="Q317" s="794"/>
      <c r="R317" s="794"/>
      <c r="S317" s="794"/>
      <c r="T317" s="794"/>
      <c r="U317" s="794"/>
      <c r="V317" s="794"/>
      <c r="W317" s="794"/>
      <c r="X317" s="794"/>
      <c r="Y317" s="794"/>
      <c r="Z317" s="794"/>
      <c r="AA317" s="794"/>
      <c r="AB317" s="794"/>
      <c r="AC317" s="794"/>
      <c r="AD317" s="795"/>
      <c r="AE317" s="750"/>
      <c r="AF317" s="751"/>
      <c r="AG317" s="751"/>
      <c r="AH317" s="751"/>
      <c r="AI317" s="751"/>
      <c r="AJ317" s="751"/>
      <c r="AK317" s="751"/>
      <c r="AL317" s="751"/>
      <c r="AM317" s="751"/>
      <c r="AN317" s="751"/>
      <c r="AO317" s="751"/>
      <c r="AP317" s="751"/>
      <c r="AQ317" s="751"/>
      <c r="AR317" s="752"/>
      <c r="AS317" s="752"/>
      <c r="AT317" s="752"/>
      <c r="AU317" s="752"/>
      <c r="AV317" s="752"/>
      <c r="AW317" s="752"/>
      <c r="AX317" s="752"/>
    </row>
    <row r="318" spans="1:52" s="753" customFormat="1" ht="12" customHeight="1">
      <c r="B318" s="796" t="s">
        <v>3806</v>
      </c>
      <c r="C318" s="797"/>
      <c r="E318" s="798"/>
      <c r="F318" s="799"/>
      <c r="AE318" s="750"/>
      <c r="AF318" s="751"/>
      <c r="AG318" s="751"/>
      <c r="AH318" s="751"/>
      <c r="AI318" s="751"/>
      <c r="AJ318" s="751"/>
      <c r="AK318" s="751"/>
      <c r="AL318" s="751"/>
      <c r="AM318" s="751"/>
      <c r="AN318" s="751"/>
      <c r="AO318" s="751"/>
      <c r="AP318" s="751"/>
      <c r="AQ318" s="751"/>
      <c r="AR318" s="752"/>
      <c r="AS318" s="752"/>
      <c r="AT318" s="752"/>
      <c r="AU318" s="752"/>
      <c r="AV318" s="752"/>
      <c r="AW318" s="752"/>
      <c r="AX318" s="752"/>
    </row>
    <row r="319" spans="1:52" s="812" customFormat="1" ht="12.9" customHeight="1">
      <c r="B319" s="800" t="s">
        <v>4019</v>
      </c>
      <c r="C319" s="801"/>
      <c r="D319" s="863"/>
      <c r="E319" s="864"/>
      <c r="F319" s="863"/>
      <c r="G319" s="865"/>
      <c r="H319" s="865"/>
      <c r="I319" s="865"/>
      <c r="J319" s="865"/>
      <c r="K319" s="865"/>
      <c r="L319" s="865"/>
      <c r="M319" s="865"/>
      <c r="N319" s="865"/>
      <c r="O319" s="865"/>
      <c r="P319" s="865"/>
      <c r="Q319" s="865"/>
      <c r="R319" s="865"/>
      <c r="S319" s="865"/>
      <c r="T319" s="865"/>
      <c r="U319" s="865"/>
      <c r="V319" s="865"/>
      <c r="W319" s="865"/>
      <c r="X319" s="865"/>
      <c r="Y319" s="865"/>
      <c r="Z319" s="865"/>
      <c r="AA319" s="865"/>
      <c r="AB319" s="865"/>
      <c r="AC319" s="865"/>
      <c r="AD319" s="806" t="s">
        <v>571</v>
      </c>
      <c r="AE319" s="750"/>
      <c r="AF319" s="751"/>
      <c r="AG319" s="751"/>
      <c r="AH319" s="751"/>
      <c r="AI319" s="751"/>
      <c r="AJ319" s="751"/>
      <c r="AK319" s="751"/>
      <c r="AL319" s="751"/>
      <c r="AM319" s="751"/>
      <c r="AN319" s="751"/>
      <c r="AO319" s="751"/>
      <c r="AP319" s="751"/>
      <c r="AQ319" s="751"/>
      <c r="AR319" s="752"/>
      <c r="AS319" s="752"/>
      <c r="AT319" s="752"/>
      <c r="AU319" s="752"/>
      <c r="AV319" s="752"/>
      <c r="AW319" s="752"/>
      <c r="AX319" s="752"/>
      <c r="AY319" s="753"/>
      <c r="AZ319" s="770"/>
    </row>
    <row r="320" spans="1:52" s="812" customFormat="1" ht="12.9" customHeight="1">
      <c r="B320" s="866"/>
      <c r="C320" s="808">
        <v>15</v>
      </c>
      <c r="D320" s="753" t="s">
        <v>4020</v>
      </c>
      <c r="E320" s="828"/>
      <c r="F320" s="828"/>
      <c r="G320" s="809"/>
      <c r="H320" s="809"/>
      <c r="I320" s="809"/>
      <c r="J320" s="809"/>
      <c r="K320" s="809"/>
      <c r="L320" s="809"/>
      <c r="M320" s="809"/>
      <c r="N320" s="828"/>
      <c r="O320" s="828"/>
      <c r="P320" s="828"/>
      <c r="Q320" s="828"/>
      <c r="Z320" s="818"/>
      <c r="AE320" s="750"/>
      <c r="AF320" s="751"/>
      <c r="AG320" s="751"/>
      <c r="AH320" s="751"/>
      <c r="AI320" s="751"/>
      <c r="AJ320" s="751"/>
      <c r="AK320" s="751"/>
      <c r="AL320" s="751"/>
      <c r="AM320" s="751"/>
      <c r="AN320" s="751"/>
      <c r="AO320" s="751"/>
      <c r="AP320" s="751"/>
      <c r="AQ320" s="751"/>
      <c r="AR320" s="752"/>
      <c r="AS320" s="752"/>
      <c r="AT320" s="752"/>
      <c r="AU320" s="752"/>
      <c r="AV320" s="752"/>
      <c r="AW320" s="752"/>
      <c r="AX320" s="752"/>
      <c r="AY320" s="753"/>
      <c r="AZ320" s="770"/>
    </row>
    <row r="321" spans="1:52" s="812" customFormat="1" ht="12.9" customHeight="1">
      <c r="B321" s="866"/>
      <c r="C321" s="808"/>
      <c r="D321" s="922" t="s">
        <v>4021</v>
      </c>
      <c r="E321" s="828"/>
      <c r="F321" s="828"/>
      <c r="G321" s="809"/>
      <c r="H321" s="809"/>
      <c r="I321" s="809"/>
      <c r="J321" s="809"/>
      <c r="K321" s="809"/>
      <c r="L321" s="809"/>
      <c r="M321" s="809"/>
      <c r="N321" s="828"/>
      <c r="O321" s="828"/>
      <c r="P321" s="828"/>
      <c r="Q321" s="828"/>
      <c r="Z321" s="818"/>
      <c r="AE321" s="750"/>
      <c r="AF321" s="751"/>
      <c r="AG321" s="751"/>
      <c r="AH321" s="751"/>
      <c r="AI321" s="751"/>
      <c r="AJ321" s="751"/>
      <c r="AK321" s="751"/>
      <c r="AL321" s="751"/>
      <c r="AM321" s="751"/>
      <c r="AN321" s="751"/>
      <c r="AO321" s="751"/>
      <c r="AP321" s="751"/>
      <c r="AQ321" s="751"/>
      <c r="AR321" s="752"/>
      <c r="AS321" s="752"/>
      <c r="AT321" s="752"/>
      <c r="AU321" s="752"/>
      <c r="AV321" s="752"/>
      <c r="AW321" s="752"/>
      <c r="AX321" s="752"/>
      <c r="AY321" s="753"/>
      <c r="AZ321" s="770"/>
    </row>
    <row r="322" spans="1:52" s="812" customFormat="1" ht="12.9" customHeight="1">
      <c r="B322" s="867"/>
      <c r="C322" s="797"/>
      <c r="D322" s="760"/>
      <c r="E322" s="868"/>
      <c r="F322" s="760"/>
      <c r="G322" s="809"/>
      <c r="H322" s="809"/>
      <c r="I322" s="809"/>
      <c r="J322" s="809"/>
      <c r="K322" s="809"/>
      <c r="L322" s="809"/>
      <c r="M322" s="809"/>
      <c r="N322" s="828"/>
      <c r="O322" s="828"/>
      <c r="P322" s="828"/>
      <c r="Q322" s="828"/>
      <c r="Z322" s="818"/>
      <c r="AE322" s="750"/>
      <c r="AF322" s="751"/>
      <c r="AG322" s="751"/>
      <c r="AH322" s="751"/>
      <c r="AI322" s="751"/>
      <c r="AJ322" s="751"/>
      <c r="AK322" s="751"/>
      <c r="AL322" s="751"/>
      <c r="AM322" s="751"/>
      <c r="AN322" s="751"/>
      <c r="AO322" s="751"/>
      <c r="AP322" s="751"/>
      <c r="AQ322" s="751"/>
      <c r="AR322" s="752"/>
      <c r="AS322" s="752"/>
      <c r="AT322" s="752"/>
      <c r="AU322" s="752"/>
      <c r="AV322" s="752"/>
      <c r="AW322" s="752"/>
      <c r="AX322" s="752"/>
      <c r="AY322" s="753"/>
      <c r="AZ322" s="770"/>
    </row>
    <row r="323" spans="1:52" s="869" customFormat="1" ht="12.9" customHeight="1">
      <c r="B323" s="870"/>
      <c r="C323" s="859"/>
      <c r="D323" s="759"/>
      <c r="E323" s="923" t="s">
        <v>4022</v>
      </c>
      <c r="F323" s="924"/>
      <c r="G323" s="924"/>
      <c r="H323" s="871"/>
      <c r="I323" s="817"/>
      <c r="J323" s="817"/>
      <c r="K323" s="817"/>
      <c r="L323" s="817"/>
      <c r="M323" s="817"/>
      <c r="N323" s="760"/>
      <c r="O323" s="872"/>
      <c r="P323" s="872"/>
      <c r="AE323" s="750"/>
      <c r="AF323" s="751"/>
      <c r="AG323" s="751"/>
      <c r="AH323" s="751"/>
      <c r="AI323" s="751"/>
      <c r="AJ323" s="751"/>
      <c r="AK323" s="751"/>
      <c r="AL323" s="751"/>
      <c r="AM323" s="751"/>
      <c r="AN323" s="751"/>
      <c r="AO323" s="751"/>
      <c r="AP323" s="751"/>
      <c r="AQ323" s="751"/>
      <c r="AR323" s="752"/>
      <c r="AS323" s="752"/>
      <c r="AT323" s="752"/>
      <c r="AU323" s="752"/>
      <c r="AV323" s="752"/>
      <c r="AW323" s="752"/>
      <c r="AX323" s="752"/>
      <c r="AY323" s="753"/>
      <c r="AZ323" s="770"/>
    </row>
    <row r="324" spans="1:52" s="869" customFormat="1" ht="12.9" customHeight="1">
      <c r="B324" s="870"/>
      <c r="C324" s="859"/>
      <c r="D324" s="759"/>
      <c r="E324" s="923"/>
      <c r="F324" s="925"/>
      <c r="G324" s="925"/>
      <c r="H324" s="871"/>
      <c r="I324" s="817"/>
      <c r="J324" s="817"/>
      <c r="K324" s="817"/>
      <c r="L324" s="817"/>
      <c r="M324" s="817"/>
      <c r="N324" s="760"/>
      <c r="O324" s="872"/>
      <c r="P324" s="872"/>
      <c r="AE324" s="750"/>
      <c r="AF324" s="751"/>
      <c r="AG324" s="751"/>
      <c r="AH324" s="751"/>
      <c r="AI324" s="751"/>
      <c r="AJ324" s="751"/>
      <c r="AK324" s="751"/>
      <c r="AL324" s="751"/>
      <c r="AM324" s="751"/>
      <c r="AN324" s="751"/>
      <c r="AO324" s="751"/>
      <c r="AP324" s="751"/>
      <c r="AQ324" s="751"/>
      <c r="AR324" s="752"/>
      <c r="AS324" s="752"/>
      <c r="AT324" s="752"/>
      <c r="AU324" s="752"/>
      <c r="AV324" s="752"/>
      <c r="AW324" s="752"/>
      <c r="AX324" s="752"/>
      <c r="AY324" s="753"/>
      <c r="AZ324" s="770"/>
    </row>
    <row r="325" spans="1:52" s="869" customFormat="1" ht="12.9" customHeight="1">
      <c r="B325" s="870"/>
      <c r="C325" s="859"/>
      <c r="D325" s="759"/>
      <c r="E325" s="923" t="s">
        <v>4023</v>
      </c>
      <c r="F325" s="924"/>
      <c r="G325" s="924"/>
      <c r="H325" s="871"/>
      <c r="I325" s="817"/>
      <c r="J325" s="817"/>
      <c r="K325" s="817"/>
      <c r="L325" s="817"/>
      <c r="M325" s="817"/>
      <c r="N325" s="760"/>
      <c r="O325" s="872"/>
      <c r="P325" s="872"/>
      <c r="AE325" s="750"/>
      <c r="AF325" s="751"/>
      <c r="AG325" s="751"/>
      <c r="AH325" s="751"/>
      <c r="AI325" s="751"/>
      <c r="AJ325" s="751"/>
      <c r="AK325" s="751"/>
      <c r="AL325" s="751"/>
      <c r="AM325" s="751"/>
      <c r="AN325" s="751"/>
      <c r="AO325" s="751"/>
      <c r="AP325" s="751"/>
      <c r="AQ325" s="751"/>
      <c r="AR325" s="752"/>
      <c r="AS325" s="752"/>
      <c r="AT325" s="752"/>
      <c r="AU325" s="752"/>
      <c r="AV325" s="752"/>
      <c r="AW325" s="752"/>
      <c r="AX325" s="752"/>
      <c r="AY325" s="753"/>
      <c r="AZ325" s="770"/>
    </row>
    <row r="326" spans="1:52" s="869" customFormat="1" ht="12.9" customHeight="1">
      <c r="B326" s="870"/>
      <c r="C326" s="748"/>
      <c r="D326" s="759"/>
      <c r="E326" s="923"/>
      <c r="F326" s="926"/>
      <c r="G326" s="926"/>
      <c r="H326" s="873"/>
      <c r="I326" s="817"/>
      <c r="J326" s="817"/>
      <c r="K326" s="817"/>
      <c r="L326" s="817"/>
      <c r="M326" s="817"/>
      <c r="N326" s="760"/>
      <c r="O326" s="872"/>
      <c r="P326" s="872"/>
      <c r="AE326" s="750"/>
      <c r="AF326" s="751"/>
      <c r="AG326" s="751"/>
      <c r="AH326" s="751"/>
      <c r="AI326" s="751"/>
      <c r="AJ326" s="751"/>
      <c r="AK326" s="751"/>
      <c r="AL326" s="751"/>
      <c r="AM326" s="751"/>
      <c r="AN326" s="751"/>
      <c r="AO326" s="751"/>
      <c r="AP326" s="751"/>
      <c r="AQ326" s="751"/>
      <c r="AR326" s="752"/>
      <c r="AS326" s="752"/>
      <c r="AT326" s="752"/>
      <c r="AU326" s="752"/>
      <c r="AV326" s="752"/>
      <c r="AW326" s="752"/>
      <c r="AX326" s="752"/>
      <c r="AY326" s="753"/>
      <c r="AZ326" s="770"/>
    </row>
    <row r="327" spans="1:52" s="869" customFormat="1" ht="12.9" customHeight="1">
      <c r="B327" s="870"/>
      <c r="C327" s="859"/>
      <c r="D327" s="759"/>
      <c r="E327" s="923" t="s">
        <v>4024</v>
      </c>
      <c r="F327" s="924"/>
      <c r="G327" s="924"/>
      <c r="H327" s="871"/>
      <c r="I327" s="817"/>
      <c r="J327" s="817"/>
      <c r="K327" s="817"/>
      <c r="L327" s="817"/>
      <c r="M327" s="817"/>
      <c r="N327" s="760"/>
      <c r="O327" s="872"/>
      <c r="P327" s="872"/>
      <c r="AE327" s="750"/>
      <c r="AF327" s="751"/>
      <c r="AG327" s="751"/>
      <c r="AH327" s="751"/>
      <c r="AI327" s="751"/>
      <c r="AJ327" s="751"/>
      <c r="AK327" s="751"/>
      <c r="AL327" s="751"/>
      <c r="AM327" s="751"/>
      <c r="AN327" s="751"/>
      <c r="AO327" s="751"/>
      <c r="AP327" s="751"/>
      <c r="AQ327" s="751"/>
      <c r="AR327" s="752"/>
      <c r="AS327" s="752"/>
      <c r="AT327" s="752"/>
      <c r="AU327" s="752"/>
      <c r="AV327" s="752"/>
      <c r="AW327" s="752"/>
      <c r="AX327" s="752"/>
      <c r="AY327" s="753"/>
      <c r="AZ327" s="770"/>
    </row>
    <row r="328" spans="1:52" s="869" customFormat="1" ht="12.9" customHeight="1">
      <c r="B328" s="870"/>
      <c r="C328" s="748"/>
      <c r="D328" s="759"/>
      <c r="E328" s="923"/>
      <c r="F328" s="926"/>
      <c r="G328" s="926"/>
      <c r="H328" s="873"/>
      <c r="I328" s="817"/>
      <c r="J328" s="817"/>
      <c r="K328" s="817"/>
      <c r="L328" s="817"/>
      <c r="M328" s="817"/>
      <c r="N328" s="760"/>
      <c r="O328" s="872"/>
      <c r="P328" s="872"/>
      <c r="AE328" s="750"/>
      <c r="AF328" s="751"/>
      <c r="AG328" s="751"/>
      <c r="AH328" s="751"/>
      <c r="AI328" s="751"/>
      <c r="AJ328" s="751"/>
      <c r="AK328" s="751"/>
      <c r="AL328" s="751"/>
      <c r="AM328" s="751"/>
      <c r="AN328" s="751"/>
      <c r="AO328" s="751"/>
      <c r="AP328" s="751"/>
      <c r="AQ328" s="751"/>
      <c r="AR328" s="752"/>
      <c r="AS328" s="752"/>
      <c r="AT328" s="752"/>
      <c r="AU328" s="752"/>
      <c r="AV328" s="752"/>
      <c r="AW328" s="752"/>
      <c r="AX328" s="752"/>
      <c r="AY328" s="753"/>
      <c r="AZ328" s="770"/>
    </row>
    <row r="329" spans="1:52" s="869" customFormat="1" ht="12.9" customHeight="1">
      <c r="B329" s="870"/>
      <c r="C329" s="859"/>
      <c r="D329" s="759"/>
      <c r="E329" s="923" t="s">
        <v>4025</v>
      </c>
      <c r="F329" s="924"/>
      <c r="G329" s="924"/>
      <c r="H329" s="871"/>
      <c r="I329" s="817"/>
      <c r="J329" s="817"/>
      <c r="K329" s="817"/>
      <c r="L329" s="817"/>
      <c r="M329" s="817"/>
      <c r="N329" s="760"/>
      <c r="O329" s="872"/>
      <c r="P329" s="872"/>
      <c r="AE329" s="750"/>
      <c r="AF329" s="751"/>
      <c r="AG329" s="751"/>
      <c r="AH329" s="751"/>
      <c r="AI329" s="751"/>
      <c r="AJ329" s="751"/>
      <c r="AK329" s="751"/>
      <c r="AL329" s="751"/>
      <c r="AM329" s="751"/>
      <c r="AN329" s="751"/>
      <c r="AO329" s="751"/>
      <c r="AP329" s="751"/>
      <c r="AQ329" s="751"/>
      <c r="AR329" s="752"/>
      <c r="AS329" s="752"/>
      <c r="AT329" s="752"/>
      <c r="AU329" s="752"/>
      <c r="AV329" s="752"/>
      <c r="AW329" s="752"/>
      <c r="AX329" s="752"/>
      <c r="AY329" s="753"/>
      <c r="AZ329" s="770"/>
    </row>
    <row r="330" spans="1:52" s="869" customFormat="1" ht="12.9" customHeight="1">
      <c r="B330" s="870"/>
      <c r="C330" s="748"/>
      <c r="D330" s="759"/>
      <c r="E330" s="923"/>
      <c r="F330" s="926"/>
      <c r="G330" s="926"/>
      <c r="H330" s="873"/>
      <c r="I330" s="817"/>
      <c r="J330" s="817"/>
      <c r="K330" s="817"/>
      <c r="L330" s="817"/>
      <c r="M330" s="817"/>
      <c r="N330" s="760"/>
      <c r="O330" s="872"/>
      <c r="P330" s="872"/>
      <c r="AE330" s="750"/>
      <c r="AF330" s="751"/>
      <c r="AG330" s="751"/>
      <c r="AH330" s="751"/>
      <c r="AI330" s="751"/>
      <c r="AJ330" s="751"/>
      <c r="AK330" s="751"/>
      <c r="AL330" s="751"/>
      <c r="AM330" s="751"/>
      <c r="AN330" s="751"/>
      <c r="AO330" s="751"/>
      <c r="AP330" s="751"/>
      <c r="AQ330" s="751"/>
      <c r="AR330" s="752"/>
      <c r="AS330" s="752"/>
      <c r="AT330" s="752"/>
      <c r="AU330" s="752"/>
      <c r="AV330" s="752"/>
      <c r="AW330" s="752"/>
      <c r="AX330" s="752"/>
      <c r="AY330" s="753"/>
      <c r="AZ330" s="770"/>
    </row>
    <row r="331" spans="1:52" s="869" customFormat="1" ht="12.9" customHeight="1">
      <c r="B331" s="870"/>
      <c r="C331" s="859"/>
      <c r="D331" s="759"/>
      <c r="E331" s="923" t="s">
        <v>4026</v>
      </c>
      <c r="F331" s="924"/>
      <c r="G331" s="924"/>
      <c r="H331" s="871"/>
      <c r="I331" s="817"/>
      <c r="J331" s="817"/>
      <c r="K331" s="817"/>
      <c r="L331" s="817"/>
      <c r="M331" s="817"/>
      <c r="N331" s="760"/>
      <c r="O331" s="872"/>
      <c r="P331" s="872"/>
      <c r="AE331" s="750"/>
      <c r="AF331" s="751"/>
      <c r="AG331" s="751"/>
      <c r="AH331" s="751"/>
      <c r="AI331" s="751"/>
      <c r="AJ331" s="751"/>
      <c r="AK331" s="751"/>
      <c r="AL331" s="751"/>
      <c r="AM331" s="751"/>
      <c r="AN331" s="751"/>
      <c r="AO331" s="751"/>
      <c r="AP331" s="751"/>
      <c r="AQ331" s="751"/>
      <c r="AR331" s="752"/>
      <c r="AS331" s="752"/>
      <c r="AT331" s="752"/>
      <c r="AU331" s="752"/>
      <c r="AV331" s="752"/>
      <c r="AW331" s="752"/>
      <c r="AX331" s="752"/>
      <c r="AY331" s="753"/>
      <c r="AZ331" s="770"/>
    </row>
    <row r="332" spans="1:52" s="770" customFormat="1" ht="12" customHeight="1">
      <c r="A332" s="753"/>
      <c r="B332" s="810"/>
      <c r="C332" s="811"/>
      <c r="D332" s="759"/>
      <c r="E332" s="849"/>
      <c r="F332" s="926"/>
      <c r="G332" s="926"/>
      <c r="H332" s="871"/>
      <c r="I332" s="799"/>
      <c r="J332" s="821"/>
      <c r="K332" s="753"/>
      <c r="L332" s="753"/>
      <c r="M332" s="753"/>
      <c r="N332" s="753"/>
      <c r="O332" s="753"/>
      <c r="P332" s="753"/>
      <c r="Q332" s="753"/>
      <c r="R332" s="753"/>
      <c r="S332" s="753"/>
      <c r="T332" s="753"/>
      <c r="U332" s="753"/>
      <c r="V332" s="753"/>
      <c r="W332" s="753"/>
      <c r="X332" s="753"/>
      <c r="Y332" s="753"/>
      <c r="Z332" s="753"/>
      <c r="AA332" s="753"/>
      <c r="AB332" s="753"/>
      <c r="AC332" s="753"/>
      <c r="AD332" s="799"/>
      <c r="AE332" s="750"/>
      <c r="AF332" s="751"/>
      <c r="AG332" s="751"/>
      <c r="AH332" s="751"/>
      <c r="AI332" s="751"/>
      <c r="AJ332" s="751"/>
      <c r="AK332" s="751"/>
      <c r="AL332" s="751"/>
      <c r="AM332" s="751"/>
      <c r="AN332" s="751"/>
      <c r="AO332" s="751"/>
      <c r="AP332" s="751"/>
      <c r="AQ332" s="751"/>
      <c r="AR332" s="752"/>
      <c r="AS332" s="752"/>
      <c r="AT332" s="752"/>
      <c r="AU332" s="752"/>
      <c r="AV332" s="752"/>
      <c r="AW332" s="752"/>
      <c r="AX332" s="752"/>
      <c r="AY332" s="753"/>
    </row>
    <row r="333" spans="1:52" s="770" customFormat="1" ht="12" customHeight="1">
      <c r="A333" s="753"/>
      <c r="B333" s="810"/>
      <c r="C333" s="811"/>
      <c r="D333" s="759"/>
      <c r="E333" s="849"/>
      <c r="F333" s="926"/>
      <c r="G333" s="926"/>
      <c r="H333" s="871"/>
      <c r="I333" s="817"/>
      <c r="J333" s="817"/>
      <c r="K333" s="817"/>
      <c r="L333" s="817"/>
      <c r="M333" s="817"/>
      <c r="N333" s="753"/>
      <c r="O333" s="753"/>
      <c r="P333" s="753"/>
      <c r="Q333" s="753"/>
      <c r="R333" s="753"/>
      <c r="S333" s="753"/>
      <c r="T333" s="753"/>
      <c r="U333" s="753"/>
      <c r="V333" s="753"/>
      <c r="W333" s="753"/>
      <c r="X333" s="753"/>
      <c r="Y333" s="753"/>
      <c r="Z333" s="753"/>
      <c r="AA333" s="753"/>
      <c r="AB333" s="753"/>
      <c r="AC333" s="753"/>
      <c r="AD333" s="799"/>
      <c r="AE333" s="750"/>
      <c r="AF333" s="751"/>
      <c r="AG333" s="751"/>
      <c r="AH333" s="751"/>
      <c r="AI333" s="751"/>
      <c r="AJ333" s="751"/>
      <c r="AK333" s="751"/>
      <c r="AL333" s="751"/>
      <c r="AM333" s="751"/>
      <c r="AN333" s="751"/>
      <c r="AO333" s="751"/>
      <c r="AP333" s="751"/>
      <c r="AQ333" s="751"/>
      <c r="AR333" s="752"/>
      <c r="AS333" s="752"/>
      <c r="AT333" s="752"/>
      <c r="AU333" s="752"/>
      <c r="AV333" s="752"/>
      <c r="AW333" s="752"/>
      <c r="AX333" s="752"/>
      <c r="AY333" s="753"/>
    </row>
    <row r="334" spans="1:52" s="753" customFormat="1" ht="12" customHeight="1">
      <c r="B334" s="796" t="s">
        <v>4027</v>
      </c>
      <c r="C334" s="797"/>
      <c r="E334" s="798"/>
      <c r="F334" s="799"/>
      <c r="AE334" s="750"/>
      <c r="AF334" s="751"/>
      <c r="AG334" s="751"/>
      <c r="AH334" s="751"/>
      <c r="AI334" s="751"/>
      <c r="AJ334" s="751"/>
      <c r="AK334" s="751"/>
      <c r="AL334" s="751"/>
      <c r="AM334" s="751"/>
      <c r="AN334" s="751"/>
      <c r="AO334" s="751"/>
      <c r="AP334" s="751"/>
      <c r="AQ334" s="751"/>
      <c r="AR334" s="752"/>
      <c r="AS334" s="752"/>
      <c r="AT334" s="752"/>
      <c r="AU334" s="752"/>
      <c r="AV334" s="752"/>
      <c r="AW334" s="752"/>
      <c r="AX334" s="752"/>
    </row>
    <row r="335" spans="1:52" s="812" customFormat="1" ht="12.9" customHeight="1">
      <c r="B335" s="800" t="s">
        <v>4028</v>
      </c>
      <c r="C335" s="801"/>
      <c r="D335" s="863"/>
      <c r="E335" s="864"/>
      <c r="F335" s="863"/>
      <c r="G335" s="865"/>
      <c r="H335" s="865"/>
      <c r="I335" s="865"/>
      <c r="J335" s="865"/>
      <c r="K335" s="865"/>
      <c r="L335" s="865"/>
      <c r="M335" s="865"/>
      <c r="N335" s="865"/>
      <c r="O335" s="865"/>
      <c r="P335" s="865"/>
      <c r="Q335" s="865"/>
      <c r="R335" s="865"/>
      <c r="S335" s="865"/>
      <c r="T335" s="865"/>
      <c r="U335" s="865"/>
      <c r="V335" s="865"/>
      <c r="W335" s="865"/>
      <c r="X335" s="865"/>
      <c r="Y335" s="865"/>
      <c r="Z335" s="865"/>
      <c r="AA335" s="865"/>
      <c r="AB335" s="865"/>
      <c r="AC335" s="865"/>
      <c r="AD335" s="806" t="s">
        <v>568</v>
      </c>
      <c r="AE335" s="750"/>
      <c r="AF335" s="751"/>
      <c r="AG335" s="751"/>
      <c r="AH335" s="751"/>
      <c r="AI335" s="751"/>
      <c r="AJ335" s="751"/>
      <c r="AK335" s="751"/>
      <c r="AL335" s="751"/>
      <c r="AM335" s="751"/>
      <c r="AN335" s="751"/>
      <c r="AO335" s="751"/>
      <c r="AP335" s="751"/>
      <c r="AQ335" s="751"/>
      <c r="AR335" s="752"/>
      <c r="AS335" s="752"/>
      <c r="AT335" s="752"/>
      <c r="AU335" s="752"/>
      <c r="AV335" s="752"/>
      <c r="AW335" s="752"/>
      <c r="AX335" s="752"/>
      <c r="AY335" s="753"/>
      <c r="AZ335" s="770"/>
    </row>
    <row r="336" spans="1:52" s="812" customFormat="1" ht="12.9" customHeight="1">
      <c r="B336" s="866"/>
      <c r="C336" s="808">
        <v>16</v>
      </c>
      <c r="D336" s="753" t="s">
        <v>4029</v>
      </c>
      <c r="E336" s="828"/>
      <c r="F336" s="828"/>
      <c r="G336" s="809"/>
      <c r="H336" s="809"/>
      <c r="I336" s="809"/>
      <c r="J336" s="809"/>
      <c r="K336" s="809"/>
      <c r="L336" s="809"/>
      <c r="M336" s="809"/>
      <c r="N336" s="828"/>
      <c r="O336" s="828"/>
      <c r="P336" s="828"/>
      <c r="Q336" s="828"/>
      <c r="Z336" s="818"/>
      <c r="AE336" s="750"/>
      <c r="AF336" s="751"/>
      <c r="AG336" s="751"/>
      <c r="AH336" s="751"/>
      <c r="AI336" s="751"/>
      <c r="AJ336" s="751"/>
      <c r="AK336" s="751"/>
      <c r="AL336" s="751"/>
      <c r="AM336" s="751"/>
      <c r="AN336" s="751"/>
      <c r="AO336" s="751"/>
      <c r="AP336" s="751"/>
      <c r="AQ336" s="751"/>
      <c r="AR336" s="751"/>
      <c r="AS336" s="751"/>
      <c r="AT336" s="751"/>
      <c r="AU336" s="751"/>
      <c r="AV336" s="751"/>
      <c r="AW336" s="751"/>
      <c r="AX336" s="752"/>
      <c r="AY336" s="753"/>
      <c r="AZ336" s="770"/>
    </row>
    <row r="337" spans="1:52" s="812" customFormat="1" ht="12.9" customHeight="1">
      <c r="B337" s="867"/>
      <c r="C337" s="797"/>
      <c r="D337" s="760"/>
      <c r="E337" s="868"/>
      <c r="F337" s="760"/>
      <c r="G337" s="809"/>
      <c r="H337" s="809"/>
      <c r="I337" s="809"/>
      <c r="J337" s="809"/>
      <c r="K337" s="809"/>
      <c r="L337" s="809"/>
      <c r="M337" s="809"/>
      <c r="N337" s="828"/>
      <c r="O337" s="828"/>
      <c r="P337" s="828"/>
      <c r="Q337" s="828"/>
      <c r="Z337" s="818"/>
      <c r="AE337" s="750"/>
      <c r="AF337" s="751"/>
      <c r="AG337" s="751"/>
      <c r="AH337" s="751"/>
      <c r="AI337" s="751"/>
      <c r="AJ337" s="751"/>
      <c r="AK337" s="751"/>
      <c r="AL337" s="751"/>
      <c r="AM337" s="751"/>
      <c r="AN337" s="751"/>
      <c r="AO337" s="751"/>
      <c r="AP337" s="751"/>
      <c r="AQ337" s="751"/>
      <c r="AR337" s="751"/>
      <c r="AS337" s="751"/>
      <c r="AT337" s="751"/>
      <c r="AU337" s="751"/>
      <c r="AV337" s="751"/>
      <c r="AW337" s="751"/>
      <c r="AX337" s="752"/>
      <c r="AY337" s="753"/>
      <c r="AZ337" s="770"/>
    </row>
    <row r="338" spans="1:52" s="770" customFormat="1" ht="12" customHeight="1">
      <c r="A338" s="753"/>
      <c r="B338" s="810"/>
      <c r="C338" s="835"/>
      <c r="D338" s="753"/>
      <c r="E338" s="852"/>
      <c r="G338" s="853">
        <v>1</v>
      </c>
      <c r="H338" s="853">
        <v>2</v>
      </c>
      <c r="I338" s="853">
        <v>3</v>
      </c>
      <c r="J338" s="853">
        <v>4</v>
      </c>
      <c r="K338" s="853">
        <v>5</v>
      </c>
      <c r="L338" s="817"/>
      <c r="M338" s="817"/>
      <c r="N338" s="817"/>
      <c r="O338" s="825"/>
      <c r="P338" s="825"/>
      <c r="Q338" s="825"/>
      <c r="R338" s="825"/>
      <c r="S338" s="825"/>
      <c r="T338" s="825"/>
      <c r="U338" s="825"/>
      <c r="V338" s="825"/>
      <c r="W338" s="825"/>
      <c r="X338" s="825"/>
      <c r="Y338" s="825"/>
      <c r="Z338" s="825"/>
      <c r="AA338" s="825"/>
      <c r="AB338" s="825"/>
      <c r="AC338" s="825"/>
      <c r="AD338" s="799"/>
      <c r="AE338" s="750"/>
      <c r="AF338" s="751"/>
      <c r="AG338" s="751"/>
      <c r="AH338" s="751"/>
      <c r="AI338" s="751"/>
      <c r="AJ338" s="751"/>
      <c r="AK338" s="751"/>
      <c r="AL338" s="751"/>
      <c r="AM338" s="751"/>
      <c r="AN338" s="751"/>
      <c r="AO338" s="751"/>
      <c r="AP338" s="751"/>
      <c r="AQ338" s="751"/>
      <c r="AR338" s="752"/>
      <c r="AS338" s="752"/>
      <c r="AT338" s="752"/>
      <c r="AU338" s="752"/>
      <c r="AV338" s="752"/>
      <c r="AW338" s="752"/>
      <c r="AX338" s="752"/>
      <c r="AY338" s="753"/>
    </row>
    <row r="339" spans="1:52" s="770" customFormat="1" ht="78" customHeight="1">
      <c r="A339" s="753"/>
      <c r="B339" s="810"/>
      <c r="C339" s="811"/>
      <c r="D339" s="811"/>
      <c r="E339" s="852"/>
      <c r="G339" s="855" t="s">
        <v>4030</v>
      </c>
      <c r="H339" s="855" t="s">
        <v>4031</v>
      </c>
      <c r="I339" s="855" t="s">
        <v>4032</v>
      </c>
      <c r="J339" s="855" t="s">
        <v>4033</v>
      </c>
      <c r="K339" s="855" t="s">
        <v>4034</v>
      </c>
      <c r="L339" s="927"/>
      <c r="M339" s="927"/>
      <c r="N339" s="927"/>
      <c r="O339" s="825"/>
      <c r="P339" s="825"/>
      <c r="Q339" s="825"/>
      <c r="R339" s="825"/>
      <c r="S339" s="825"/>
      <c r="T339" s="825"/>
      <c r="U339" s="825"/>
      <c r="V339" s="825"/>
      <c r="W339" s="825"/>
      <c r="X339" s="825"/>
      <c r="Y339" s="825"/>
      <c r="Z339" s="825"/>
      <c r="AA339" s="825"/>
      <c r="AB339" s="825"/>
      <c r="AC339" s="825"/>
      <c r="AD339" s="799"/>
      <c r="AE339" s="750"/>
      <c r="AF339" s="751"/>
      <c r="AG339" s="856"/>
      <c r="AH339" s="856"/>
      <c r="AI339" s="751"/>
      <c r="AJ339" s="751"/>
      <c r="AK339" s="751"/>
      <c r="AL339" s="751"/>
      <c r="AM339" s="751"/>
      <c r="AN339" s="751"/>
      <c r="AO339" s="751"/>
      <c r="AP339" s="751"/>
      <c r="AQ339" s="751"/>
      <c r="AR339" s="752"/>
      <c r="AS339" s="752"/>
      <c r="AT339" s="752"/>
      <c r="AU339" s="752"/>
      <c r="AV339" s="752"/>
      <c r="AW339" s="752"/>
      <c r="AX339" s="752"/>
      <c r="AY339" s="753"/>
    </row>
    <row r="340" spans="1:52" s="770" customFormat="1" ht="19.5" customHeight="1">
      <c r="A340" s="753"/>
      <c r="B340" s="810"/>
      <c r="C340" s="859"/>
      <c r="D340" s="749"/>
      <c r="E340" s="825"/>
      <c r="F340" s="928" t="s">
        <v>4035</v>
      </c>
      <c r="G340" s="759" t="s">
        <v>4036</v>
      </c>
      <c r="H340" s="759"/>
      <c r="I340" s="759"/>
      <c r="J340" s="759"/>
      <c r="K340" s="759" t="s">
        <v>4037</v>
      </c>
      <c r="L340" s="929" t="s">
        <v>4038</v>
      </c>
      <c r="M340" s="825"/>
      <c r="N340" s="825"/>
      <c r="O340" s="825"/>
      <c r="P340" s="825"/>
      <c r="Q340" s="825"/>
      <c r="R340" s="825"/>
      <c r="S340" s="825"/>
      <c r="T340" s="825"/>
      <c r="U340" s="825"/>
      <c r="V340" s="825"/>
      <c r="W340" s="825"/>
      <c r="X340" s="825"/>
      <c r="Y340" s="825"/>
      <c r="Z340" s="825"/>
      <c r="AA340" s="825"/>
      <c r="AB340" s="825"/>
      <c r="AC340" s="825"/>
      <c r="AD340" s="799"/>
      <c r="AE340" s="750"/>
      <c r="AF340" s="751"/>
      <c r="AG340" s="751"/>
      <c r="AH340" s="751"/>
      <c r="AI340" s="751"/>
      <c r="AJ340" s="751"/>
      <c r="AK340" s="751"/>
      <c r="AL340" s="751"/>
      <c r="AM340" s="751"/>
      <c r="AN340" s="751"/>
      <c r="AO340" s="751"/>
      <c r="AP340" s="751"/>
      <c r="AQ340" s="751"/>
      <c r="AR340" s="752"/>
      <c r="AS340" s="752"/>
      <c r="AT340" s="752"/>
      <c r="AU340" s="752"/>
      <c r="AV340" s="752"/>
      <c r="AW340" s="752"/>
      <c r="AX340" s="752"/>
      <c r="AY340" s="753"/>
    </row>
    <row r="341" spans="1:52" s="770" customFormat="1" ht="33.9" customHeight="1">
      <c r="A341" s="753"/>
      <c r="B341" s="810"/>
      <c r="C341" s="859"/>
      <c r="D341" s="749"/>
      <c r="E341" s="860">
        <v>1</v>
      </c>
      <c r="F341" s="930" t="s">
        <v>4039</v>
      </c>
      <c r="G341" s="759" t="s">
        <v>3809</v>
      </c>
      <c r="H341" s="759" t="s">
        <v>3809</v>
      </c>
      <c r="I341" s="759" t="s">
        <v>3809</v>
      </c>
      <c r="J341" s="759" t="s">
        <v>3809</v>
      </c>
      <c r="K341" s="759" t="s">
        <v>3809</v>
      </c>
      <c r="L341" s="950" t="s">
        <v>4040</v>
      </c>
      <c r="M341" s="950"/>
      <c r="N341" s="950"/>
      <c r="O341" s="950"/>
      <c r="P341" s="950"/>
      <c r="Q341" s="950"/>
      <c r="R341" s="950"/>
      <c r="S341" s="950"/>
      <c r="T341" s="950"/>
      <c r="U341" s="825"/>
      <c r="V341" s="825"/>
      <c r="W341" s="825"/>
      <c r="X341" s="825"/>
      <c r="Y341" s="825"/>
      <c r="Z341" s="825"/>
      <c r="AA341" s="825"/>
      <c r="AB341" s="825"/>
      <c r="AC341" s="825"/>
      <c r="AD341" s="799"/>
      <c r="AE341" s="750"/>
      <c r="AF341" s="751"/>
      <c r="AG341" s="751"/>
      <c r="AH341" s="751"/>
      <c r="AI341" s="751"/>
      <c r="AJ341" s="751"/>
      <c r="AK341" s="751"/>
      <c r="AL341" s="751"/>
      <c r="AM341" s="751"/>
      <c r="AN341" s="751"/>
      <c r="AO341" s="751"/>
      <c r="AP341" s="751"/>
      <c r="AQ341" s="751"/>
      <c r="AR341" s="752"/>
      <c r="AS341" s="752"/>
      <c r="AT341" s="752"/>
      <c r="AU341" s="752"/>
      <c r="AV341" s="752"/>
      <c r="AW341" s="752"/>
      <c r="AX341" s="752"/>
      <c r="AY341" s="753"/>
    </row>
    <row r="342" spans="1:52" s="770" customFormat="1" ht="12" customHeight="1">
      <c r="A342" s="753"/>
      <c r="B342" s="810"/>
      <c r="C342" s="797"/>
      <c r="D342" s="753"/>
      <c r="E342" s="809"/>
      <c r="F342" s="753"/>
      <c r="G342" s="753"/>
      <c r="H342" s="753"/>
      <c r="I342" s="753"/>
      <c r="J342" s="753"/>
      <c r="K342" s="753"/>
      <c r="L342" s="753"/>
      <c r="M342" s="753"/>
      <c r="N342" s="753"/>
      <c r="O342" s="753"/>
      <c r="P342" s="753"/>
      <c r="Q342" s="753"/>
      <c r="R342" s="753"/>
      <c r="S342" s="753"/>
      <c r="T342" s="753"/>
      <c r="U342" s="753"/>
      <c r="V342" s="753"/>
      <c r="W342" s="753"/>
      <c r="X342" s="753"/>
      <c r="Y342" s="753"/>
      <c r="Z342" s="753"/>
      <c r="AA342" s="753"/>
      <c r="AB342" s="753"/>
      <c r="AC342" s="753"/>
      <c r="AD342" s="753"/>
      <c r="AE342" s="750"/>
      <c r="AF342" s="751"/>
      <c r="AG342" s="751"/>
      <c r="AH342" s="751"/>
      <c r="AI342" s="751"/>
      <c r="AJ342" s="751"/>
      <c r="AK342" s="751"/>
      <c r="AL342" s="751"/>
      <c r="AM342" s="751"/>
      <c r="AN342" s="751"/>
      <c r="AO342" s="751"/>
      <c r="AP342" s="751"/>
      <c r="AQ342" s="751"/>
      <c r="AR342" s="751"/>
      <c r="AS342" s="751"/>
      <c r="AT342" s="751"/>
      <c r="AU342" s="751"/>
      <c r="AV342" s="751"/>
      <c r="AW342" s="751"/>
      <c r="AX342" s="752"/>
      <c r="AY342" s="753"/>
    </row>
    <row r="343" spans="1:52" s="770" customFormat="1" ht="12" customHeight="1">
      <c r="A343" s="753"/>
      <c r="B343" s="810"/>
      <c r="C343" s="797"/>
      <c r="D343" s="753"/>
      <c r="E343" s="809"/>
      <c r="F343" s="753"/>
      <c r="G343" s="817"/>
      <c r="H343" s="817"/>
      <c r="I343" s="817"/>
      <c r="J343" s="817"/>
      <c r="K343" s="817"/>
      <c r="L343" s="817"/>
      <c r="M343" s="817"/>
      <c r="N343" s="817"/>
      <c r="O343" s="753"/>
      <c r="P343" s="753"/>
      <c r="Q343" s="753"/>
      <c r="R343" s="753"/>
      <c r="S343" s="753"/>
      <c r="T343" s="753"/>
      <c r="U343" s="753"/>
      <c r="V343" s="753"/>
      <c r="W343" s="753"/>
      <c r="X343" s="753"/>
      <c r="Y343" s="753"/>
      <c r="Z343" s="753"/>
      <c r="AA343" s="753"/>
      <c r="AB343" s="753"/>
      <c r="AC343" s="753"/>
      <c r="AD343" s="753"/>
      <c r="AE343" s="750"/>
      <c r="AF343" s="751"/>
      <c r="AG343" s="751"/>
      <c r="AH343" s="751"/>
      <c r="AI343" s="751"/>
      <c r="AJ343" s="751"/>
      <c r="AK343" s="751"/>
      <c r="AL343" s="751"/>
      <c r="AM343" s="751"/>
      <c r="AN343" s="751"/>
      <c r="AO343" s="751"/>
      <c r="AP343" s="751"/>
      <c r="AQ343" s="751"/>
      <c r="AR343" s="751"/>
      <c r="AS343" s="751"/>
      <c r="AT343" s="751"/>
      <c r="AU343" s="751"/>
      <c r="AV343" s="751"/>
      <c r="AW343" s="751"/>
      <c r="AX343" s="752"/>
      <c r="AY343" s="753"/>
    </row>
    <row r="344" spans="1:52" s="753" customFormat="1" ht="12" customHeight="1">
      <c r="B344" s="796" t="s">
        <v>4027</v>
      </c>
      <c r="C344" s="797"/>
      <c r="E344" s="798"/>
      <c r="F344" s="799"/>
      <c r="AE344" s="750"/>
      <c r="AF344" s="751"/>
      <c r="AG344" s="751"/>
      <c r="AH344" s="751"/>
      <c r="AI344" s="751"/>
      <c r="AJ344" s="751"/>
      <c r="AK344" s="751"/>
      <c r="AL344" s="751"/>
      <c r="AM344" s="751"/>
      <c r="AN344" s="751"/>
      <c r="AO344" s="751"/>
      <c r="AP344" s="751"/>
      <c r="AQ344" s="751"/>
      <c r="AR344" s="752"/>
      <c r="AS344" s="752"/>
      <c r="AT344" s="752"/>
      <c r="AU344" s="752"/>
      <c r="AV344" s="752"/>
      <c r="AW344" s="752"/>
      <c r="AX344" s="752"/>
    </row>
    <row r="345" spans="1:52" s="812" customFormat="1" ht="12.9" customHeight="1">
      <c r="B345" s="800" t="s">
        <v>4041</v>
      </c>
      <c r="C345" s="801"/>
      <c r="D345" s="863"/>
      <c r="E345" s="864"/>
      <c r="F345" s="863"/>
      <c r="G345" s="865"/>
      <c r="H345" s="865"/>
      <c r="I345" s="865"/>
      <c r="J345" s="865"/>
      <c r="K345" s="865"/>
      <c r="L345" s="865"/>
      <c r="M345" s="865"/>
      <c r="N345" s="865"/>
      <c r="O345" s="865"/>
      <c r="P345" s="865"/>
      <c r="Q345" s="865"/>
      <c r="R345" s="865"/>
      <c r="S345" s="865"/>
      <c r="T345" s="865"/>
      <c r="U345" s="865"/>
      <c r="V345" s="865"/>
      <c r="W345" s="865"/>
      <c r="X345" s="865"/>
      <c r="Y345" s="865"/>
      <c r="Z345" s="865"/>
      <c r="AA345" s="865"/>
      <c r="AB345" s="865"/>
      <c r="AC345" s="865"/>
      <c r="AD345" s="806" t="s">
        <v>584</v>
      </c>
      <c r="AE345" s="750"/>
      <c r="AF345" s="751"/>
      <c r="AG345" s="751"/>
      <c r="AH345" s="751"/>
      <c r="AI345" s="751"/>
      <c r="AJ345" s="751"/>
      <c r="AK345" s="751"/>
      <c r="AL345" s="751"/>
      <c r="AM345" s="751"/>
      <c r="AN345" s="751"/>
      <c r="AO345" s="751"/>
      <c r="AP345" s="751"/>
      <c r="AQ345" s="751"/>
      <c r="AR345" s="752"/>
      <c r="AS345" s="752"/>
      <c r="AT345" s="752"/>
      <c r="AU345" s="752"/>
      <c r="AV345" s="752"/>
      <c r="AW345" s="752"/>
      <c r="AX345" s="752"/>
      <c r="AY345" s="753"/>
      <c r="AZ345" s="770"/>
    </row>
    <row r="346" spans="1:52" s="812" customFormat="1" ht="12.9" customHeight="1">
      <c r="B346" s="866"/>
      <c r="C346" s="808">
        <v>17</v>
      </c>
      <c r="D346" s="753" t="s">
        <v>4042</v>
      </c>
      <c r="E346" s="828"/>
      <c r="F346" s="828"/>
      <c r="G346" s="809"/>
      <c r="H346" s="809"/>
      <c r="I346" s="809"/>
      <c r="J346" s="809"/>
      <c r="K346" s="809"/>
      <c r="L346" s="809"/>
      <c r="M346" s="809"/>
      <c r="N346" s="828"/>
      <c r="O346" s="828"/>
      <c r="P346" s="828"/>
      <c r="Q346" s="828"/>
      <c r="Z346" s="818"/>
      <c r="AE346" s="750"/>
      <c r="AF346" s="751"/>
      <c r="AG346" s="751"/>
      <c r="AH346" s="751"/>
      <c r="AI346" s="751"/>
      <c r="AJ346" s="751"/>
      <c r="AK346" s="751"/>
      <c r="AL346" s="751"/>
      <c r="AM346" s="751"/>
      <c r="AN346" s="751"/>
      <c r="AO346" s="751"/>
      <c r="AP346" s="751"/>
      <c r="AQ346" s="751"/>
      <c r="AR346" s="751"/>
      <c r="AS346" s="751"/>
      <c r="AT346" s="751"/>
      <c r="AU346" s="751"/>
      <c r="AV346" s="751"/>
      <c r="AW346" s="751"/>
      <c r="AX346" s="752"/>
      <c r="AY346" s="753"/>
      <c r="AZ346" s="770"/>
    </row>
    <row r="347" spans="1:52" s="770" customFormat="1" ht="12" customHeight="1">
      <c r="A347" s="753"/>
      <c r="B347" s="810"/>
      <c r="C347" s="797"/>
      <c r="D347" s="922" t="s">
        <v>4043</v>
      </c>
      <c r="E347" s="809"/>
      <c r="F347" s="753"/>
      <c r="G347" s="753"/>
      <c r="H347" s="753"/>
      <c r="I347" s="753"/>
      <c r="J347" s="753"/>
      <c r="K347" s="753"/>
      <c r="L347" s="753"/>
      <c r="M347" s="753"/>
      <c r="N347" s="753"/>
      <c r="O347" s="753"/>
      <c r="P347" s="753"/>
      <c r="Q347" s="753"/>
      <c r="R347" s="753"/>
      <c r="S347" s="753"/>
      <c r="T347" s="753"/>
      <c r="U347" s="753"/>
      <c r="V347" s="753"/>
      <c r="W347" s="753"/>
      <c r="X347" s="753"/>
      <c r="Y347" s="753"/>
      <c r="Z347" s="753"/>
      <c r="AA347" s="753"/>
      <c r="AB347" s="753"/>
      <c r="AC347" s="753"/>
      <c r="AD347" s="753"/>
      <c r="AE347" s="750"/>
      <c r="AF347" s="751"/>
      <c r="AG347" s="751"/>
      <c r="AH347" s="751"/>
      <c r="AI347" s="751"/>
      <c r="AJ347" s="751"/>
      <c r="AK347" s="751"/>
      <c r="AL347" s="751"/>
      <c r="AM347" s="751"/>
      <c r="AN347" s="751"/>
      <c r="AO347" s="751"/>
      <c r="AP347" s="751"/>
      <c r="AQ347" s="751"/>
      <c r="AR347" s="751"/>
      <c r="AS347" s="751"/>
      <c r="AT347" s="751"/>
      <c r="AU347" s="751"/>
      <c r="AV347" s="751"/>
      <c r="AW347" s="751"/>
      <c r="AX347" s="752"/>
      <c r="AY347" s="753"/>
    </row>
    <row r="348" spans="1:52" s="770" customFormat="1" ht="12" customHeight="1">
      <c r="A348" s="753"/>
      <c r="B348" s="810"/>
      <c r="C348" s="797"/>
      <c r="D348" s="753"/>
      <c r="E348" s="809"/>
      <c r="F348" s="753"/>
      <c r="G348" s="817"/>
      <c r="H348" s="817"/>
      <c r="I348" s="817"/>
      <c r="J348" s="817"/>
      <c r="K348" s="817"/>
      <c r="L348" s="817"/>
      <c r="M348" s="817"/>
      <c r="N348" s="817"/>
      <c r="O348" s="753"/>
      <c r="P348" s="753"/>
      <c r="Q348" s="753"/>
      <c r="R348" s="753"/>
      <c r="S348" s="753"/>
      <c r="T348" s="753"/>
      <c r="U348" s="753"/>
      <c r="V348" s="753"/>
      <c r="W348" s="753"/>
      <c r="X348" s="753"/>
      <c r="Y348" s="753"/>
      <c r="Z348" s="753"/>
      <c r="AA348" s="753"/>
      <c r="AB348" s="753"/>
      <c r="AC348" s="753"/>
      <c r="AD348" s="753"/>
      <c r="AE348" s="750"/>
      <c r="AF348" s="751"/>
      <c r="AG348" s="751"/>
      <c r="AH348" s="751"/>
      <c r="AI348" s="751"/>
      <c r="AJ348" s="751"/>
      <c r="AK348" s="751"/>
      <c r="AL348" s="751"/>
      <c r="AM348" s="751"/>
      <c r="AN348" s="751"/>
      <c r="AO348" s="751"/>
      <c r="AP348" s="751"/>
      <c r="AQ348" s="751"/>
      <c r="AR348" s="751"/>
      <c r="AS348" s="751"/>
      <c r="AT348" s="751"/>
      <c r="AU348" s="751"/>
      <c r="AV348" s="751"/>
      <c r="AW348" s="751"/>
      <c r="AX348" s="752"/>
      <c r="AY348" s="753"/>
    </row>
    <row r="349" spans="1:52" s="770" customFormat="1" ht="12" customHeight="1">
      <c r="A349" s="753"/>
      <c r="B349" s="810"/>
      <c r="C349" s="835"/>
      <c r="D349" s="753"/>
      <c r="E349" s="852"/>
      <c r="G349" s="853">
        <v>1</v>
      </c>
      <c r="H349" s="853">
        <v>2</v>
      </c>
      <c r="I349" s="853">
        <v>3</v>
      </c>
      <c r="J349" s="853">
        <v>4</v>
      </c>
      <c r="K349" s="853">
        <v>5</v>
      </c>
      <c r="L349" s="817"/>
      <c r="M349" s="817"/>
      <c r="N349" s="817"/>
      <c r="O349" s="825"/>
      <c r="P349" s="825"/>
      <c r="Q349" s="825"/>
      <c r="R349" s="825"/>
      <c r="S349" s="825"/>
      <c r="T349" s="825"/>
      <c r="U349" s="825"/>
      <c r="V349" s="825"/>
      <c r="W349" s="825"/>
      <c r="X349" s="825"/>
      <c r="Y349" s="825"/>
      <c r="Z349" s="825"/>
      <c r="AA349" s="825"/>
      <c r="AB349" s="825"/>
      <c r="AC349" s="825"/>
      <c r="AD349" s="799"/>
      <c r="AE349" s="750"/>
      <c r="AF349" s="751"/>
      <c r="AG349" s="751"/>
      <c r="AH349" s="751"/>
      <c r="AI349" s="751"/>
      <c r="AJ349" s="751"/>
      <c r="AK349" s="751"/>
      <c r="AL349" s="751"/>
      <c r="AM349" s="751"/>
      <c r="AN349" s="751"/>
      <c r="AO349" s="751"/>
      <c r="AP349" s="751"/>
      <c r="AQ349" s="751"/>
      <c r="AR349" s="752"/>
      <c r="AS349" s="752"/>
      <c r="AT349" s="752"/>
      <c r="AU349" s="752"/>
      <c r="AV349" s="752"/>
      <c r="AW349" s="752"/>
      <c r="AX349" s="752"/>
      <c r="AY349" s="753"/>
    </row>
    <row r="350" spans="1:52" s="770" customFormat="1" ht="78" customHeight="1">
      <c r="A350" s="753"/>
      <c r="B350" s="810"/>
      <c r="C350" s="811"/>
      <c r="D350" s="811"/>
      <c r="E350" s="852"/>
      <c r="G350" s="855" t="s">
        <v>4030</v>
      </c>
      <c r="H350" s="855" t="s">
        <v>4031</v>
      </c>
      <c r="I350" s="855" t="s">
        <v>4032</v>
      </c>
      <c r="J350" s="855" t="s">
        <v>4033</v>
      </c>
      <c r="K350" s="855" t="s">
        <v>4034</v>
      </c>
      <c r="L350" s="927"/>
      <c r="M350" s="927"/>
      <c r="N350" s="927"/>
      <c r="O350" s="825"/>
      <c r="P350" s="825"/>
      <c r="Q350" s="825"/>
      <c r="R350" s="825"/>
      <c r="S350" s="825"/>
      <c r="T350" s="825"/>
      <c r="U350" s="825"/>
      <c r="V350" s="825"/>
      <c r="W350" s="825"/>
      <c r="X350" s="825"/>
      <c r="Y350" s="825"/>
      <c r="Z350" s="825"/>
      <c r="AA350" s="825"/>
      <c r="AB350" s="825"/>
      <c r="AC350" s="825"/>
      <c r="AD350" s="799"/>
      <c r="AE350" s="750"/>
      <c r="AF350" s="751"/>
      <c r="AG350" s="856"/>
      <c r="AH350" s="856"/>
      <c r="AI350" s="751"/>
      <c r="AJ350" s="751"/>
      <c r="AK350" s="751"/>
      <c r="AL350" s="751"/>
      <c r="AM350" s="751"/>
      <c r="AN350" s="751"/>
      <c r="AO350" s="751"/>
      <c r="AP350" s="751"/>
      <c r="AQ350" s="751"/>
      <c r="AR350" s="752"/>
      <c r="AS350" s="752"/>
      <c r="AT350" s="752"/>
      <c r="AU350" s="752"/>
      <c r="AV350" s="752"/>
      <c r="AW350" s="752"/>
      <c r="AX350" s="752"/>
      <c r="AY350" s="753"/>
    </row>
    <row r="351" spans="1:52" s="770" customFormat="1" ht="19.5" customHeight="1">
      <c r="A351" s="753"/>
      <c r="B351" s="810"/>
      <c r="C351" s="859"/>
      <c r="D351" s="749"/>
      <c r="E351" s="825"/>
      <c r="F351" s="928" t="s">
        <v>4035</v>
      </c>
      <c r="G351" s="759" t="s">
        <v>4036</v>
      </c>
      <c r="H351" s="759"/>
      <c r="I351" s="759"/>
      <c r="J351" s="759"/>
      <c r="K351" s="759" t="s">
        <v>4037</v>
      </c>
      <c r="L351" s="929" t="s">
        <v>4038</v>
      </c>
      <c r="M351" s="825"/>
      <c r="N351" s="825"/>
      <c r="O351" s="825"/>
      <c r="P351" s="825"/>
      <c r="Q351" s="825"/>
      <c r="R351" s="825"/>
      <c r="S351" s="825"/>
      <c r="T351" s="825"/>
      <c r="U351" s="825"/>
      <c r="V351" s="825"/>
      <c r="W351" s="825"/>
      <c r="X351" s="825"/>
      <c r="Y351" s="825"/>
      <c r="Z351" s="825"/>
      <c r="AA351" s="825"/>
      <c r="AB351" s="825"/>
      <c r="AC351" s="825"/>
      <c r="AD351" s="799"/>
      <c r="AE351" s="750"/>
      <c r="AF351" s="751"/>
      <c r="AG351" s="751"/>
      <c r="AH351" s="751"/>
      <c r="AI351" s="751"/>
      <c r="AJ351" s="751"/>
      <c r="AK351" s="751"/>
      <c r="AL351" s="751"/>
      <c r="AM351" s="751"/>
      <c r="AN351" s="751"/>
      <c r="AO351" s="751"/>
      <c r="AP351" s="751"/>
      <c r="AQ351" s="751"/>
      <c r="AR351" s="752"/>
      <c r="AS351" s="752"/>
      <c r="AT351" s="752"/>
      <c r="AU351" s="752"/>
      <c r="AV351" s="752"/>
      <c r="AW351" s="752"/>
      <c r="AX351" s="752"/>
      <c r="AY351" s="753"/>
    </row>
    <row r="352" spans="1:52" s="770" customFormat="1" ht="33.9" customHeight="1">
      <c r="A352" s="753"/>
      <c r="B352" s="810"/>
      <c r="C352" s="859" t="s">
        <v>4044</v>
      </c>
      <c r="D352" s="749"/>
      <c r="E352" s="860">
        <v>1</v>
      </c>
      <c r="F352" s="930" t="s">
        <v>4045</v>
      </c>
      <c r="G352" s="759" t="s">
        <v>3809</v>
      </c>
      <c r="H352" s="759" t="s">
        <v>3809</v>
      </c>
      <c r="I352" s="759" t="s">
        <v>3809</v>
      </c>
      <c r="J352" s="759" t="s">
        <v>3809</v>
      </c>
      <c r="K352" s="759" t="s">
        <v>3809</v>
      </c>
      <c r="L352" s="950" t="s">
        <v>4046</v>
      </c>
      <c r="M352" s="950"/>
      <c r="N352" s="950"/>
      <c r="O352" s="950"/>
      <c r="P352" s="950"/>
      <c r="Q352" s="950"/>
      <c r="R352" s="950"/>
      <c r="S352" s="950"/>
      <c r="T352" s="950"/>
      <c r="U352" s="825"/>
      <c r="V352" s="825"/>
      <c r="W352" s="825"/>
      <c r="X352" s="825"/>
      <c r="Y352" s="825"/>
      <c r="Z352" s="825"/>
      <c r="AA352" s="825"/>
      <c r="AB352" s="825"/>
      <c r="AC352" s="825"/>
      <c r="AD352" s="799"/>
      <c r="AE352" s="750"/>
      <c r="AF352" s="751"/>
      <c r="AG352" s="751"/>
      <c r="AH352" s="751"/>
      <c r="AI352" s="751"/>
      <c r="AJ352" s="751"/>
      <c r="AK352" s="751"/>
      <c r="AL352" s="751"/>
      <c r="AM352" s="751"/>
      <c r="AN352" s="751"/>
      <c r="AO352" s="751"/>
      <c r="AP352" s="751"/>
      <c r="AQ352" s="751"/>
      <c r="AR352" s="752"/>
      <c r="AS352" s="752"/>
      <c r="AT352" s="752"/>
      <c r="AU352" s="752"/>
      <c r="AV352" s="752"/>
      <c r="AW352" s="752"/>
      <c r="AX352" s="752"/>
      <c r="AY352" s="753"/>
    </row>
    <row r="353" spans="1:52" s="770" customFormat="1" ht="33.9" customHeight="1">
      <c r="A353" s="753"/>
      <c r="B353" s="810"/>
      <c r="C353" s="811"/>
      <c r="D353" s="749"/>
      <c r="E353" s="860">
        <v>2</v>
      </c>
      <c r="F353" s="930" t="s">
        <v>4047</v>
      </c>
      <c r="G353" s="759" t="s">
        <v>3809</v>
      </c>
      <c r="H353" s="759" t="s">
        <v>3809</v>
      </c>
      <c r="I353" s="759" t="s">
        <v>3809</v>
      </c>
      <c r="J353" s="759" t="s">
        <v>3809</v>
      </c>
      <c r="K353" s="759" t="s">
        <v>3809</v>
      </c>
      <c r="L353" s="955" t="s">
        <v>4048</v>
      </c>
      <c r="M353" s="955"/>
      <c r="N353" s="955"/>
      <c r="O353" s="955"/>
      <c r="P353" s="955"/>
      <c r="Q353" s="955"/>
      <c r="R353" s="955"/>
      <c r="S353" s="955"/>
      <c r="T353" s="955"/>
      <c r="U353" s="825"/>
      <c r="V353" s="825"/>
      <c r="W353" s="825"/>
      <c r="X353" s="825"/>
      <c r="Y353" s="825"/>
      <c r="Z353" s="825"/>
      <c r="AA353" s="825"/>
      <c r="AB353" s="825"/>
      <c r="AC353" s="825"/>
      <c r="AD353" s="799"/>
      <c r="AE353" s="750"/>
      <c r="AF353" s="751"/>
      <c r="AG353" s="751"/>
      <c r="AH353" s="751"/>
      <c r="AI353" s="751"/>
      <c r="AJ353" s="751"/>
      <c r="AK353" s="751"/>
      <c r="AL353" s="751"/>
      <c r="AM353" s="751"/>
      <c r="AN353" s="751"/>
      <c r="AO353" s="751"/>
      <c r="AP353" s="751"/>
      <c r="AQ353" s="751"/>
      <c r="AR353" s="752"/>
      <c r="AS353" s="752"/>
      <c r="AT353" s="752"/>
      <c r="AU353" s="752"/>
      <c r="AV353" s="752"/>
      <c r="AW353" s="752"/>
      <c r="AX353" s="752"/>
      <c r="AY353" s="753"/>
    </row>
    <row r="354" spans="1:52" s="770" customFormat="1" ht="33.9" customHeight="1">
      <c r="A354" s="753"/>
      <c r="B354" s="810"/>
      <c r="C354" s="811"/>
      <c r="D354" s="749"/>
      <c r="E354" s="860">
        <v>3</v>
      </c>
      <c r="F354" s="930" t="s">
        <v>4049</v>
      </c>
      <c r="G354" s="759" t="s">
        <v>3809</v>
      </c>
      <c r="H354" s="759" t="s">
        <v>3809</v>
      </c>
      <c r="I354" s="759" t="s">
        <v>3809</v>
      </c>
      <c r="J354" s="759" t="s">
        <v>3809</v>
      </c>
      <c r="K354" s="759" t="s">
        <v>3809</v>
      </c>
      <c r="L354" s="950" t="s">
        <v>4050</v>
      </c>
      <c r="M354" s="950"/>
      <c r="N354" s="950"/>
      <c r="O354" s="950"/>
      <c r="P354" s="950"/>
      <c r="Q354" s="950"/>
      <c r="R354" s="950"/>
      <c r="S354" s="950"/>
      <c r="T354" s="950"/>
      <c r="U354" s="825"/>
      <c r="V354" s="825"/>
      <c r="W354" s="825"/>
      <c r="X354" s="825"/>
      <c r="Y354" s="825"/>
      <c r="Z354" s="825"/>
      <c r="AA354" s="825"/>
      <c r="AB354" s="825"/>
      <c r="AC354" s="825"/>
      <c r="AD354" s="799"/>
      <c r="AE354" s="750"/>
      <c r="AF354" s="751"/>
      <c r="AG354" s="751"/>
      <c r="AH354" s="751"/>
      <c r="AI354" s="751"/>
      <c r="AJ354" s="751"/>
      <c r="AK354" s="751"/>
      <c r="AL354" s="751"/>
      <c r="AM354" s="751"/>
      <c r="AN354" s="751"/>
      <c r="AO354" s="751"/>
      <c r="AP354" s="751"/>
      <c r="AQ354" s="751"/>
      <c r="AR354" s="752"/>
      <c r="AS354" s="752"/>
      <c r="AT354" s="752"/>
      <c r="AU354" s="752"/>
      <c r="AV354" s="752"/>
      <c r="AW354" s="752"/>
      <c r="AX354" s="752"/>
      <c r="AY354" s="753"/>
    </row>
    <row r="355" spans="1:52" s="770" customFormat="1" ht="33.9" customHeight="1">
      <c r="A355" s="753"/>
      <c r="B355" s="810"/>
      <c r="C355" s="811"/>
      <c r="D355" s="749"/>
      <c r="E355" s="860">
        <v>4</v>
      </c>
      <c r="F355" s="930" t="s">
        <v>4051</v>
      </c>
      <c r="G355" s="759" t="s">
        <v>3809</v>
      </c>
      <c r="H355" s="759" t="s">
        <v>3809</v>
      </c>
      <c r="I355" s="759" t="s">
        <v>3809</v>
      </c>
      <c r="J355" s="759" t="s">
        <v>3809</v>
      </c>
      <c r="K355" s="759" t="s">
        <v>3809</v>
      </c>
      <c r="L355" s="950" t="s">
        <v>4052</v>
      </c>
      <c r="M355" s="950"/>
      <c r="N355" s="950"/>
      <c r="O355" s="950"/>
      <c r="P355" s="950"/>
      <c r="Q355" s="950"/>
      <c r="R355" s="950"/>
      <c r="S355" s="950"/>
      <c r="T355" s="950"/>
      <c r="U355" s="825"/>
      <c r="V355" s="825"/>
      <c r="W355" s="825"/>
      <c r="X355" s="825"/>
      <c r="Y355" s="825"/>
      <c r="Z355" s="825"/>
      <c r="AA355" s="825"/>
      <c r="AB355" s="825"/>
      <c r="AC355" s="825"/>
      <c r="AD355" s="799"/>
      <c r="AE355" s="750"/>
      <c r="AF355" s="751"/>
      <c r="AG355" s="751"/>
      <c r="AH355" s="751"/>
      <c r="AI355" s="751"/>
      <c r="AJ355" s="751"/>
      <c r="AK355" s="751"/>
      <c r="AL355" s="751"/>
      <c r="AM355" s="751"/>
      <c r="AN355" s="751"/>
      <c r="AO355" s="751"/>
      <c r="AP355" s="751"/>
      <c r="AQ355" s="751"/>
      <c r="AR355" s="752"/>
      <c r="AS355" s="752"/>
      <c r="AT355" s="752"/>
      <c r="AU355" s="752"/>
      <c r="AV355" s="752"/>
      <c r="AW355" s="752"/>
      <c r="AX355" s="752"/>
      <c r="AY355" s="753"/>
    </row>
    <row r="356" spans="1:52" s="869" customFormat="1" ht="12.9" customHeight="1">
      <c r="B356" s="870"/>
      <c r="C356" s="748"/>
      <c r="D356" s="759"/>
      <c r="E356" s="923"/>
      <c r="F356" s="925"/>
      <c r="G356" s="925"/>
      <c r="H356" s="873"/>
      <c r="I356" s="817"/>
      <c r="J356" s="817"/>
      <c r="K356" s="817"/>
      <c r="L356" s="817"/>
      <c r="M356" s="817"/>
      <c r="N356" s="760"/>
      <c r="O356" s="872"/>
      <c r="P356" s="872"/>
      <c r="AE356" s="750"/>
      <c r="AF356" s="751"/>
      <c r="AG356" s="751"/>
      <c r="AH356" s="751"/>
      <c r="AI356" s="751"/>
      <c r="AJ356" s="751"/>
      <c r="AK356" s="751"/>
      <c r="AL356" s="751"/>
      <c r="AM356" s="751"/>
      <c r="AN356" s="751"/>
      <c r="AO356" s="751"/>
      <c r="AP356" s="751"/>
      <c r="AQ356" s="751"/>
      <c r="AR356" s="752"/>
      <c r="AS356" s="752"/>
      <c r="AT356" s="752"/>
      <c r="AU356" s="752"/>
      <c r="AV356" s="752"/>
      <c r="AW356" s="752"/>
      <c r="AX356" s="752"/>
      <c r="AY356" s="753"/>
      <c r="AZ356" s="770"/>
    </row>
    <row r="357" spans="1:52" s="770" customFormat="1" ht="12" customHeight="1">
      <c r="A357" s="753"/>
      <c r="B357" s="810"/>
      <c r="C357" s="811"/>
      <c r="D357" s="759"/>
      <c r="E357" s="849"/>
      <c r="F357" s="926"/>
      <c r="G357" s="926"/>
      <c r="H357" s="871"/>
      <c r="I357" s="817"/>
      <c r="J357" s="817"/>
      <c r="K357" s="817"/>
      <c r="L357" s="817"/>
      <c r="M357" s="817"/>
      <c r="N357" s="753"/>
      <c r="O357" s="753"/>
      <c r="P357" s="753"/>
      <c r="Q357" s="753"/>
      <c r="R357" s="753"/>
      <c r="S357" s="753"/>
      <c r="T357" s="753"/>
      <c r="U357" s="753"/>
      <c r="V357" s="753"/>
      <c r="W357" s="753"/>
      <c r="X357" s="753"/>
      <c r="Y357" s="753"/>
      <c r="Z357" s="753"/>
      <c r="AA357" s="753"/>
      <c r="AB357" s="753"/>
      <c r="AC357" s="753"/>
      <c r="AD357" s="799"/>
      <c r="AE357" s="750"/>
      <c r="AF357" s="751"/>
      <c r="AG357" s="751"/>
      <c r="AH357" s="751"/>
      <c r="AI357" s="751"/>
      <c r="AJ357" s="751"/>
      <c r="AK357" s="751"/>
      <c r="AL357" s="751"/>
      <c r="AM357" s="751"/>
      <c r="AN357" s="751"/>
      <c r="AO357" s="751"/>
      <c r="AP357" s="751"/>
      <c r="AQ357" s="751"/>
      <c r="AR357" s="752"/>
      <c r="AS357" s="752"/>
      <c r="AT357" s="752"/>
      <c r="AU357" s="752"/>
      <c r="AV357" s="752"/>
      <c r="AW357" s="752"/>
      <c r="AX357" s="752"/>
      <c r="AY357" s="753"/>
    </row>
    <row r="358" spans="1:52" s="753" customFormat="1" ht="12" customHeight="1">
      <c r="B358" s="810"/>
      <c r="C358" s="811"/>
      <c r="D358" s="759"/>
      <c r="E358" s="849"/>
      <c r="F358" s="931"/>
      <c r="G358" s="931"/>
      <c r="H358" s="871"/>
      <c r="I358" s="817"/>
      <c r="J358" s="817"/>
      <c r="K358" s="817"/>
      <c r="L358" s="817"/>
      <c r="M358" s="817"/>
      <c r="AD358" s="799"/>
      <c r="AE358" s="750"/>
      <c r="AF358" s="751"/>
      <c r="AG358" s="751"/>
      <c r="AH358" s="751"/>
      <c r="AI358" s="751"/>
      <c r="AJ358" s="751"/>
      <c r="AK358" s="751"/>
      <c r="AL358" s="751"/>
      <c r="AM358" s="751"/>
      <c r="AN358" s="751"/>
      <c r="AO358" s="751"/>
      <c r="AP358" s="751"/>
      <c r="AQ358" s="751"/>
      <c r="AR358" s="752"/>
      <c r="AS358" s="752"/>
      <c r="AT358" s="752"/>
      <c r="AU358" s="752"/>
      <c r="AV358" s="752"/>
      <c r="AW358" s="752"/>
      <c r="AX358" s="752"/>
      <c r="AZ358" s="770"/>
    </row>
    <row r="359" spans="1:52" s="753" customFormat="1" ht="12" customHeight="1">
      <c r="B359" s="810"/>
      <c r="C359" s="811"/>
      <c r="D359" s="759"/>
      <c r="E359" s="849"/>
      <c r="F359" s="931"/>
      <c r="G359" s="931"/>
      <c r="H359" s="871"/>
      <c r="I359" s="817"/>
      <c r="J359" s="817"/>
      <c r="K359" s="817"/>
      <c r="L359" s="817"/>
      <c r="M359" s="817"/>
      <c r="AD359" s="799"/>
      <c r="AE359" s="750"/>
      <c r="AF359" s="751"/>
      <c r="AG359" s="751"/>
      <c r="AH359" s="751"/>
      <c r="AI359" s="751"/>
      <c r="AJ359" s="751"/>
      <c r="AK359" s="751"/>
      <c r="AL359" s="751"/>
      <c r="AM359" s="751"/>
      <c r="AN359" s="751"/>
      <c r="AO359" s="751"/>
      <c r="AP359" s="751"/>
      <c r="AQ359" s="751"/>
      <c r="AR359" s="752"/>
      <c r="AS359" s="752"/>
      <c r="AT359" s="752"/>
      <c r="AU359" s="752"/>
      <c r="AV359" s="752"/>
      <c r="AW359" s="752"/>
      <c r="AX359" s="752"/>
      <c r="AZ359" s="770"/>
    </row>
    <row r="360" spans="1:52" s="770" customFormat="1" ht="12" customHeight="1">
      <c r="A360" s="753"/>
      <c r="B360" s="810"/>
      <c r="C360" s="797"/>
      <c r="D360" s="753"/>
      <c r="E360" s="809"/>
      <c r="F360" s="753"/>
      <c r="G360" s="817"/>
      <c r="H360" s="817"/>
      <c r="I360" s="817"/>
      <c r="J360" s="817"/>
      <c r="K360" s="817"/>
      <c r="L360" s="817"/>
      <c r="M360" s="817"/>
      <c r="N360" s="817"/>
      <c r="O360" s="753"/>
      <c r="P360" s="753"/>
      <c r="Q360" s="753"/>
      <c r="R360" s="753"/>
      <c r="S360" s="753"/>
      <c r="T360" s="753"/>
      <c r="U360" s="753"/>
      <c r="V360" s="753"/>
      <c r="W360" s="753"/>
      <c r="X360" s="753"/>
      <c r="Y360" s="753"/>
      <c r="Z360" s="753"/>
      <c r="AA360" s="753"/>
      <c r="AB360" s="753"/>
      <c r="AC360" s="753"/>
      <c r="AD360" s="753"/>
      <c r="AE360" s="750"/>
      <c r="AF360" s="751"/>
      <c r="AG360" s="751"/>
      <c r="AH360" s="751"/>
      <c r="AI360" s="751"/>
      <c r="AJ360" s="751"/>
      <c r="AK360" s="751"/>
      <c r="AL360" s="751"/>
      <c r="AM360" s="751"/>
      <c r="AN360" s="751"/>
      <c r="AO360" s="751"/>
      <c r="AP360" s="751"/>
      <c r="AQ360" s="751"/>
      <c r="AR360" s="751"/>
      <c r="AS360" s="751"/>
      <c r="AT360" s="751"/>
      <c r="AU360" s="751"/>
      <c r="AV360" s="751"/>
      <c r="AW360" s="751"/>
      <c r="AX360" s="752"/>
      <c r="AY360" s="753"/>
    </row>
    <row r="361" spans="1:52" s="770" customFormat="1" ht="12" customHeight="1">
      <c r="A361" s="753"/>
      <c r="B361" s="810"/>
      <c r="C361" s="797"/>
      <c r="D361" s="753"/>
      <c r="E361" s="809"/>
      <c r="F361" s="753"/>
      <c r="G361" s="817"/>
      <c r="H361" s="817"/>
      <c r="I361" s="817"/>
      <c r="J361" s="817"/>
      <c r="K361" s="817"/>
      <c r="L361" s="817"/>
      <c r="M361" s="817"/>
      <c r="N361" s="817"/>
      <c r="O361" s="753"/>
      <c r="P361" s="753"/>
      <c r="Q361" s="753"/>
      <c r="R361" s="753"/>
      <c r="S361" s="753"/>
      <c r="T361" s="753"/>
      <c r="U361" s="753"/>
      <c r="V361" s="753"/>
      <c r="W361" s="753"/>
      <c r="X361" s="753"/>
      <c r="Y361" s="753"/>
      <c r="Z361" s="753"/>
      <c r="AA361" s="753"/>
      <c r="AB361" s="753"/>
      <c r="AC361" s="753"/>
      <c r="AD361" s="753"/>
      <c r="AE361" s="750"/>
      <c r="AF361" s="751"/>
      <c r="AG361" s="751"/>
      <c r="AH361" s="751"/>
      <c r="AI361" s="751"/>
      <c r="AJ361" s="751"/>
      <c r="AK361" s="751"/>
      <c r="AL361" s="751"/>
      <c r="AM361" s="751"/>
      <c r="AN361" s="751"/>
      <c r="AO361" s="751"/>
      <c r="AP361" s="751"/>
      <c r="AQ361" s="751"/>
      <c r="AR361" s="751"/>
      <c r="AS361" s="751"/>
      <c r="AT361" s="751"/>
      <c r="AU361" s="751"/>
      <c r="AV361" s="751"/>
      <c r="AW361" s="751"/>
      <c r="AX361" s="752"/>
      <c r="AY361" s="753"/>
    </row>
    <row r="362" spans="1:52" s="770" customFormat="1" ht="12" customHeight="1">
      <c r="A362" s="748"/>
      <c r="B362" s="896" t="s">
        <v>4012</v>
      </c>
      <c r="C362" s="897"/>
      <c r="D362" s="897"/>
      <c r="E362" s="897"/>
      <c r="F362" s="897"/>
      <c r="G362" s="897"/>
      <c r="H362" s="897"/>
      <c r="I362" s="897"/>
      <c r="J362" s="897"/>
      <c r="K362" s="897"/>
      <c r="L362" s="897"/>
      <c r="M362" s="897"/>
      <c r="N362" s="897"/>
      <c r="O362" s="897"/>
      <c r="P362" s="897"/>
      <c r="Q362" s="897"/>
      <c r="R362" s="897"/>
      <c r="S362" s="897"/>
      <c r="T362" s="897"/>
      <c r="U362" s="897"/>
      <c r="V362" s="897"/>
      <c r="W362" s="897"/>
      <c r="X362" s="897"/>
      <c r="Y362" s="897"/>
      <c r="Z362" s="897"/>
      <c r="AA362" s="897"/>
      <c r="AB362" s="897"/>
      <c r="AC362" s="897"/>
      <c r="AD362" s="898"/>
      <c r="AE362" s="750"/>
      <c r="AF362" s="751"/>
      <c r="AG362" s="751"/>
      <c r="AH362" s="751"/>
      <c r="AI362" s="751"/>
      <c r="AJ362" s="751"/>
      <c r="AK362" s="751"/>
      <c r="AL362" s="751"/>
      <c r="AM362" s="751"/>
      <c r="AN362" s="751"/>
      <c r="AO362" s="751"/>
      <c r="AP362" s="751"/>
      <c r="AQ362" s="751"/>
      <c r="AR362" s="752"/>
      <c r="AS362" s="752"/>
      <c r="AT362" s="752"/>
      <c r="AU362" s="752"/>
      <c r="AV362" s="752"/>
      <c r="AW362" s="752"/>
      <c r="AX362" s="752"/>
      <c r="AY362" s="753"/>
    </row>
    <row r="363" spans="1:52" s="770" customFormat="1" ht="12" customHeight="1">
      <c r="A363" s="748"/>
      <c r="B363" s="793"/>
      <c r="C363" s="794"/>
      <c r="D363" s="794"/>
      <c r="E363" s="794"/>
      <c r="F363" s="794"/>
      <c r="G363" s="794"/>
      <c r="H363" s="794"/>
      <c r="I363" s="794"/>
      <c r="J363" s="794"/>
      <c r="K363" s="794"/>
      <c r="L363" s="794"/>
      <c r="M363" s="794"/>
      <c r="N363" s="794"/>
      <c r="O363" s="794"/>
      <c r="P363" s="794"/>
      <c r="Q363" s="794"/>
      <c r="R363" s="794"/>
      <c r="S363" s="794"/>
      <c r="T363" s="794"/>
      <c r="U363" s="794"/>
      <c r="V363" s="794"/>
      <c r="W363" s="794"/>
      <c r="X363" s="794"/>
      <c r="Y363" s="794"/>
      <c r="Z363" s="794"/>
      <c r="AA363" s="794"/>
      <c r="AB363" s="794"/>
      <c r="AC363" s="794"/>
      <c r="AD363" s="795"/>
      <c r="AE363" s="750"/>
      <c r="AF363" s="751"/>
      <c r="AG363" s="751"/>
      <c r="AH363" s="751"/>
      <c r="AI363" s="751"/>
      <c r="AJ363" s="751"/>
      <c r="AK363" s="751"/>
      <c r="AL363" s="751"/>
      <c r="AM363" s="751"/>
      <c r="AN363" s="751"/>
      <c r="AO363" s="751"/>
      <c r="AP363" s="751"/>
      <c r="AQ363" s="751"/>
      <c r="AR363" s="752"/>
      <c r="AS363" s="752"/>
      <c r="AT363" s="752"/>
      <c r="AU363" s="752"/>
      <c r="AV363" s="752"/>
      <c r="AW363" s="752"/>
      <c r="AX363" s="752"/>
      <c r="AY363" s="753"/>
    </row>
    <row r="364" spans="1:52" s="770" customFormat="1" ht="12" customHeight="1">
      <c r="A364" s="748"/>
      <c r="B364" s="793"/>
      <c r="C364" s="794"/>
      <c r="D364" s="794"/>
      <c r="E364" s="794"/>
      <c r="F364" s="794"/>
      <c r="G364" s="794"/>
      <c r="H364" s="794"/>
      <c r="I364" s="794"/>
      <c r="J364" s="794"/>
      <c r="K364" s="794"/>
      <c r="L364" s="794"/>
      <c r="M364" s="794"/>
      <c r="N364" s="794"/>
      <c r="O364" s="794"/>
      <c r="P364" s="794"/>
      <c r="Q364" s="794"/>
      <c r="R364" s="794"/>
      <c r="S364" s="794"/>
      <c r="T364" s="794"/>
      <c r="U364" s="794"/>
      <c r="V364" s="794"/>
      <c r="W364" s="794"/>
      <c r="X364" s="794"/>
      <c r="Y364" s="794"/>
      <c r="Z364" s="794"/>
      <c r="AA364" s="794"/>
      <c r="AB364" s="794"/>
      <c r="AC364" s="794"/>
      <c r="AD364" s="795"/>
      <c r="AE364" s="750"/>
      <c r="AF364" s="751"/>
      <c r="AG364" s="751"/>
      <c r="AH364" s="751"/>
      <c r="AI364" s="751"/>
      <c r="AJ364" s="751"/>
      <c r="AK364" s="751"/>
      <c r="AL364" s="751"/>
      <c r="AM364" s="751"/>
      <c r="AN364" s="751"/>
      <c r="AO364" s="751"/>
      <c r="AP364" s="751"/>
      <c r="AQ364" s="751"/>
      <c r="AR364" s="752"/>
      <c r="AS364" s="752"/>
      <c r="AT364" s="752"/>
      <c r="AU364" s="752"/>
      <c r="AV364" s="752"/>
      <c r="AW364" s="752"/>
      <c r="AX364" s="752"/>
      <c r="AY364" s="753"/>
    </row>
    <row r="365" spans="1:52" s="812" customFormat="1" ht="12.9" customHeight="1">
      <c r="B365" s="899" t="s">
        <v>4013</v>
      </c>
      <c r="C365" s="900"/>
      <c r="D365" s="901"/>
      <c r="E365" s="902"/>
      <c r="F365" s="901"/>
      <c r="G365" s="903"/>
      <c r="H365" s="903"/>
      <c r="I365" s="903"/>
      <c r="J365" s="903"/>
      <c r="K365" s="903"/>
      <c r="L365" s="903"/>
      <c r="M365" s="903"/>
      <c r="N365" s="903"/>
      <c r="O365" s="903"/>
      <c r="P365" s="903"/>
      <c r="Q365" s="903"/>
      <c r="R365" s="903"/>
      <c r="S365" s="903"/>
      <c r="T365" s="903"/>
      <c r="U365" s="903"/>
      <c r="V365" s="903"/>
      <c r="W365" s="903"/>
      <c r="X365" s="903"/>
      <c r="Y365" s="903"/>
      <c r="Z365" s="903"/>
      <c r="AA365" s="903"/>
      <c r="AB365" s="903"/>
      <c r="AC365" s="903"/>
      <c r="AD365" s="904"/>
      <c r="AE365" s="750"/>
      <c r="AF365" s="751"/>
      <c r="AG365" s="751"/>
      <c r="AH365" s="751"/>
      <c r="AI365" s="751"/>
      <c r="AJ365" s="751"/>
      <c r="AK365" s="751"/>
      <c r="AL365" s="751"/>
      <c r="AM365" s="751"/>
      <c r="AN365" s="751"/>
      <c r="AO365" s="751"/>
      <c r="AP365" s="751"/>
      <c r="AQ365" s="751"/>
      <c r="AR365" s="752"/>
      <c r="AS365" s="752"/>
      <c r="AT365" s="752"/>
      <c r="AU365" s="752"/>
      <c r="AV365" s="752"/>
      <c r="AW365" s="752"/>
      <c r="AX365" s="752"/>
      <c r="AY365" s="753"/>
      <c r="AZ365" s="770"/>
    </row>
    <row r="366" spans="1:52" s="753" customFormat="1" ht="12" customHeight="1">
      <c r="B366" s="810"/>
      <c r="C366" s="811"/>
      <c r="D366" s="749"/>
      <c r="E366" s="817"/>
      <c r="F366" s="817"/>
      <c r="G366" s="817"/>
      <c r="H366" s="817"/>
      <c r="I366" s="817"/>
      <c r="J366" s="817"/>
      <c r="K366" s="817"/>
      <c r="L366" s="817"/>
      <c r="M366" s="817"/>
      <c r="N366" s="817"/>
      <c r="O366" s="817"/>
      <c r="R366" s="799"/>
      <c r="S366" s="799"/>
      <c r="T366" s="799"/>
      <c r="U366" s="799"/>
      <c r="V366" s="799"/>
      <c r="W366" s="799"/>
      <c r="X366" s="799"/>
      <c r="Y366" s="799"/>
      <c r="Z366" s="799"/>
      <c r="AA366" s="799"/>
      <c r="AB366" s="799"/>
      <c r="AC366" s="799"/>
      <c r="AD366" s="799"/>
      <c r="AE366" s="750"/>
      <c r="AF366" s="751"/>
      <c r="AG366" s="751"/>
      <c r="AH366" s="751"/>
      <c r="AI366" s="751"/>
      <c r="AJ366" s="751"/>
      <c r="AK366" s="751"/>
      <c r="AL366" s="751"/>
      <c r="AM366" s="751"/>
      <c r="AN366" s="751"/>
      <c r="AO366" s="751"/>
      <c r="AP366" s="751"/>
      <c r="AQ366" s="751"/>
      <c r="AR366" s="752"/>
      <c r="AS366" s="752"/>
      <c r="AT366" s="752"/>
      <c r="AU366" s="752"/>
      <c r="AV366" s="752"/>
      <c r="AW366" s="752"/>
      <c r="AX366" s="752"/>
    </row>
    <row r="367" spans="1:52" s="753" customFormat="1" ht="12" customHeight="1">
      <c r="B367" s="810"/>
      <c r="C367" s="811"/>
      <c r="D367" s="749"/>
      <c r="E367" s="817"/>
      <c r="F367" s="817"/>
      <c r="G367" s="817"/>
      <c r="H367" s="817"/>
      <c r="I367" s="817"/>
      <c r="J367" s="817"/>
      <c r="K367" s="817"/>
      <c r="L367" s="817"/>
      <c r="M367" s="817"/>
      <c r="N367" s="817"/>
      <c r="O367" s="817"/>
      <c r="R367" s="799"/>
      <c r="S367" s="799"/>
      <c r="T367" s="799"/>
      <c r="U367" s="799"/>
      <c r="V367" s="799"/>
      <c r="W367" s="799"/>
      <c r="X367" s="799"/>
      <c r="Y367" s="799"/>
      <c r="Z367" s="799"/>
      <c r="AA367" s="799"/>
      <c r="AB367" s="799"/>
      <c r="AC367" s="799"/>
      <c r="AD367" s="799"/>
      <c r="AE367" s="750"/>
      <c r="AF367" s="751"/>
      <c r="AG367" s="751"/>
      <c r="AH367" s="751"/>
      <c r="AI367" s="751"/>
      <c r="AJ367" s="751"/>
      <c r="AK367" s="751"/>
      <c r="AL367" s="751"/>
      <c r="AM367" s="751"/>
      <c r="AN367" s="751"/>
      <c r="AO367" s="751"/>
      <c r="AP367" s="751"/>
      <c r="AQ367" s="751"/>
      <c r="AR367" s="752"/>
      <c r="AS367" s="752"/>
      <c r="AT367" s="752"/>
      <c r="AU367" s="752"/>
      <c r="AV367" s="752"/>
      <c r="AW367" s="752"/>
      <c r="AX367" s="752"/>
    </row>
    <row r="368" spans="1:52" s="753" customFormat="1" ht="12" customHeight="1">
      <c r="B368" s="905"/>
      <c r="C368" s="906"/>
      <c r="D368" s="907"/>
      <c r="E368" s="908"/>
      <c r="F368" s="908"/>
      <c r="G368" s="908"/>
      <c r="H368" s="908"/>
      <c r="I368" s="908"/>
      <c r="J368" s="908"/>
      <c r="K368" s="908"/>
      <c r="L368" s="908"/>
      <c r="M368" s="908"/>
      <c r="N368" s="908"/>
      <c r="O368" s="908"/>
      <c r="P368" s="909"/>
      <c r="Q368" s="909"/>
      <c r="R368" s="910"/>
      <c r="S368" s="910"/>
      <c r="T368" s="910"/>
      <c r="U368" s="910"/>
      <c r="V368" s="910"/>
      <c r="W368" s="910"/>
      <c r="X368" s="910"/>
      <c r="Y368" s="910"/>
      <c r="Z368" s="910"/>
      <c r="AA368" s="910"/>
      <c r="AB368" s="910"/>
      <c r="AC368" s="910"/>
      <c r="AD368" s="911"/>
      <c r="AE368" s="750"/>
      <c r="AF368" s="751"/>
      <c r="AG368" s="751"/>
      <c r="AH368" s="751"/>
      <c r="AI368" s="751"/>
      <c r="AJ368" s="751"/>
      <c r="AK368" s="751"/>
      <c r="AL368" s="751"/>
      <c r="AM368" s="751"/>
      <c r="AN368" s="751"/>
      <c r="AO368" s="751"/>
      <c r="AP368" s="751"/>
      <c r="AQ368" s="751"/>
      <c r="AR368" s="752"/>
      <c r="AS368" s="752"/>
      <c r="AT368" s="752"/>
      <c r="AU368" s="752"/>
      <c r="AV368" s="752"/>
      <c r="AW368" s="752"/>
      <c r="AX368" s="752"/>
    </row>
    <row r="369" spans="2:52" s="753" customFormat="1" ht="17.399999999999999">
      <c r="B369" s="810"/>
      <c r="C369" s="811"/>
      <c r="D369" s="749"/>
      <c r="E369" s="912"/>
      <c r="F369" s="913"/>
      <c r="G369" s="817"/>
      <c r="H369" s="817"/>
      <c r="I369" s="817"/>
      <c r="J369" s="817"/>
      <c r="K369" s="817"/>
      <c r="L369" s="817"/>
      <c r="M369" s="817"/>
      <c r="N369" s="817"/>
      <c r="O369" s="817"/>
      <c r="R369" s="799"/>
      <c r="S369" s="799"/>
      <c r="T369" s="799"/>
      <c r="U369" s="799"/>
      <c r="V369" s="799"/>
      <c r="W369" s="799"/>
      <c r="X369" s="799"/>
      <c r="Y369" s="799"/>
      <c r="Z369" s="799"/>
      <c r="AA369" s="799"/>
      <c r="AB369" s="799"/>
      <c r="AC369" s="799"/>
      <c r="AD369" s="914"/>
      <c r="AE369" s="750"/>
      <c r="AF369" s="751"/>
      <c r="AG369" s="751"/>
      <c r="AH369" s="751"/>
      <c r="AI369" s="751"/>
      <c r="AJ369" s="751"/>
      <c r="AK369" s="751"/>
      <c r="AL369" s="751"/>
      <c r="AM369" s="751"/>
      <c r="AN369" s="751"/>
      <c r="AO369" s="751"/>
      <c r="AP369" s="751"/>
      <c r="AQ369" s="751"/>
      <c r="AR369" s="752"/>
      <c r="AS369" s="752"/>
      <c r="AT369" s="752"/>
      <c r="AU369" s="752"/>
      <c r="AV369" s="752"/>
      <c r="AW369" s="752"/>
      <c r="AX369" s="752"/>
    </row>
    <row r="370" spans="2:52" s="753" customFormat="1" ht="17.399999999999999">
      <c r="B370" s="810"/>
      <c r="C370" s="811"/>
      <c r="D370" s="749"/>
      <c r="E370" s="912"/>
      <c r="F370" s="913" t="s">
        <v>4053</v>
      </c>
      <c r="G370" s="817"/>
      <c r="H370" s="817"/>
      <c r="I370" s="817"/>
      <c r="J370" s="817"/>
      <c r="K370" s="817"/>
      <c r="L370" s="817"/>
      <c r="M370" s="817"/>
      <c r="N370" s="817"/>
      <c r="O370" s="817"/>
      <c r="R370" s="799"/>
      <c r="S370" s="799"/>
      <c r="T370" s="799"/>
      <c r="U370" s="799"/>
      <c r="V370" s="799"/>
      <c r="W370" s="799"/>
      <c r="X370" s="799"/>
      <c r="Y370" s="799"/>
      <c r="Z370" s="799"/>
      <c r="AA370" s="799"/>
      <c r="AB370" s="799"/>
      <c r="AC370" s="799"/>
      <c r="AD370" s="914"/>
      <c r="AE370" s="750"/>
      <c r="AF370" s="751"/>
      <c r="AG370" s="751"/>
      <c r="AH370" s="751"/>
      <c r="AI370" s="751"/>
      <c r="AJ370" s="751"/>
      <c r="AK370" s="751"/>
      <c r="AL370" s="751"/>
      <c r="AM370" s="751"/>
      <c r="AN370" s="751"/>
      <c r="AO370" s="751"/>
      <c r="AP370" s="751"/>
      <c r="AQ370" s="751"/>
      <c r="AR370" s="752"/>
      <c r="AS370" s="752"/>
      <c r="AT370" s="752"/>
      <c r="AU370" s="752"/>
      <c r="AV370" s="752"/>
      <c r="AW370" s="752"/>
      <c r="AX370" s="752"/>
    </row>
    <row r="371" spans="2:52" s="753" customFormat="1" ht="17.399999999999999">
      <c r="B371" s="810"/>
      <c r="C371" s="811"/>
      <c r="D371" s="749"/>
      <c r="E371" s="912"/>
      <c r="F371" s="913"/>
      <c r="G371" s="817"/>
      <c r="H371" s="817"/>
      <c r="I371" s="817"/>
      <c r="J371" s="817"/>
      <c r="K371" s="817"/>
      <c r="L371" s="817"/>
      <c r="M371" s="817"/>
      <c r="N371" s="817"/>
      <c r="O371" s="817"/>
      <c r="R371" s="799"/>
      <c r="S371" s="799"/>
      <c r="T371" s="799"/>
      <c r="U371" s="799"/>
      <c r="V371" s="799"/>
      <c r="W371" s="799"/>
      <c r="X371" s="799"/>
      <c r="Y371" s="799"/>
      <c r="Z371" s="799"/>
      <c r="AA371" s="799"/>
      <c r="AB371" s="799"/>
      <c r="AC371" s="799"/>
      <c r="AD371" s="914"/>
      <c r="AE371" s="750"/>
      <c r="AF371" s="751"/>
      <c r="AG371" s="751"/>
      <c r="AH371" s="751"/>
      <c r="AI371" s="751"/>
      <c r="AJ371" s="751"/>
      <c r="AK371" s="751"/>
      <c r="AL371" s="751"/>
      <c r="AM371" s="751"/>
      <c r="AN371" s="751"/>
      <c r="AO371" s="751"/>
      <c r="AP371" s="751"/>
      <c r="AQ371" s="751"/>
      <c r="AR371" s="752"/>
      <c r="AS371" s="752"/>
      <c r="AT371" s="752"/>
      <c r="AU371" s="752"/>
      <c r="AV371" s="752"/>
      <c r="AW371" s="752"/>
      <c r="AX371" s="752"/>
    </row>
    <row r="372" spans="2:52" s="753" customFormat="1" ht="12" customHeight="1">
      <c r="B372" s="915"/>
      <c r="C372" s="916"/>
      <c r="D372" s="917"/>
      <c r="E372" s="918"/>
      <c r="F372" s="918"/>
      <c r="G372" s="918"/>
      <c r="H372" s="918"/>
      <c r="I372" s="918"/>
      <c r="J372" s="918"/>
      <c r="K372" s="918"/>
      <c r="L372" s="918"/>
      <c r="M372" s="918"/>
      <c r="N372" s="918"/>
      <c r="O372" s="918"/>
      <c r="P372" s="919"/>
      <c r="Q372" s="919"/>
      <c r="R372" s="920"/>
      <c r="S372" s="920"/>
      <c r="T372" s="920"/>
      <c r="U372" s="920"/>
      <c r="V372" s="920"/>
      <c r="W372" s="920"/>
      <c r="X372" s="920"/>
      <c r="Y372" s="920"/>
      <c r="Z372" s="920"/>
      <c r="AA372" s="920"/>
      <c r="AB372" s="920"/>
      <c r="AC372" s="920"/>
      <c r="AD372" s="921"/>
      <c r="AE372" s="750"/>
      <c r="AF372" s="751"/>
      <c r="AG372" s="751"/>
      <c r="AH372" s="751"/>
      <c r="AI372" s="751"/>
      <c r="AJ372" s="751"/>
      <c r="AK372" s="751"/>
      <c r="AL372" s="751"/>
      <c r="AM372" s="751"/>
      <c r="AN372" s="751"/>
      <c r="AO372" s="751"/>
      <c r="AP372" s="751"/>
      <c r="AQ372" s="751"/>
      <c r="AR372" s="752"/>
      <c r="AS372" s="752"/>
      <c r="AT372" s="752"/>
      <c r="AU372" s="752"/>
      <c r="AV372" s="752"/>
      <c r="AW372" s="752"/>
      <c r="AX372" s="752"/>
    </row>
    <row r="373" spans="2:52" s="753" customFormat="1" ht="12" customHeight="1">
      <c r="B373" s="810"/>
      <c r="C373" s="797"/>
      <c r="E373" s="809"/>
      <c r="G373" s="817"/>
      <c r="H373" s="817"/>
      <c r="I373" s="817"/>
      <c r="J373" s="817"/>
      <c r="K373" s="817"/>
      <c r="L373" s="817"/>
      <c r="M373" s="817"/>
      <c r="N373" s="817"/>
      <c r="AE373" s="750"/>
      <c r="AF373" s="751"/>
      <c r="AG373" s="751"/>
      <c r="AH373" s="751"/>
      <c r="AI373" s="751"/>
      <c r="AJ373" s="751"/>
      <c r="AK373" s="751"/>
      <c r="AL373" s="751"/>
      <c r="AM373" s="751"/>
      <c r="AN373" s="751"/>
      <c r="AO373" s="751"/>
      <c r="AP373" s="751"/>
      <c r="AQ373" s="751"/>
      <c r="AR373" s="751"/>
      <c r="AS373" s="751"/>
      <c r="AT373" s="751"/>
      <c r="AU373" s="751"/>
      <c r="AV373" s="751"/>
      <c r="AW373" s="751"/>
      <c r="AX373" s="752"/>
    </row>
    <row r="374" spans="2:52" s="753" customFormat="1" ht="12" customHeight="1">
      <c r="B374" s="810"/>
      <c r="C374" s="797"/>
      <c r="E374" s="809"/>
      <c r="G374" s="817"/>
      <c r="H374" s="817"/>
      <c r="I374" s="817"/>
      <c r="J374" s="817"/>
      <c r="K374" s="817"/>
      <c r="L374" s="817"/>
      <c r="M374" s="817"/>
      <c r="N374" s="817"/>
      <c r="AE374" s="750"/>
      <c r="AF374" s="751"/>
      <c r="AG374" s="751"/>
      <c r="AH374" s="751"/>
      <c r="AI374" s="751"/>
      <c r="AJ374" s="751"/>
      <c r="AK374" s="751"/>
      <c r="AL374" s="751"/>
      <c r="AM374" s="751"/>
      <c r="AN374" s="751"/>
      <c r="AO374" s="751"/>
      <c r="AP374" s="751"/>
      <c r="AQ374" s="751"/>
      <c r="AR374" s="751"/>
      <c r="AS374" s="751"/>
      <c r="AT374" s="751"/>
      <c r="AU374" s="751"/>
      <c r="AV374" s="751"/>
      <c r="AW374" s="751"/>
      <c r="AX374" s="752"/>
    </row>
    <row r="375" spans="2:52" s="812" customFormat="1" ht="12.9" customHeight="1">
      <c r="B375" s="899" t="s">
        <v>4054</v>
      </c>
      <c r="C375" s="900"/>
      <c r="D375" s="901"/>
      <c r="E375" s="902"/>
      <c r="F375" s="901"/>
      <c r="G375" s="903"/>
      <c r="H375" s="903"/>
      <c r="I375" s="903"/>
      <c r="J375" s="903"/>
      <c r="K375" s="903"/>
      <c r="L375" s="903"/>
      <c r="M375" s="903"/>
      <c r="N375" s="903"/>
      <c r="O375" s="903"/>
      <c r="P375" s="903"/>
      <c r="Q375" s="903"/>
      <c r="R375" s="903"/>
      <c r="S375" s="903"/>
      <c r="T375" s="903"/>
      <c r="U375" s="903"/>
      <c r="V375" s="903"/>
      <c r="W375" s="903"/>
      <c r="X375" s="903"/>
      <c r="Y375" s="903"/>
      <c r="Z375" s="903"/>
      <c r="AA375" s="903"/>
      <c r="AB375" s="903"/>
      <c r="AC375" s="903"/>
      <c r="AD375" s="904"/>
      <c r="AE375" s="750"/>
      <c r="AF375" s="751"/>
      <c r="AG375" s="751"/>
      <c r="AH375" s="751"/>
      <c r="AI375" s="751"/>
      <c r="AJ375" s="751"/>
      <c r="AK375" s="751"/>
      <c r="AL375" s="751"/>
      <c r="AM375" s="751"/>
      <c r="AN375" s="751"/>
      <c r="AO375" s="751"/>
      <c r="AP375" s="751"/>
      <c r="AQ375" s="751"/>
      <c r="AR375" s="752"/>
      <c r="AS375" s="752"/>
      <c r="AT375" s="752"/>
      <c r="AU375" s="752"/>
      <c r="AV375" s="752"/>
      <c r="AW375" s="752"/>
      <c r="AX375" s="752"/>
      <c r="AY375" s="753"/>
      <c r="AZ375" s="770"/>
    </row>
    <row r="376" spans="2:52" s="812" customFormat="1" ht="12.9" customHeight="1">
      <c r="B376" s="901" t="s">
        <v>4018</v>
      </c>
      <c r="C376" s="900"/>
      <c r="D376" s="901"/>
      <c r="E376" s="902"/>
      <c r="F376" s="901"/>
      <c r="G376" s="903"/>
      <c r="H376" s="903"/>
      <c r="I376" s="903"/>
      <c r="J376" s="903"/>
      <c r="K376" s="903"/>
      <c r="L376" s="903"/>
      <c r="M376" s="903"/>
      <c r="N376" s="903"/>
      <c r="O376" s="903"/>
      <c r="P376" s="903"/>
      <c r="Q376" s="903"/>
      <c r="R376" s="903"/>
      <c r="S376" s="903"/>
      <c r="T376" s="903"/>
      <c r="U376" s="903"/>
      <c r="V376" s="903"/>
      <c r="W376" s="903"/>
      <c r="X376" s="903"/>
      <c r="Y376" s="903"/>
      <c r="Z376" s="903"/>
      <c r="AA376" s="903"/>
      <c r="AB376" s="903"/>
      <c r="AC376" s="903"/>
      <c r="AD376" s="904"/>
      <c r="AE376" s="750"/>
      <c r="AF376" s="751"/>
      <c r="AG376" s="751"/>
      <c r="AH376" s="751"/>
      <c r="AI376" s="751"/>
      <c r="AJ376" s="751"/>
      <c r="AK376" s="751"/>
      <c r="AL376" s="751"/>
      <c r="AM376" s="751"/>
      <c r="AN376" s="751"/>
      <c r="AO376" s="751"/>
      <c r="AP376" s="751"/>
      <c r="AQ376" s="751"/>
      <c r="AR376" s="752"/>
      <c r="AS376" s="752"/>
      <c r="AT376" s="752"/>
      <c r="AU376" s="752"/>
      <c r="AV376" s="752"/>
      <c r="AW376" s="752"/>
      <c r="AX376" s="752"/>
      <c r="AY376" s="753"/>
      <c r="AZ376" s="770"/>
    </row>
    <row r="377" spans="2:52" s="753" customFormat="1" ht="12" customHeight="1">
      <c r="B377" s="810"/>
      <c r="C377" s="797"/>
      <c r="E377" s="809"/>
      <c r="G377" s="817"/>
      <c r="H377" s="817"/>
      <c r="I377" s="817"/>
      <c r="J377" s="817"/>
      <c r="K377" s="817"/>
      <c r="L377" s="817"/>
      <c r="M377" s="817"/>
      <c r="N377" s="817"/>
      <c r="AE377" s="750"/>
      <c r="AF377" s="751"/>
      <c r="AG377" s="751"/>
      <c r="AH377" s="751"/>
      <c r="AI377" s="751"/>
      <c r="AJ377" s="751"/>
      <c r="AK377" s="751"/>
      <c r="AL377" s="751"/>
      <c r="AM377" s="751"/>
      <c r="AN377" s="751"/>
      <c r="AO377" s="751"/>
      <c r="AP377" s="751"/>
      <c r="AQ377" s="751"/>
      <c r="AR377" s="751"/>
      <c r="AS377" s="751"/>
      <c r="AT377" s="751"/>
      <c r="AU377" s="751"/>
      <c r="AV377" s="751"/>
      <c r="AW377" s="751"/>
      <c r="AX377" s="752"/>
    </row>
    <row r="378" spans="2:52" s="753" customFormat="1" ht="12" customHeight="1">
      <c r="B378" s="810"/>
      <c r="C378" s="797"/>
      <c r="E378" s="809"/>
      <c r="G378" s="817"/>
      <c r="H378" s="817"/>
      <c r="I378" s="817"/>
      <c r="J378" s="817"/>
      <c r="K378" s="817"/>
      <c r="L378" s="817"/>
      <c r="M378" s="817"/>
      <c r="N378" s="817"/>
      <c r="AE378" s="750"/>
      <c r="AF378" s="751"/>
      <c r="AG378" s="751"/>
      <c r="AH378" s="751"/>
      <c r="AI378" s="751"/>
      <c r="AJ378" s="751"/>
      <c r="AK378" s="751"/>
      <c r="AL378" s="751"/>
      <c r="AM378" s="751"/>
      <c r="AN378" s="751"/>
      <c r="AO378" s="751"/>
      <c r="AP378" s="751"/>
      <c r="AQ378" s="751"/>
      <c r="AR378" s="751"/>
      <c r="AS378" s="751"/>
      <c r="AT378" s="751"/>
      <c r="AU378" s="751"/>
      <c r="AV378" s="751"/>
      <c r="AW378" s="751"/>
      <c r="AX378" s="752"/>
    </row>
    <row r="379" spans="2:52" s="753" customFormat="1" ht="12" customHeight="1">
      <c r="B379" s="810"/>
      <c r="C379" s="797"/>
      <c r="E379" s="809"/>
      <c r="G379" s="817"/>
      <c r="H379" s="817"/>
      <c r="I379" s="817"/>
      <c r="J379" s="817"/>
      <c r="K379" s="817"/>
      <c r="L379" s="817"/>
      <c r="M379" s="817"/>
      <c r="N379" s="817"/>
      <c r="AE379" s="750"/>
      <c r="AF379" s="751"/>
      <c r="AG379" s="751"/>
      <c r="AH379" s="751"/>
      <c r="AI379" s="751"/>
      <c r="AJ379" s="751"/>
      <c r="AK379" s="751"/>
      <c r="AL379" s="751"/>
      <c r="AM379" s="751"/>
      <c r="AN379" s="751"/>
      <c r="AO379" s="751"/>
      <c r="AP379" s="751"/>
      <c r="AQ379" s="751"/>
      <c r="AR379" s="751"/>
      <c r="AS379" s="751"/>
      <c r="AT379" s="751"/>
      <c r="AU379" s="751"/>
      <c r="AV379" s="751"/>
      <c r="AW379" s="751"/>
      <c r="AX379" s="752"/>
    </row>
    <row r="380" spans="2:52" s="753" customFormat="1" ht="12" customHeight="1">
      <c r="B380" s="810"/>
      <c r="C380" s="797"/>
      <c r="E380" s="809"/>
      <c r="G380" s="817"/>
      <c r="H380" s="817"/>
      <c r="I380" s="817"/>
      <c r="J380" s="817"/>
      <c r="K380" s="817"/>
      <c r="L380" s="817"/>
      <c r="M380" s="817"/>
      <c r="N380" s="817"/>
      <c r="AE380" s="750"/>
      <c r="AF380" s="751"/>
      <c r="AG380" s="751"/>
      <c r="AH380" s="751"/>
      <c r="AI380" s="751"/>
      <c r="AJ380" s="751"/>
      <c r="AK380" s="751"/>
      <c r="AL380" s="751"/>
      <c r="AM380" s="751"/>
      <c r="AN380" s="751"/>
      <c r="AO380" s="751"/>
      <c r="AP380" s="751"/>
      <c r="AQ380" s="751"/>
      <c r="AR380" s="751"/>
      <c r="AS380" s="751"/>
      <c r="AT380" s="751"/>
      <c r="AU380" s="751"/>
      <c r="AV380" s="751"/>
      <c r="AW380" s="751"/>
      <c r="AX380" s="752"/>
    </row>
    <row r="381" spans="2:52" s="753" customFormat="1" ht="12" customHeight="1">
      <c r="B381" s="810"/>
      <c r="C381" s="797"/>
      <c r="E381" s="809"/>
      <c r="G381" s="817"/>
      <c r="H381" s="817"/>
      <c r="I381" s="817"/>
      <c r="J381" s="817"/>
      <c r="K381" s="817"/>
      <c r="L381" s="817"/>
      <c r="M381" s="817"/>
      <c r="N381" s="817"/>
      <c r="AE381" s="750"/>
      <c r="AF381" s="751"/>
      <c r="AG381" s="751"/>
      <c r="AH381" s="751"/>
      <c r="AI381" s="751"/>
      <c r="AJ381" s="751"/>
      <c r="AK381" s="751"/>
      <c r="AL381" s="751"/>
      <c r="AM381" s="751"/>
      <c r="AN381" s="751"/>
      <c r="AO381" s="751"/>
      <c r="AP381" s="751"/>
      <c r="AQ381" s="751"/>
      <c r="AR381" s="751"/>
      <c r="AS381" s="751"/>
      <c r="AT381" s="751"/>
      <c r="AU381" s="751"/>
      <c r="AV381" s="751"/>
      <c r="AW381" s="751"/>
      <c r="AX381" s="752"/>
    </row>
    <row r="382" spans="2:52" s="753" customFormat="1" ht="12" customHeight="1">
      <c r="B382" s="810"/>
      <c r="C382" s="797"/>
      <c r="E382" s="809"/>
      <c r="G382" s="817"/>
      <c r="H382" s="817"/>
      <c r="I382" s="817"/>
      <c r="J382" s="817"/>
      <c r="K382" s="817"/>
      <c r="L382" s="817"/>
      <c r="M382" s="817"/>
      <c r="N382" s="817"/>
      <c r="AE382" s="750"/>
      <c r="AF382" s="751"/>
      <c r="AG382" s="751"/>
      <c r="AH382" s="751"/>
      <c r="AI382" s="751"/>
      <c r="AJ382" s="751"/>
      <c r="AK382" s="751"/>
      <c r="AL382" s="751"/>
      <c r="AM382" s="751"/>
      <c r="AN382" s="751"/>
      <c r="AO382" s="751"/>
      <c r="AP382" s="751"/>
      <c r="AQ382" s="751"/>
      <c r="AR382" s="751"/>
      <c r="AS382" s="751"/>
      <c r="AT382" s="751"/>
      <c r="AU382" s="751"/>
      <c r="AV382" s="751"/>
      <c r="AW382" s="751"/>
      <c r="AX382" s="752"/>
    </row>
    <row r="383" spans="2:52" s="753" customFormat="1" ht="12" customHeight="1">
      <c r="B383" s="810"/>
      <c r="C383" s="797"/>
      <c r="E383" s="809"/>
      <c r="G383" s="817"/>
      <c r="H383" s="817"/>
      <c r="I383" s="817"/>
      <c r="J383" s="817"/>
      <c r="K383" s="817"/>
      <c r="L383" s="817"/>
      <c r="M383" s="817"/>
      <c r="N383" s="817"/>
      <c r="AE383" s="750"/>
      <c r="AF383" s="751"/>
      <c r="AG383" s="751"/>
      <c r="AH383" s="751"/>
      <c r="AI383" s="751"/>
      <c r="AJ383" s="751"/>
      <c r="AK383" s="751"/>
      <c r="AL383" s="751"/>
      <c r="AM383" s="751"/>
      <c r="AN383" s="751"/>
      <c r="AO383" s="751"/>
      <c r="AP383" s="751"/>
      <c r="AQ383" s="751"/>
      <c r="AR383" s="751"/>
      <c r="AS383" s="751"/>
      <c r="AT383" s="751"/>
      <c r="AU383" s="751"/>
      <c r="AV383" s="751"/>
      <c r="AW383" s="751"/>
      <c r="AX383" s="752"/>
    </row>
    <row r="384" spans="2:52" s="753" customFormat="1" ht="12" customHeight="1">
      <c r="B384" s="810"/>
      <c r="C384" s="797"/>
      <c r="E384" s="809"/>
      <c r="G384" s="817"/>
      <c r="H384" s="817"/>
      <c r="I384" s="817"/>
      <c r="J384" s="817"/>
      <c r="K384" s="817"/>
      <c r="L384" s="817"/>
      <c r="M384" s="817"/>
      <c r="N384" s="817"/>
      <c r="AE384" s="750"/>
      <c r="AF384" s="751"/>
      <c r="AG384" s="751"/>
      <c r="AH384" s="751"/>
      <c r="AI384" s="751"/>
      <c r="AJ384" s="751"/>
      <c r="AK384" s="751"/>
      <c r="AL384" s="751"/>
      <c r="AM384" s="751"/>
      <c r="AN384" s="751"/>
      <c r="AO384" s="751"/>
      <c r="AP384" s="751"/>
      <c r="AQ384" s="751"/>
      <c r="AR384" s="751"/>
      <c r="AS384" s="751"/>
      <c r="AT384" s="751"/>
      <c r="AU384" s="751"/>
      <c r="AV384" s="751"/>
      <c r="AW384" s="751"/>
      <c r="AX384" s="752"/>
    </row>
    <row r="385" spans="2:50" s="753" customFormat="1" ht="12" customHeight="1">
      <c r="B385" s="810"/>
      <c r="C385" s="797"/>
      <c r="E385" s="809"/>
      <c r="G385" s="817"/>
      <c r="H385" s="817"/>
      <c r="I385" s="817"/>
      <c r="J385" s="817"/>
      <c r="K385" s="817"/>
      <c r="L385" s="817"/>
      <c r="M385" s="817"/>
      <c r="N385" s="817"/>
      <c r="AE385" s="750"/>
      <c r="AF385" s="751"/>
      <c r="AG385" s="751"/>
      <c r="AH385" s="751"/>
      <c r="AI385" s="751"/>
      <c r="AJ385" s="751"/>
      <c r="AK385" s="751"/>
      <c r="AL385" s="751"/>
      <c r="AM385" s="751"/>
      <c r="AN385" s="751"/>
      <c r="AO385" s="751"/>
      <c r="AP385" s="751"/>
      <c r="AQ385" s="751"/>
      <c r="AR385" s="751"/>
      <c r="AS385" s="751"/>
      <c r="AT385" s="751"/>
      <c r="AU385" s="751"/>
      <c r="AV385" s="751"/>
      <c r="AW385" s="751"/>
      <c r="AX385" s="752"/>
    </row>
    <row r="386" spans="2:50" s="753" customFormat="1" ht="12" customHeight="1">
      <c r="B386" s="810"/>
      <c r="C386" s="797"/>
      <c r="E386" s="809"/>
      <c r="G386" s="817"/>
      <c r="H386" s="817"/>
      <c r="I386" s="817"/>
      <c r="J386" s="817"/>
      <c r="K386" s="817"/>
      <c r="L386" s="817"/>
      <c r="M386" s="817"/>
      <c r="N386" s="817"/>
      <c r="AE386" s="750"/>
      <c r="AF386" s="751"/>
      <c r="AG386" s="751"/>
      <c r="AH386" s="751"/>
      <c r="AI386" s="751"/>
      <c r="AJ386" s="751"/>
      <c r="AK386" s="751"/>
      <c r="AL386" s="751"/>
      <c r="AM386" s="751"/>
      <c r="AN386" s="751"/>
      <c r="AO386" s="751"/>
      <c r="AP386" s="751"/>
      <c r="AQ386" s="751"/>
      <c r="AR386" s="751"/>
      <c r="AS386" s="751"/>
      <c r="AT386" s="751"/>
      <c r="AU386" s="751"/>
      <c r="AV386" s="751"/>
      <c r="AW386" s="751"/>
      <c r="AX386" s="752"/>
    </row>
    <row r="387" spans="2:50" s="753" customFormat="1" ht="12" customHeight="1">
      <c r="B387" s="810"/>
      <c r="C387" s="797"/>
      <c r="E387" s="809"/>
      <c r="G387" s="817"/>
      <c r="H387" s="817"/>
      <c r="I387" s="817"/>
      <c r="J387" s="817"/>
      <c r="K387" s="817"/>
      <c r="L387" s="817"/>
      <c r="M387" s="817"/>
      <c r="N387" s="817"/>
      <c r="AE387" s="750"/>
      <c r="AF387" s="751"/>
      <c r="AG387" s="751"/>
      <c r="AH387" s="751"/>
      <c r="AI387" s="751"/>
      <c r="AJ387" s="751"/>
      <c r="AK387" s="751"/>
      <c r="AL387" s="751"/>
      <c r="AM387" s="751"/>
      <c r="AN387" s="751"/>
      <c r="AO387" s="751"/>
      <c r="AP387" s="751"/>
      <c r="AQ387" s="751"/>
      <c r="AR387" s="751"/>
      <c r="AS387" s="751"/>
      <c r="AT387" s="751"/>
      <c r="AU387" s="751"/>
      <c r="AV387" s="751"/>
      <c r="AW387" s="751"/>
      <c r="AX387" s="752"/>
    </row>
    <row r="388" spans="2:50" s="753" customFormat="1" ht="12" customHeight="1">
      <c r="B388" s="810"/>
      <c r="C388" s="797"/>
      <c r="E388" s="809"/>
      <c r="G388" s="817"/>
      <c r="H388" s="817"/>
      <c r="I388" s="817"/>
      <c r="J388" s="817"/>
      <c r="K388" s="817"/>
      <c r="L388" s="817"/>
      <c r="M388" s="817"/>
      <c r="N388" s="817"/>
      <c r="AE388" s="750"/>
      <c r="AF388" s="751"/>
      <c r="AG388" s="751"/>
      <c r="AH388" s="751"/>
      <c r="AI388" s="751"/>
      <c r="AJ388" s="751"/>
      <c r="AK388" s="751"/>
      <c r="AL388" s="751"/>
      <c r="AM388" s="751"/>
      <c r="AN388" s="751"/>
      <c r="AO388" s="751"/>
      <c r="AP388" s="751"/>
      <c r="AQ388" s="751"/>
      <c r="AR388" s="751"/>
      <c r="AS388" s="751"/>
      <c r="AT388" s="751"/>
      <c r="AU388" s="751"/>
      <c r="AV388" s="751"/>
      <c r="AW388" s="751"/>
      <c r="AX388" s="752"/>
    </row>
    <row r="389" spans="2:50" s="753" customFormat="1" ht="12" customHeight="1">
      <c r="B389" s="810"/>
      <c r="C389" s="797"/>
      <c r="E389" s="809"/>
      <c r="G389" s="817"/>
      <c r="H389" s="817"/>
      <c r="I389" s="817"/>
      <c r="J389" s="817"/>
      <c r="K389" s="817"/>
      <c r="L389" s="817"/>
      <c r="M389" s="817"/>
      <c r="N389" s="817"/>
      <c r="AE389" s="750"/>
      <c r="AF389" s="751"/>
      <c r="AG389" s="751"/>
      <c r="AH389" s="751"/>
      <c r="AI389" s="751"/>
      <c r="AJ389" s="751"/>
      <c r="AK389" s="751"/>
      <c r="AL389" s="751"/>
      <c r="AM389" s="751"/>
      <c r="AN389" s="751"/>
      <c r="AO389" s="751"/>
      <c r="AP389" s="751"/>
      <c r="AQ389" s="751"/>
      <c r="AR389" s="751"/>
      <c r="AS389" s="751"/>
      <c r="AT389" s="751"/>
      <c r="AU389" s="751"/>
      <c r="AV389" s="751"/>
      <c r="AW389" s="751"/>
      <c r="AX389" s="752"/>
    </row>
    <row r="390" spans="2:50" s="753" customFormat="1" ht="12" customHeight="1">
      <c r="B390" s="810"/>
      <c r="C390" s="797"/>
      <c r="E390" s="809"/>
      <c r="G390" s="817"/>
      <c r="H390" s="817"/>
      <c r="I390" s="817"/>
      <c r="J390" s="817"/>
      <c r="K390" s="817"/>
      <c r="L390" s="817"/>
      <c r="M390" s="817"/>
      <c r="N390" s="817"/>
      <c r="AE390" s="750"/>
      <c r="AF390" s="751"/>
      <c r="AG390" s="751"/>
      <c r="AH390" s="751"/>
      <c r="AI390" s="751"/>
      <c r="AJ390" s="751"/>
      <c r="AK390" s="751"/>
      <c r="AL390" s="751"/>
      <c r="AM390" s="751"/>
      <c r="AN390" s="751"/>
      <c r="AO390" s="751"/>
      <c r="AP390" s="751"/>
      <c r="AQ390" s="751"/>
      <c r="AR390" s="751"/>
      <c r="AS390" s="751"/>
      <c r="AT390" s="751"/>
      <c r="AU390" s="751"/>
      <c r="AV390" s="751"/>
      <c r="AW390" s="751"/>
      <c r="AX390" s="752"/>
    </row>
    <row r="391" spans="2:50" s="753" customFormat="1" ht="12" customHeight="1">
      <c r="B391" s="810"/>
      <c r="C391" s="797"/>
      <c r="E391" s="809"/>
      <c r="G391" s="817"/>
      <c r="H391" s="817"/>
      <c r="I391" s="817"/>
      <c r="J391" s="817"/>
      <c r="K391" s="817"/>
      <c r="L391" s="817"/>
      <c r="M391" s="817"/>
      <c r="N391" s="817"/>
      <c r="AE391" s="750"/>
      <c r="AF391" s="751"/>
      <c r="AG391" s="751"/>
      <c r="AH391" s="751"/>
      <c r="AI391" s="751"/>
      <c r="AJ391" s="751"/>
      <c r="AK391" s="751"/>
      <c r="AL391" s="751"/>
      <c r="AM391" s="751"/>
      <c r="AN391" s="751"/>
      <c r="AO391" s="751"/>
      <c r="AP391" s="751"/>
      <c r="AQ391" s="751"/>
      <c r="AR391" s="751"/>
      <c r="AS391" s="751"/>
      <c r="AT391" s="751"/>
      <c r="AU391" s="751"/>
      <c r="AV391" s="751"/>
      <c r="AW391" s="751"/>
      <c r="AX391" s="752"/>
    </row>
    <row r="392" spans="2:50" s="753" customFormat="1" ht="12" customHeight="1">
      <c r="B392" s="810"/>
      <c r="C392" s="797"/>
      <c r="E392" s="809"/>
      <c r="G392" s="817"/>
      <c r="H392" s="817"/>
      <c r="I392" s="817"/>
      <c r="J392" s="817"/>
      <c r="K392" s="817"/>
      <c r="L392" s="817"/>
      <c r="M392" s="817"/>
      <c r="N392" s="817"/>
      <c r="AE392" s="750"/>
      <c r="AF392" s="751"/>
      <c r="AG392" s="751"/>
      <c r="AH392" s="751"/>
      <c r="AI392" s="751"/>
      <c r="AJ392" s="751"/>
      <c r="AK392" s="751"/>
      <c r="AL392" s="751"/>
      <c r="AM392" s="751"/>
      <c r="AN392" s="751"/>
      <c r="AO392" s="751"/>
      <c r="AP392" s="751"/>
      <c r="AQ392" s="751"/>
      <c r="AR392" s="751"/>
      <c r="AS392" s="751"/>
      <c r="AT392" s="751"/>
      <c r="AU392" s="751"/>
      <c r="AV392" s="751"/>
      <c r="AW392" s="751"/>
      <c r="AX392" s="752"/>
    </row>
    <row r="393" spans="2:50" s="753" customFormat="1" ht="12" customHeight="1">
      <c r="B393" s="810"/>
      <c r="C393" s="797"/>
      <c r="E393" s="809"/>
      <c r="G393" s="817"/>
      <c r="H393" s="817"/>
      <c r="I393" s="817"/>
      <c r="J393" s="817"/>
      <c r="K393" s="817"/>
      <c r="L393" s="817"/>
      <c r="M393" s="817"/>
      <c r="N393" s="817"/>
      <c r="AE393" s="750"/>
      <c r="AF393" s="751"/>
      <c r="AG393" s="751"/>
      <c r="AH393" s="751"/>
      <c r="AI393" s="751"/>
      <c r="AJ393" s="751"/>
      <c r="AK393" s="751"/>
      <c r="AL393" s="751"/>
      <c r="AM393" s="751"/>
      <c r="AN393" s="751"/>
      <c r="AO393" s="751"/>
      <c r="AP393" s="751"/>
      <c r="AQ393" s="751"/>
      <c r="AR393" s="751"/>
      <c r="AS393" s="751"/>
      <c r="AT393" s="751"/>
      <c r="AU393" s="751"/>
      <c r="AV393" s="751"/>
      <c r="AW393" s="751"/>
      <c r="AX393" s="752"/>
    </row>
    <row r="394" spans="2:50" s="753" customFormat="1" ht="12" customHeight="1">
      <c r="B394" s="810"/>
      <c r="C394" s="797"/>
      <c r="E394" s="809"/>
      <c r="G394" s="817"/>
      <c r="H394" s="817"/>
      <c r="I394" s="817"/>
      <c r="J394" s="817"/>
      <c r="K394" s="817"/>
      <c r="L394" s="817"/>
      <c r="M394" s="817"/>
      <c r="N394" s="817"/>
      <c r="AE394" s="750"/>
      <c r="AF394" s="751"/>
      <c r="AG394" s="751"/>
      <c r="AH394" s="751"/>
      <c r="AI394" s="751"/>
      <c r="AJ394" s="751"/>
      <c r="AK394" s="751"/>
      <c r="AL394" s="751"/>
      <c r="AM394" s="751"/>
      <c r="AN394" s="751"/>
      <c r="AO394" s="751"/>
      <c r="AP394" s="751"/>
      <c r="AQ394" s="751"/>
      <c r="AR394" s="751"/>
      <c r="AS394" s="751"/>
      <c r="AT394" s="751"/>
      <c r="AU394" s="751"/>
      <c r="AV394" s="751"/>
      <c r="AW394" s="751"/>
      <c r="AX394" s="752"/>
    </row>
    <row r="395" spans="2:50" s="753" customFormat="1" ht="12" customHeight="1">
      <c r="B395" s="810"/>
      <c r="C395" s="797"/>
      <c r="E395" s="809"/>
      <c r="G395" s="817"/>
      <c r="H395" s="817"/>
      <c r="I395" s="817"/>
      <c r="J395" s="817"/>
      <c r="K395" s="817"/>
      <c r="L395" s="817"/>
      <c r="M395" s="817"/>
      <c r="N395" s="817"/>
      <c r="AE395" s="750"/>
      <c r="AF395" s="751"/>
      <c r="AG395" s="751"/>
      <c r="AH395" s="751"/>
      <c r="AI395" s="751"/>
      <c r="AJ395" s="751"/>
      <c r="AK395" s="751"/>
      <c r="AL395" s="751"/>
      <c r="AM395" s="751"/>
      <c r="AN395" s="751"/>
      <c r="AO395" s="751"/>
      <c r="AP395" s="751"/>
      <c r="AQ395" s="751"/>
      <c r="AR395" s="751"/>
      <c r="AS395" s="751"/>
      <c r="AT395" s="751"/>
      <c r="AU395" s="751"/>
      <c r="AV395" s="751"/>
      <c r="AW395" s="751"/>
      <c r="AX395" s="752"/>
    </row>
    <row r="396" spans="2:50" s="753" customFormat="1" ht="12" customHeight="1">
      <c r="B396" s="810"/>
      <c r="C396" s="797"/>
      <c r="E396" s="809"/>
      <c r="G396" s="817"/>
      <c r="H396" s="817"/>
      <c r="I396" s="817"/>
      <c r="J396" s="817"/>
      <c r="K396" s="817"/>
      <c r="L396" s="817"/>
      <c r="M396" s="817"/>
      <c r="N396" s="817"/>
      <c r="AE396" s="750"/>
      <c r="AF396" s="751"/>
      <c r="AG396" s="751"/>
      <c r="AH396" s="751"/>
      <c r="AI396" s="751"/>
      <c r="AJ396" s="751"/>
      <c r="AK396" s="751"/>
      <c r="AL396" s="751"/>
      <c r="AM396" s="751"/>
      <c r="AN396" s="751"/>
      <c r="AO396" s="751"/>
      <c r="AP396" s="751"/>
      <c r="AQ396" s="751"/>
      <c r="AR396" s="751"/>
      <c r="AS396" s="751"/>
      <c r="AT396" s="751"/>
      <c r="AU396" s="751"/>
      <c r="AV396" s="751"/>
      <c r="AW396" s="751"/>
      <c r="AX396" s="752"/>
    </row>
    <row r="397" spans="2:50" s="753" customFormat="1" ht="12" customHeight="1">
      <c r="B397" s="810"/>
      <c r="C397" s="797"/>
      <c r="E397" s="809"/>
      <c r="G397" s="817"/>
      <c r="H397" s="817"/>
      <c r="I397" s="817"/>
      <c r="J397" s="817"/>
      <c r="K397" s="817"/>
      <c r="L397" s="817"/>
      <c r="M397" s="817"/>
      <c r="N397" s="817"/>
      <c r="AE397" s="750"/>
      <c r="AF397" s="751"/>
      <c r="AG397" s="751"/>
      <c r="AH397" s="751"/>
      <c r="AI397" s="751"/>
      <c r="AJ397" s="751"/>
      <c r="AK397" s="751"/>
      <c r="AL397" s="751"/>
      <c r="AM397" s="751"/>
      <c r="AN397" s="751"/>
      <c r="AO397" s="751"/>
      <c r="AP397" s="751"/>
      <c r="AQ397" s="751"/>
      <c r="AR397" s="751"/>
      <c r="AS397" s="751"/>
      <c r="AT397" s="751"/>
      <c r="AU397" s="751"/>
      <c r="AV397" s="751"/>
      <c r="AW397" s="751"/>
      <c r="AX397" s="752"/>
    </row>
    <row r="398" spans="2:50" s="753" customFormat="1" ht="12" customHeight="1">
      <c r="B398" s="810"/>
      <c r="C398" s="797"/>
      <c r="E398" s="809"/>
      <c r="G398" s="817"/>
      <c r="H398" s="817"/>
      <c r="I398" s="817"/>
      <c r="J398" s="817"/>
      <c r="K398" s="817"/>
      <c r="L398" s="817"/>
      <c r="M398" s="817"/>
      <c r="N398" s="817"/>
      <c r="AE398" s="750"/>
      <c r="AF398" s="751"/>
      <c r="AG398" s="751"/>
      <c r="AH398" s="751"/>
      <c r="AI398" s="751"/>
      <c r="AJ398" s="751"/>
      <c r="AK398" s="751"/>
      <c r="AL398" s="751"/>
      <c r="AM398" s="751"/>
      <c r="AN398" s="751"/>
      <c r="AO398" s="751"/>
      <c r="AP398" s="751"/>
      <c r="AQ398" s="751"/>
      <c r="AR398" s="751"/>
      <c r="AS398" s="751"/>
      <c r="AT398" s="751"/>
      <c r="AU398" s="751"/>
      <c r="AV398" s="751"/>
      <c r="AW398" s="751"/>
      <c r="AX398" s="752"/>
    </row>
    <row r="399" spans="2:50" s="753" customFormat="1" ht="12" customHeight="1">
      <c r="B399" s="810"/>
      <c r="C399" s="797"/>
      <c r="E399" s="809"/>
      <c r="G399" s="817"/>
      <c r="H399" s="817"/>
      <c r="I399" s="817"/>
      <c r="J399" s="817"/>
      <c r="K399" s="817"/>
      <c r="L399" s="817"/>
      <c r="M399" s="817"/>
      <c r="N399" s="817"/>
      <c r="AE399" s="750"/>
      <c r="AF399" s="751"/>
      <c r="AG399" s="751"/>
      <c r="AH399" s="751"/>
      <c r="AI399" s="751"/>
      <c r="AJ399" s="751"/>
      <c r="AK399" s="751"/>
      <c r="AL399" s="751"/>
      <c r="AM399" s="751"/>
      <c r="AN399" s="751"/>
      <c r="AO399" s="751"/>
      <c r="AP399" s="751"/>
      <c r="AQ399" s="751"/>
      <c r="AR399" s="751"/>
      <c r="AS399" s="751"/>
      <c r="AT399" s="751"/>
      <c r="AU399" s="751"/>
      <c r="AV399" s="751"/>
      <c r="AW399" s="751"/>
      <c r="AX399" s="752"/>
    </row>
    <row r="400" spans="2:50" s="753" customFormat="1" ht="12" customHeight="1">
      <c r="B400" s="810"/>
      <c r="C400" s="797"/>
      <c r="E400" s="809"/>
      <c r="G400" s="817"/>
      <c r="H400" s="817"/>
      <c r="I400" s="817"/>
      <c r="J400" s="817"/>
      <c r="K400" s="817"/>
      <c r="L400" s="817"/>
      <c r="M400" s="817"/>
      <c r="N400" s="817"/>
      <c r="AE400" s="750"/>
      <c r="AF400" s="751"/>
      <c r="AG400" s="751"/>
      <c r="AH400" s="751"/>
      <c r="AI400" s="751"/>
      <c r="AJ400" s="751"/>
      <c r="AK400" s="751"/>
      <c r="AL400" s="751"/>
      <c r="AM400" s="751"/>
      <c r="AN400" s="751"/>
      <c r="AO400" s="751"/>
      <c r="AP400" s="751"/>
      <c r="AQ400" s="751"/>
      <c r="AR400" s="751"/>
      <c r="AS400" s="751"/>
      <c r="AT400" s="751"/>
      <c r="AU400" s="751"/>
      <c r="AV400" s="751"/>
      <c r="AW400" s="751"/>
      <c r="AX400" s="752"/>
    </row>
    <row r="401" spans="2:52" s="753" customFormat="1" ht="12" customHeight="1">
      <c r="B401" s="810"/>
      <c r="C401" s="797"/>
      <c r="E401" s="809"/>
      <c r="G401" s="817"/>
      <c r="H401" s="817"/>
      <c r="I401" s="817"/>
      <c r="J401" s="817"/>
      <c r="K401" s="817"/>
      <c r="L401" s="817"/>
      <c r="M401" s="817"/>
      <c r="N401" s="817"/>
      <c r="AE401" s="750"/>
      <c r="AF401" s="751"/>
      <c r="AG401" s="751"/>
      <c r="AH401" s="751"/>
      <c r="AI401" s="751"/>
      <c r="AJ401" s="751"/>
      <c r="AK401" s="751"/>
      <c r="AL401" s="751"/>
      <c r="AM401" s="751"/>
      <c r="AN401" s="751"/>
      <c r="AO401" s="751"/>
      <c r="AP401" s="751"/>
      <c r="AQ401" s="751"/>
      <c r="AR401" s="751"/>
      <c r="AS401" s="751"/>
      <c r="AT401" s="751"/>
      <c r="AU401" s="751"/>
      <c r="AV401" s="751"/>
      <c r="AW401" s="751"/>
      <c r="AX401" s="752"/>
    </row>
    <row r="402" spans="2:52" s="753" customFormat="1" ht="12" customHeight="1">
      <c r="B402" s="810"/>
      <c r="C402" s="797"/>
      <c r="E402" s="809"/>
      <c r="G402" s="817"/>
      <c r="H402" s="817"/>
      <c r="I402" s="817"/>
      <c r="J402" s="817"/>
      <c r="K402" s="817"/>
      <c r="L402" s="817"/>
      <c r="M402" s="817"/>
      <c r="N402" s="817"/>
      <c r="AE402" s="750"/>
      <c r="AF402" s="751"/>
      <c r="AG402" s="751"/>
      <c r="AH402" s="751"/>
      <c r="AI402" s="751"/>
      <c r="AJ402" s="751"/>
      <c r="AK402" s="751"/>
      <c r="AL402" s="751"/>
      <c r="AM402" s="751"/>
      <c r="AN402" s="751"/>
      <c r="AO402" s="751"/>
      <c r="AP402" s="751"/>
      <c r="AQ402" s="751"/>
      <c r="AR402" s="751"/>
      <c r="AS402" s="751"/>
      <c r="AT402" s="751"/>
      <c r="AU402" s="751"/>
      <c r="AV402" s="751"/>
      <c r="AW402" s="751"/>
      <c r="AX402" s="752"/>
    </row>
    <row r="403" spans="2:52" s="753" customFormat="1" ht="12" customHeight="1">
      <c r="B403" s="810"/>
      <c r="C403" s="797"/>
      <c r="E403" s="809"/>
      <c r="G403" s="817"/>
      <c r="H403" s="817"/>
      <c r="I403" s="817"/>
      <c r="J403" s="817"/>
      <c r="K403" s="817"/>
      <c r="L403" s="817"/>
      <c r="M403" s="817"/>
      <c r="N403" s="817"/>
      <c r="AE403" s="750"/>
      <c r="AF403" s="751"/>
      <c r="AG403" s="751"/>
      <c r="AH403" s="751"/>
      <c r="AI403" s="751"/>
      <c r="AJ403" s="751"/>
      <c r="AK403" s="751"/>
      <c r="AL403" s="751"/>
      <c r="AM403" s="751"/>
      <c r="AN403" s="751"/>
      <c r="AO403" s="751"/>
      <c r="AP403" s="751"/>
      <c r="AQ403" s="751"/>
      <c r="AR403" s="751"/>
      <c r="AS403" s="751"/>
      <c r="AT403" s="751"/>
      <c r="AU403" s="751"/>
      <c r="AV403" s="751"/>
      <c r="AW403" s="751"/>
      <c r="AX403" s="752"/>
    </row>
    <row r="404" spans="2:52" s="753" customFormat="1" ht="12" customHeight="1">
      <c r="B404" s="810"/>
      <c r="C404" s="797"/>
      <c r="E404" s="809"/>
      <c r="F404" s="753" t="s">
        <v>4055</v>
      </c>
      <c r="G404" s="817"/>
      <c r="H404" s="817"/>
      <c r="I404" s="817"/>
      <c r="J404" s="817"/>
      <c r="K404" s="817"/>
      <c r="L404" s="817"/>
      <c r="M404" s="817"/>
      <c r="N404" s="817"/>
      <c r="AE404" s="750"/>
      <c r="AF404" s="751"/>
      <c r="AG404" s="751"/>
      <c r="AH404" s="751"/>
      <c r="AI404" s="751"/>
      <c r="AJ404" s="751"/>
      <c r="AK404" s="751"/>
      <c r="AL404" s="751"/>
      <c r="AM404" s="751"/>
      <c r="AN404" s="751"/>
      <c r="AO404" s="751"/>
      <c r="AP404" s="751"/>
      <c r="AQ404" s="751"/>
      <c r="AR404" s="751"/>
      <c r="AS404" s="751"/>
      <c r="AT404" s="751"/>
      <c r="AU404" s="751"/>
      <c r="AV404" s="751"/>
      <c r="AW404" s="751"/>
      <c r="AX404" s="752"/>
    </row>
    <row r="405" spans="2:52" s="753" customFormat="1" ht="12" customHeight="1">
      <c r="B405" s="810"/>
      <c r="C405" s="797"/>
      <c r="E405" s="809"/>
      <c r="G405" s="817"/>
      <c r="H405" s="817"/>
      <c r="I405" s="817"/>
      <c r="J405" s="817"/>
      <c r="K405" s="817"/>
      <c r="L405" s="817"/>
      <c r="M405" s="817"/>
      <c r="N405" s="817"/>
      <c r="AE405" s="750"/>
      <c r="AF405" s="751"/>
      <c r="AG405" s="751"/>
      <c r="AH405" s="751"/>
      <c r="AI405" s="751"/>
      <c r="AJ405" s="751"/>
      <c r="AK405" s="751"/>
      <c r="AL405" s="751"/>
      <c r="AM405" s="751"/>
      <c r="AN405" s="751"/>
      <c r="AO405" s="751"/>
      <c r="AP405" s="751"/>
      <c r="AQ405" s="751"/>
      <c r="AR405" s="751"/>
      <c r="AS405" s="751"/>
      <c r="AT405" s="751"/>
      <c r="AU405" s="751"/>
      <c r="AV405" s="751"/>
      <c r="AW405" s="751"/>
      <c r="AX405" s="752"/>
    </row>
    <row r="406" spans="2:52" s="753" customFormat="1" ht="12" customHeight="1">
      <c r="B406" s="810"/>
      <c r="C406" s="797"/>
      <c r="E406" s="809"/>
      <c r="G406" s="817"/>
      <c r="H406" s="817"/>
      <c r="I406" s="817"/>
      <c r="J406" s="817"/>
      <c r="K406" s="817"/>
      <c r="L406" s="817"/>
      <c r="M406" s="817"/>
      <c r="N406" s="817"/>
      <c r="O406" s="753" t="s">
        <v>4055</v>
      </c>
      <c r="AE406" s="750"/>
      <c r="AF406" s="751"/>
      <c r="AG406" s="751"/>
      <c r="AH406" s="751"/>
      <c r="AI406" s="751"/>
      <c r="AJ406" s="751"/>
      <c r="AK406" s="751"/>
      <c r="AL406" s="751"/>
      <c r="AM406" s="751"/>
      <c r="AN406" s="751"/>
      <c r="AO406" s="751"/>
      <c r="AP406" s="751"/>
      <c r="AQ406" s="751"/>
      <c r="AR406" s="751"/>
      <c r="AS406" s="751"/>
      <c r="AT406" s="751"/>
      <c r="AU406" s="751"/>
      <c r="AV406" s="751"/>
      <c r="AW406" s="751"/>
      <c r="AX406" s="752"/>
    </row>
    <row r="407" spans="2:52" s="753" customFormat="1" ht="12" customHeight="1">
      <c r="B407" s="796" t="s">
        <v>3806</v>
      </c>
      <c r="C407" s="797"/>
      <c r="E407" s="798"/>
      <c r="F407" s="799"/>
      <c r="AE407" s="750"/>
      <c r="AF407" s="751"/>
      <c r="AG407" s="751"/>
      <c r="AH407" s="751"/>
      <c r="AI407" s="751"/>
      <c r="AJ407" s="751"/>
      <c r="AK407" s="751"/>
      <c r="AL407" s="751"/>
      <c r="AM407" s="751"/>
      <c r="AN407" s="751"/>
      <c r="AO407" s="751"/>
      <c r="AP407" s="751"/>
      <c r="AQ407" s="751"/>
      <c r="AR407" s="752"/>
      <c r="AS407" s="752"/>
      <c r="AT407" s="752"/>
      <c r="AU407" s="752"/>
      <c r="AV407" s="752"/>
      <c r="AW407" s="752"/>
      <c r="AX407" s="752"/>
    </row>
    <row r="408" spans="2:52" s="812" customFormat="1" ht="12.9" customHeight="1">
      <c r="B408" s="800" t="s">
        <v>4019</v>
      </c>
      <c r="C408" s="801"/>
      <c r="D408" s="863"/>
      <c r="E408" s="864"/>
      <c r="F408" s="863"/>
      <c r="G408" s="865"/>
      <c r="H408" s="865"/>
      <c r="I408" s="865"/>
      <c r="J408" s="865"/>
      <c r="K408" s="865"/>
      <c r="L408" s="865"/>
      <c r="M408" s="865"/>
      <c r="N408" s="865"/>
      <c r="O408" s="865"/>
      <c r="P408" s="865"/>
      <c r="Q408" s="865"/>
      <c r="R408" s="865"/>
      <c r="S408" s="865"/>
      <c r="T408" s="865"/>
      <c r="U408" s="865"/>
      <c r="V408" s="865"/>
      <c r="W408" s="865"/>
      <c r="X408" s="865"/>
      <c r="Y408" s="865"/>
      <c r="Z408" s="865"/>
      <c r="AA408" s="865"/>
      <c r="AB408" s="865"/>
      <c r="AC408" s="865"/>
      <c r="AD408" s="806" t="s">
        <v>571</v>
      </c>
      <c r="AE408" s="750"/>
      <c r="AF408" s="751"/>
      <c r="AG408" s="751"/>
      <c r="AH408" s="751"/>
      <c r="AI408" s="751"/>
      <c r="AJ408" s="751"/>
      <c r="AK408" s="751"/>
      <c r="AL408" s="751"/>
      <c r="AM408" s="751"/>
      <c r="AN408" s="751"/>
      <c r="AO408" s="751"/>
      <c r="AP408" s="751"/>
      <c r="AQ408" s="751"/>
      <c r="AR408" s="752"/>
      <c r="AS408" s="752"/>
      <c r="AT408" s="752"/>
      <c r="AU408" s="752"/>
      <c r="AV408" s="752"/>
      <c r="AW408" s="752"/>
      <c r="AX408" s="752"/>
      <c r="AY408" s="753"/>
      <c r="AZ408" s="770"/>
    </row>
    <row r="409" spans="2:52" s="812" customFormat="1" ht="12.9" customHeight="1">
      <c r="B409" s="866"/>
      <c r="C409" s="808">
        <v>18</v>
      </c>
      <c r="D409" s="753" t="s">
        <v>4056</v>
      </c>
      <c r="E409" s="828"/>
      <c r="F409" s="828"/>
      <c r="G409" s="809"/>
      <c r="H409" s="809"/>
      <c r="I409" s="809"/>
      <c r="J409" s="809"/>
      <c r="K409" s="809"/>
      <c r="L409" s="809"/>
      <c r="M409" s="809"/>
      <c r="N409" s="828"/>
      <c r="O409" s="828"/>
      <c r="P409" s="828"/>
      <c r="Q409" s="828"/>
      <c r="Z409" s="818"/>
      <c r="AE409" s="750"/>
      <c r="AF409" s="751"/>
      <c r="AG409" s="751"/>
      <c r="AH409" s="751"/>
      <c r="AI409" s="751"/>
      <c r="AJ409" s="751"/>
      <c r="AK409" s="751"/>
      <c r="AL409" s="751"/>
      <c r="AM409" s="751"/>
      <c r="AN409" s="751"/>
      <c r="AO409" s="751"/>
      <c r="AP409" s="751"/>
      <c r="AQ409" s="751"/>
      <c r="AR409" s="752"/>
      <c r="AS409" s="752"/>
      <c r="AT409" s="752"/>
      <c r="AU409" s="752"/>
      <c r="AV409" s="752"/>
      <c r="AW409" s="752"/>
      <c r="AX409" s="752"/>
      <c r="AY409" s="753"/>
      <c r="AZ409" s="770"/>
    </row>
    <row r="410" spans="2:52" s="812" customFormat="1" ht="12.9" customHeight="1">
      <c r="B410" s="867"/>
      <c r="C410" s="797"/>
      <c r="D410" s="760"/>
      <c r="E410" s="868"/>
      <c r="F410" s="760"/>
      <c r="G410" s="809"/>
      <c r="H410" s="809"/>
      <c r="I410" s="809"/>
      <c r="J410" s="809"/>
      <c r="K410" s="809"/>
      <c r="L410" s="809"/>
      <c r="M410" s="809"/>
      <c r="N410" s="828"/>
      <c r="O410" s="828"/>
      <c r="P410" s="828"/>
      <c r="Q410" s="828"/>
      <c r="Z410" s="818"/>
      <c r="AE410" s="750"/>
      <c r="AF410" s="751"/>
      <c r="AG410" s="751"/>
      <c r="AH410" s="751"/>
      <c r="AI410" s="751"/>
      <c r="AJ410" s="751"/>
      <c r="AK410" s="751"/>
      <c r="AL410" s="751"/>
      <c r="AM410" s="751"/>
      <c r="AN410" s="751"/>
      <c r="AO410" s="751"/>
      <c r="AP410" s="751"/>
      <c r="AQ410" s="751"/>
      <c r="AR410" s="752"/>
      <c r="AS410" s="752"/>
      <c r="AT410" s="752"/>
      <c r="AU410" s="752"/>
      <c r="AV410" s="752"/>
      <c r="AW410" s="752"/>
      <c r="AX410" s="752"/>
      <c r="AY410" s="753"/>
      <c r="AZ410" s="770"/>
    </row>
    <row r="411" spans="2:52" s="869" customFormat="1" ht="12.9" customHeight="1">
      <c r="B411" s="870"/>
      <c r="C411" s="859"/>
      <c r="D411" s="759"/>
      <c r="E411" s="923"/>
      <c r="F411" s="932"/>
      <c r="G411" s="933"/>
      <c r="H411" s="934"/>
      <c r="I411" s="935"/>
      <c r="J411" s="935"/>
      <c r="K411" s="935"/>
      <c r="L411" s="935"/>
      <c r="M411" s="935"/>
      <c r="N411" s="936"/>
      <c r="O411" s="937"/>
      <c r="P411" s="937"/>
      <c r="Q411" s="938"/>
      <c r="R411" s="938"/>
      <c r="S411" s="938"/>
      <c r="T411" s="938"/>
      <c r="U411" s="938"/>
      <c r="V411" s="939"/>
      <c r="AE411" s="750"/>
      <c r="AF411" s="751"/>
      <c r="AG411" s="751"/>
      <c r="AH411" s="751"/>
      <c r="AI411" s="751"/>
      <c r="AJ411" s="751"/>
      <c r="AK411" s="751"/>
      <c r="AL411" s="751"/>
      <c r="AM411" s="751"/>
      <c r="AN411" s="751"/>
      <c r="AO411" s="751"/>
      <c r="AP411" s="751"/>
      <c r="AQ411" s="751"/>
      <c r="AR411" s="752"/>
      <c r="AS411" s="752"/>
      <c r="AT411" s="752"/>
      <c r="AU411" s="752"/>
      <c r="AV411" s="752"/>
      <c r="AW411" s="752"/>
      <c r="AX411" s="752"/>
      <c r="AY411" s="753"/>
      <c r="AZ411" s="770"/>
    </row>
    <row r="412" spans="2:52" s="869" customFormat="1" ht="12.9" customHeight="1">
      <c r="B412" s="870"/>
      <c r="C412" s="859"/>
      <c r="D412" s="759"/>
      <c r="E412" s="923"/>
      <c r="F412" s="940"/>
      <c r="G412" s="931"/>
      <c r="H412" s="871"/>
      <c r="I412" s="817"/>
      <c r="J412" s="817"/>
      <c r="K412" s="817"/>
      <c r="L412" s="817"/>
      <c r="M412" s="817"/>
      <c r="N412" s="760"/>
      <c r="O412" s="872"/>
      <c r="P412" s="872"/>
      <c r="V412" s="941"/>
      <c r="AE412" s="750"/>
      <c r="AF412" s="751"/>
      <c r="AG412" s="751"/>
      <c r="AH412" s="751"/>
      <c r="AI412" s="751"/>
      <c r="AJ412" s="751"/>
      <c r="AK412" s="751"/>
      <c r="AL412" s="751"/>
      <c r="AM412" s="751"/>
      <c r="AN412" s="751"/>
      <c r="AO412" s="751"/>
      <c r="AP412" s="751"/>
      <c r="AQ412" s="751"/>
      <c r="AR412" s="752"/>
      <c r="AS412" s="752"/>
      <c r="AT412" s="752"/>
      <c r="AU412" s="752"/>
      <c r="AV412" s="752"/>
      <c r="AW412" s="752"/>
      <c r="AX412" s="752"/>
      <c r="AY412" s="753"/>
      <c r="AZ412" s="770"/>
    </row>
    <row r="413" spans="2:52" s="869" customFormat="1" ht="12.9" customHeight="1">
      <c r="B413" s="870"/>
      <c r="C413" s="859"/>
      <c r="D413" s="759"/>
      <c r="E413" s="923"/>
      <c r="F413" s="940"/>
      <c r="G413" s="931"/>
      <c r="H413" s="871"/>
      <c r="I413" s="817"/>
      <c r="J413" s="817"/>
      <c r="K413" s="817"/>
      <c r="L413" s="817"/>
      <c r="M413" s="817"/>
      <c r="N413" s="760"/>
      <c r="O413" s="872"/>
      <c r="P413" s="872"/>
      <c r="V413" s="941"/>
      <c r="AE413" s="750"/>
      <c r="AF413" s="751"/>
      <c r="AG413" s="751"/>
      <c r="AH413" s="751"/>
      <c r="AI413" s="751"/>
      <c r="AJ413" s="751"/>
      <c r="AK413" s="751"/>
      <c r="AL413" s="751"/>
      <c r="AM413" s="751"/>
      <c r="AN413" s="751"/>
      <c r="AO413" s="751"/>
      <c r="AP413" s="751"/>
      <c r="AQ413" s="751"/>
      <c r="AR413" s="752"/>
      <c r="AS413" s="752"/>
      <c r="AT413" s="752"/>
      <c r="AU413" s="752"/>
      <c r="AV413" s="752"/>
      <c r="AW413" s="752"/>
      <c r="AX413" s="752"/>
      <c r="AY413" s="753"/>
      <c r="AZ413" s="770"/>
    </row>
    <row r="414" spans="2:52" s="869" customFormat="1" ht="12.9" customHeight="1">
      <c r="B414" s="870"/>
      <c r="C414" s="748"/>
      <c r="D414" s="759"/>
      <c r="E414" s="923"/>
      <c r="F414" s="940"/>
      <c r="G414" s="931"/>
      <c r="H414" s="873"/>
      <c r="I414" s="817"/>
      <c r="J414" s="817"/>
      <c r="K414" s="817"/>
      <c r="L414" s="817"/>
      <c r="M414" s="817"/>
      <c r="N414" s="760"/>
      <c r="O414" s="872"/>
      <c r="P414" s="872"/>
      <c r="V414" s="941"/>
      <c r="AE414" s="750"/>
      <c r="AF414" s="751"/>
      <c r="AG414" s="751"/>
      <c r="AH414" s="751"/>
      <c r="AI414" s="751"/>
      <c r="AJ414" s="751"/>
      <c r="AK414" s="751"/>
      <c r="AL414" s="751"/>
      <c r="AM414" s="751"/>
      <c r="AN414" s="751"/>
      <c r="AO414" s="751"/>
      <c r="AP414" s="751"/>
      <c r="AQ414" s="751"/>
      <c r="AR414" s="752"/>
      <c r="AS414" s="752"/>
      <c r="AT414" s="752"/>
      <c r="AU414" s="752"/>
      <c r="AV414" s="752"/>
      <c r="AW414" s="752"/>
      <c r="AX414" s="752"/>
      <c r="AY414" s="753"/>
      <c r="AZ414" s="770"/>
    </row>
    <row r="415" spans="2:52" s="869" customFormat="1" ht="12.9" customHeight="1">
      <c r="B415" s="870"/>
      <c r="C415" s="859"/>
      <c r="D415" s="759"/>
      <c r="E415" s="923"/>
      <c r="F415" s="942"/>
      <c r="G415" s="943"/>
      <c r="H415" s="944"/>
      <c r="I415" s="945"/>
      <c r="J415" s="945"/>
      <c r="K415" s="945"/>
      <c r="L415" s="945"/>
      <c r="M415" s="945"/>
      <c r="N415" s="946"/>
      <c r="O415" s="947"/>
      <c r="P415" s="947"/>
      <c r="Q415" s="948"/>
      <c r="R415" s="948"/>
      <c r="S415" s="948"/>
      <c r="T415" s="948"/>
      <c r="U415" s="948"/>
      <c r="V415" s="949"/>
      <c r="AE415" s="750"/>
      <c r="AF415" s="751"/>
      <c r="AG415" s="751"/>
      <c r="AH415" s="751"/>
      <c r="AI415" s="751"/>
      <c r="AJ415" s="751"/>
      <c r="AK415" s="751"/>
      <c r="AL415" s="751"/>
      <c r="AM415" s="751"/>
      <c r="AN415" s="751"/>
      <c r="AO415" s="751"/>
      <c r="AP415" s="751"/>
      <c r="AQ415" s="751"/>
      <c r="AR415" s="752"/>
      <c r="AS415" s="752"/>
      <c r="AT415" s="752"/>
      <c r="AU415" s="752"/>
      <c r="AV415" s="752"/>
      <c r="AW415" s="752"/>
      <c r="AX415" s="752"/>
      <c r="AY415" s="753"/>
      <c r="AZ415" s="770"/>
    </row>
    <row r="416" spans="2:52" s="869" customFormat="1" ht="12.9" customHeight="1">
      <c r="B416" s="870"/>
      <c r="C416" s="748"/>
      <c r="D416" s="759"/>
      <c r="E416" s="923"/>
      <c r="F416" s="925"/>
      <c r="G416" s="925"/>
      <c r="H416" s="873"/>
      <c r="I416" s="817"/>
      <c r="J416" s="817"/>
      <c r="K416" s="817"/>
      <c r="L416" s="817"/>
      <c r="M416" s="817"/>
      <c r="N416" s="760"/>
      <c r="O416" s="872"/>
      <c r="P416" s="872"/>
      <c r="AE416" s="750"/>
      <c r="AF416" s="751"/>
      <c r="AG416" s="751"/>
      <c r="AH416" s="751"/>
      <c r="AI416" s="751"/>
      <c r="AJ416" s="751"/>
      <c r="AK416" s="751"/>
      <c r="AL416" s="751"/>
      <c r="AM416" s="751"/>
      <c r="AN416" s="751"/>
      <c r="AO416" s="751"/>
      <c r="AP416" s="751"/>
      <c r="AQ416" s="751"/>
      <c r="AR416" s="752"/>
      <c r="AS416" s="752"/>
      <c r="AT416" s="752"/>
      <c r="AU416" s="752"/>
      <c r="AV416" s="752"/>
      <c r="AW416" s="752"/>
      <c r="AX416" s="752"/>
      <c r="AY416" s="753"/>
      <c r="AZ416" s="770"/>
    </row>
    <row r="417" spans="1:52" s="770" customFormat="1" ht="12" customHeight="1">
      <c r="A417" s="753"/>
      <c r="B417" s="810"/>
      <c r="C417" s="811"/>
      <c r="D417" s="759"/>
      <c r="E417" s="849"/>
      <c r="F417" s="926"/>
      <c r="G417" s="926"/>
      <c r="H417" s="871"/>
      <c r="I417" s="817"/>
      <c r="J417" s="817"/>
      <c r="K417" s="817"/>
      <c r="L417" s="817"/>
      <c r="M417" s="817"/>
      <c r="N417" s="753"/>
      <c r="O417" s="753"/>
      <c r="P417" s="753"/>
      <c r="Q417" s="753"/>
      <c r="R417" s="753"/>
      <c r="S417" s="753"/>
      <c r="T417" s="753"/>
      <c r="U417" s="753"/>
      <c r="V417" s="753"/>
      <c r="W417" s="753"/>
      <c r="X417" s="753"/>
      <c r="Y417" s="753"/>
      <c r="Z417" s="753"/>
      <c r="AA417" s="753"/>
      <c r="AB417" s="753"/>
      <c r="AC417" s="753"/>
      <c r="AD417" s="799"/>
      <c r="AE417" s="750"/>
      <c r="AF417" s="751"/>
      <c r="AG417" s="751"/>
      <c r="AH417" s="751"/>
      <c r="AI417" s="751"/>
      <c r="AJ417" s="751"/>
      <c r="AK417" s="751"/>
      <c r="AL417" s="751"/>
      <c r="AM417" s="751"/>
      <c r="AN417" s="751"/>
      <c r="AO417" s="751"/>
      <c r="AP417" s="751"/>
      <c r="AQ417" s="751"/>
      <c r="AR417" s="752"/>
      <c r="AS417" s="752"/>
      <c r="AT417" s="752"/>
      <c r="AU417" s="752"/>
      <c r="AV417" s="752"/>
      <c r="AW417" s="752"/>
      <c r="AX417" s="752"/>
      <c r="AY417" s="753"/>
    </row>
    <row r="418" spans="1:52" s="753" customFormat="1" ht="12" customHeight="1">
      <c r="B418" s="796" t="s">
        <v>4027</v>
      </c>
      <c r="C418" s="797"/>
      <c r="E418" s="798"/>
      <c r="F418" s="799"/>
      <c r="AE418" s="750"/>
      <c r="AF418" s="751"/>
      <c r="AG418" s="751"/>
      <c r="AH418" s="751"/>
      <c r="AI418" s="751"/>
      <c r="AJ418" s="751"/>
      <c r="AK418" s="751"/>
      <c r="AL418" s="751"/>
      <c r="AM418" s="751"/>
      <c r="AN418" s="751"/>
      <c r="AO418" s="751"/>
      <c r="AP418" s="751"/>
      <c r="AQ418" s="751"/>
      <c r="AR418" s="752"/>
      <c r="AS418" s="752"/>
      <c r="AT418" s="752"/>
      <c r="AU418" s="752"/>
      <c r="AV418" s="752"/>
      <c r="AW418" s="752"/>
      <c r="AX418" s="752"/>
    </row>
    <row r="419" spans="1:52" s="812" customFormat="1" ht="12.9" customHeight="1">
      <c r="B419" s="800" t="s">
        <v>4057</v>
      </c>
      <c r="C419" s="801"/>
      <c r="D419" s="863"/>
      <c r="E419" s="864"/>
      <c r="F419" s="863"/>
      <c r="G419" s="865"/>
      <c r="H419" s="865"/>
      <c r="I419" s="865"/>
      <c r="J419" s="865"/>
      <c r="K419" s="865"/>
      <c r="L419" s="865"/>
      <c r="M419" s="865"/>
      <c r="N419" s="865"/>
      <c r="O419" s="865"/>
      <c r="P419" s="865"/>
      <c r="Q419" s="865"/>
      <c r="R419" s="865"/>
      <c r="S419" s="865"/>
      <c r="T419" s="865"/>
      <c r="U419" s="865"/>
      <c r="V419" s="865"/>
      <c r="W419" s="865"/>
      <c r="X419" s="865"/>
      <c r="Y419" s="865"/>
      <c r="Z419" s="865"/>
      <c r="AA419" s="865"/>
      <c r="AB419" s="865"/>
      <c r="AC419" s="865"/>
      <c r="AD419" s="806" t="s">
        <v>584</v>
      </c>
      <c r="AE419" s="750"/>
      <c r="AF419" s="751"/>
      <c r="AG419" s="751"/>
      <c r="AH419" s="751"/>
      <c r="AI419" s="751"/>
      <c r="AJ419" s="751"/>
      <c r="AK419" s="751"/>
      <c r="AL419" s="751"/>
      <c r="AM419" s="751"/>
      <c r="AN419" s="751"/>
      <c r="AO419" s="751"/>
      <c r="AP419" s="751"/>
      <c r="AQ419" s="751"/>
      <c r="AR419" s="752"/>
      <c r="AS419" s="752"/>
      <c r="AT419" s="752"/>
      <c r="AU419" s="752"/>
      <c r="AV419" s="752"/>
      <c r="AW419" s="752"/>
      <c r="AX419" s="752"/>
      <c r="AY419" s="753"/>
      <c r="AZ419" s="770"/>
    </row>
    <row r="420" spans="1:52" s="812" customFormat="1" ht="12.9" customHeight="1">
      <c r="B420" s="866"/>
      <c r="C420" s="808">
        <v>19</v>
      </c>
      <c r="D420" s="753" t="s">
        <v>4058</v>
      </c>
      <c r="E420" s="828"/>
      <c r="F420" s="828"/>
      <c r="G420" s="809"/>
      <c r="H420" s="809"/>
      <c r="I420" s="809"/>
      <c r="J420" s="809"/>
      <c r="K420" s="809"/>
      <c r="L420" s="809"/>
      <c r="M420" s="809"/>
      <c r="N420" s="828"/>
      <c r="O420" s="828"/>
      <c r="P420" s="828"/>
      <c r="Q420" s="828"/>
      <c r="Z420" s="818"/>
      <c r="AE420" s="750"/>
      <c r="AF420" s="751"/>
      <c r="AG420" s="751"/>
      <c r="AH420" s="751"/>
      <c r="AI420" s="751"/>
      <c r="AJ420" s="751"/>
      <c r="AK420" s="751"/>
      <c r="AL420" s="751"/>
      <c r="AM420" s="751"/>
      <c r="AN420" s="751"/>
      <c r="AO420" s="751"/>
      <c r="AP420" s="751"/>
      <c r="AQ420" s="751"/>
      <c r="AR420" s="751"/>
      <c r="AS420" s="751"/>
      <c r="AT420" s="751"/>
      <c r="AU420" s="751"/>
      <c r="AV420" s="751"/>
      <c r="AW420" s="751"/>
      <c r="AX420" s="752"/>
      <c r="AY420" s="753"/>
      <c r="AZ420" s="770"/>
    </row>
    <row r="421" spans="1:52" s="770" customFormat="1" ht="12" customHeight="1">
      <c r="A421" s="753"/>
      <c r="B421" s="810"/>
      <c r="C421" s="797"/>
      <c r="D421" s="922" t="s">
        <v>4043</v>
      </c>
      <c r="E421" s="809"/>
      <c r="F421" s="753"/>
      <c r="G421" s="753"/>
      <c r="H421" s="753"/>
      <c r="I421" s="753"/>
      <c r="J421" s="753"/>
      <c r="K421" s="753"/>
      <c r="L421" s="753"/>
      <c r="M421" s="753"/>
      <c r="N421" s="753"/>
      <c r="O421" s="753"/>
      <c r="P421" s="753"/>
      <c r="Q421" s="753"/>
      <c r="R421" s="753"/>
      <c r="S421" s="753"/>
      <c r="T421" s="753"/>
      <c r="U421" s="753"/>
      <c r="V421" s="753"/>
      <c r="W421" s="753"/>
      <c r="X421" s="753"/>
      <c r="Y421" s="753"/>
      <c r="Z421" s="753"/>
      <c r="AA421" s="753"/>
      <c r="AB421" s="753"/>
      <c r="AC421" s="753"/>
      <c r="AD421" s="753"/>
      <c r="AE421" s="750"/>
      <c r="AF421" s="751"/>
      <c r="AG421" s="751"/>
      <c r="AH421" s="751"/>
      <c r="AI421" s="751"/>
      <c r="AJ421" s="751"/>
      <c r="AK421" s="751"/>
      <c r="AL421" s="751"/>
      <c r="AM421" s="751"/>
      <c r="AN421" s="751"/>
      <c r="AO421" s="751"/>
      <c r="AP421" s="751"/>
      <c r="AQ421" s="751"/>
      <c r="AR421" s="751"/>
      <c r="AS421" s="751"/>
      <c r="AT421" s="751"/>
      <c r="AU421" s="751"/>
      <c r="AV421" s="751"/>
      <c r="AW421" s="751"/>
      <c r="AX421" s="752"/>
      <c r="AY421" s="753"/>
    </row>
    <row r="422" spans="1:52" s="770" customFormat="1" ht="12" customHeight="1">
      <c r="A422" s="753"/>
      <c r="B422" s="810"/>
      <c r="C422" s="797"/>
      <c r="D422" s="753"/>
      <c r="E422" s="809"/>
      <c r="F422" s="753"/>
      <c r="G422" s="817"/>
      <c r="H422" s="817"/>
      <c r="I422" s="817"/>
      <c r="J422" s="817"/>
      <c r="K422" s="817"/>
      <c r="L422" s="817"/>
      <c r="M422" s="817"/>
      <c r="N422" s="817"/>
      <c r="O422" s="753"/>
      <c r="P422" s="753"/>
      <c r="Q422" s="753"/>
      <c r="R422" s="753"/>
      <c r="S422" s="753"/>
      <c r="T422" s="753"/>
      <c r="U422" s="753"/>
      <c r="V422" s="753"/>
      <c r="W422" s="753"/>
      <c r="X422" s="753"/>
      <c r="Y422" s="753"/>
      <c r="Z422" s="753"/>
      <c r="AA422" s="753"/>
      <c r="AB422" s="753"/>
      <c r="AC422" s="753"/>
      <c r="AD422" s="753"/>
      <c r="AE422" s="750"/>
      <c r="AF422" s="751"/>
      <c r="AG422" s="751"/>
      <c r="AH422" s="751"/>
      <c r="AI422" s="751"/>
      <c r="AJ422" s="751"/>
      <c r="AK422" s="751"/>
      <c r="AL422" s="751"/>
      <c r="AM422" s="751"/>
      <c r="AN422" s="751"/>
      <c r="AO422" s="751"/>
      <c r="AP422" s="751"/>
      <c r="AQ422" s="751"/>
      <c r="AR422" s="751"/>
      <c r="AS422" s="751"/>
      <c r="AT422" s="751"/>
      <c r="AU422" s="751"/>
      <c r="AV422" s="751"/>
      <c r="AW422" s="751"/>
      <c r="AX422" s="752"/>
      <c r="AY422" s="753"/>
    </row>
    <row r="423" spans="1:52" s="770" customFormat="1" ht="12" customHeight="1">
      <c r="A423" s="753"/>
      <c r="B423" s="810"/>
      <c r="C423" s="797"/>
      <c r="D423" s="851" t="s">
        <v>4059</v>
      </c>
      <c r="E423" s="809"/>
      <c r="F423" s="753"/>
      <c r="G423" s="817"/>
      <c r="H423" s="817"/>
      <c r="I423" s="817"/>
      <c r="J423" s="817"/>
      <c r="K423" s="817"/>
      <c r="L423" s="817"/>
      <c r="M423" s="817"/>
      <c r="N423" s="817"/>
      <c r="O423" s="753"/>
      <c r="P423" s="753"/>
      <c r="Q423" s="753"/>
      <c r="R423" s="753"/>
      <c r="S423" s="753"/>
      <c r="T423" s="753"/>
      <c r="U423" s="753"/>
      <c r="V423" s="753"/>
      <c r="W423" s="753"/>
      <c r="X423" s="753"/>
      <c r="Y423" s="753"/>
      <c r="Z423" s="753"/>
      <c r="AA423" s="753"/>
      <c r="AB423" s="753"/>
      <c r="AC423" s="753"/>
      <c r="AD423" s="753"/>
      <c r="AE423" s="750"/>
      <c r="AF423" s="751"/>
      <c r="AG423" s="751"/>
      <c r="AH423" s="751"/>
      <c r="AI423" s="751"/>
      <c r="AJ423" s="751"/>
      <c r="AK423" s="751"/>
      <c r="AL423" s="751"/>
      <c r="AM423" s="751"/>
      <c r="AN423" s="751"/>
      <c r="AO423" s="751"/>
      <c r="AP423" s="751"/>
      <c r="AQ423" s="751"/>
      <c r="AR423" s="751"/>
      <c r="AS423" s="751"/>
      <c r="AT423" s="751"/>
      <c r="AU423" s="751"/>
      <c r="AV423" s="751"/>
      <c r="AW423" s="751"/>
      <c r="AX423" s="752"/>
      <c r="AY423" s="753"/>
    </row>
    <row r="424" spans="1:52" s="770" customFormat="1" ht="12" customHeight="1">
      <c r="A424" s="753"/>
      <c r="B424" s="810"/>
      <c r="C424" s="797"/>
      <c r="D424" s="753"/>
      <c r="E424" s="809"/>
      <c r="F424" s="753"/>
      <c r="G424" s="817"/>
      <c r="H424" s="817"/>
      <c r="I424" s="817"/>
      <c r="J424" s="817"/>
      <c r="K424" s="817"/>
      <c r="L424" s="817"/>
      <c r="M424" s="817"/>
      <c r="N424" s="817"/>
      <c r="O424" s="753"/>
      <c r="P424" s="753"/>
      <c r="Q424" s="753"/>
      <c r="R424" s="753"/>
      <c r="S424" s="753"/>
      <c r="T424" s="753"/>
      <c r="U424" s="753"/>
      <c r="V424" s="753"/>
      <c r="W424" s="753"/>
      <c r="X424" s="753"/>
      <c r="Y424" s="753"/>
      <c r="Z424" s="753"/>
      <c r="AA424" s="753"/>
      <c r="AB424" s="753"/>
      <c r="AC424" s="753"/>
      <c r="AD424" s="753"/>
      <c r="AE424" s="750"/>
      <c r="AF424" s="751"/>
      <c r="AG424" s="751"/>
      <c r="AH424" s="751"/>
      <c r="AI424" s="751"/>
      <c r="AJ424" s="751"/>
      <c r="AK424" s="751"/>
      <c r="AL424" s="751"/>
      <c r="AM424" s="751"/>
      <c r="AN424" s="751"/>
      <c r="AO424" s="751"/>
      <c r="AP424" s="751"/>
      <c r="AQ424" s="751"/>
      <c r="AR424" s="751"/>
      <c r="AS424" s="751"/>
      <c r="AT424" s="751"/>
      <c r="AU424" s="751"/>
      <c r="AV424" s="751"/>
      <c r="AW424" s="751"/>
      <c r="AX424" s="752"/>
      <c r="AY424" s="753"/>
    </row>
    <row r="425" spans="1:52" s="770" customFormat="1" ht="12" customHeight="1">
      <c r="A425" s="753"/>
      <c r="B425" s="810"/>
      <c r="C425" s="835"/>
      <c r="D425" s="753"/>
      <c r="E425" s="852"/>
      <c r="G425" s="853">
        <v>1</v>
      </c>
      <c r="H425" s="853">
        <v>2</v>
      </c>
      <c r="I425" s="853">
        <v>3</v>
      </c>
      <c r="J425" s="853">
        <v>4</v>
      </c>
      <c r="K425" s="853">
        <v>5</v>
      </c>
      <c r="L425" s="817"/>
      <c r="M425" s="817"/>
      <c r="N425" s="817"/>
      <c r="O425" s="825"/>
      <c r="P425" s="825"/>
      <c r="Q425" s="825"/>
      <c r="R425" s="825"/>
      <c r="S425" s="825"/>
      <c r="T425" s="825"/>
      <c r="U425" s="825"/>
      <c r="V425" s="825"/>
      <c r="W425" s="825"/>
      <c r="X425" s="825"/>
      <c r="Y425" s="825"/>
      <c r="Z425" s="825"/>
      <c r="AA425" s="825"/>
      <c r="AB425" s="825"/>
      <c r="AC425" s="825"/>
      <c r="AD425" s="799"/>
      <c r="AE425" s="750"/>
      <c r="AF425" s="751"/>
      <c r="AG425" s="751"/>
      <c r="AH425" s="751"/>
      <c r="AI425" s="751"/>
      <c r="AJ425" s="751"/>
      <c r="AK425" s="751"/>
      <c r="AL425" s="751"/>
      <c r="AM425" s="751"/>
      <c r="AN425" s="751"/>
      <c r="AO425" s="751"/>
      <c r="AP425" s="751"/>
      <c r="AQ425" s="751"/>
      <c r="AR425" s="752"/>
      <c r="AS425" s="752"/>
      <c r="AT425" s="752"/>
      <c r="AU425" s="752"/>
      <c r="AV425" s="752"/>
      <c r="AW425" s="752"/>
      <c r="AX425" s="752"/>
      <c r="AY425" s="753"/>
    </row>
    <row r="426" spans="1:52" s="770" customFormat="1" ht="78" customHeight="1">
      <c r="A426" s="753"/>
      <c r="B426" s="810"/>
      <c r="C426" s="811"/>
      <c r="D426" s="811"/>
      <c r="E426" s="852"/>
      <c r="G426" s="855" t="s">
        <v>4030</v>
      </c>
      <c r="H426" s="855" t="s">
        <v>4031</v>
      </c>
      <c r="I426" s="855" t="s">
        <v>4032</v>
      </c>
      <c r="J426" s="855" t="s">
        <v>4033</v>
      </c>
      <c r="K426" s="855" t="s">
        <v>4034</v>
      </c>
      <c r="L426" s="927"/>
      <c r="M426" s="927"/>
      <c r="N426" s="927"/>
      <c r="O426" s="825"/>
      <c r="P426" s="825"/>
      <c r="Q426" s="825"/>
      <c r="R426" s="825"/>
      <c r="S426" s="825"/>
      <c r="T426" s="825"/>
      <c r="U426" s="825"/>
      <c r="V426" s="825"/>
      <c r="W426" s="825"/>
      <c r="X426" s="825"/>
      <c r="Y426" s="825"/>
      <c r="Z426" s="825"/>
      <c r="AA426" s="825"/>
      <c r="AB426" s="825"/>
      <c r="AC426" s="825"/>
      <c r="AD426" s="799"/>
      <c r="AE426" s="750"/>
      <c r="AF426" s="751"/>
      <c r="AG426" s="856"/>
      <c r="AH426" s="856"/>
      <c r="AI426" s="751"/>
      <c r="AJ426" s="751"/>
      <c r="AK426" s="751"/>
      <c r="AL426" s="751"/>
      <c r="AM426" s="751"/>
      <c r="AN426" s="751"/>
      <c r="AO426" s="751"/>
      <c r="AP426" s="751"/>
      <c r="AQ426" s="751"/>
      <c r="AR426" s="752"/>
      <c r="AS426" s="752"/>
      <c r="AT426" s="752"/>
      <c r="AU426" s="752"/>
      <c r="AV426" s="752"/>
      <c r="AW426" s="752"/>
      <c r="AX426" s="752"/>
      <c r="AY426" s="753"/>
    </row>
    <row r="427" spans="1:52" s="770" customFormat="1" ht="19.5" customHeight="1">
      <c r="A427" s="753"/>
      <c r="B427" s="810"/>
      <c r="C427" s="859"/>
      <c r="D427" s="749"/>
      <c r="E427" s="825"/>
      <c r="F427" s="928" t="s">
        <v>4035</v>
      </c>
      <c r="G427" s="759" t="s">
        <v>4036</v>
      </c>
      <c r="H427" s="759"/>
      <c r="I427" s="759"/>
      <c r="J427" s="759"/>
      <c r="K427" s="759" t="s">
        <v>4037</v>
      </c>
      <c r="L427" s="929" t="s">
        <v>4038</v>
      </c>
      <c r="M427" s="825"/>
      <c r="N427" s="825"/>
      <c r="O427" s="825"/>
      <c r="P427" s="825"/>
      <c r="Q427" s="825"/>
      <c r="R427" s="825"/>
      <c r="S427" s="825"/>
      <c r="T427" s="825"/>
      <c r="U427" s="825"/>
      <c r="V427" s="825"/>
      <c r="W427" s="825"/>
      <c r="X427" s="825"/>
      <c r="Y427" s="825"/>
      <c r="Z427" s="825"/>
      <c r="AA427" s="825"/>
      <c r="AB427" s="825"/>
      <c r="AC427" s="825"/>
      <c r="AD427" s="799"/>
      <c r="AE427" s="750"/>
      <c r="AF427" s="751"/>
      <c r="AG427" s="751"/>
      <c r="AH427" s="751"/>
      <c r="AI427" s="751"/>
      <c r="AJ427" s="751"/>
      <c r="AK427" s="751"/>
      <c r="AL427" s="751"/>
      <c r="AM427" s="751"/>
      <c r="AN427" s="751"/>
      <c r="AO427" s="751"/>
      <c r="AP427" s="751"/>
      <c r="AQ427" s="751"/>
      <c r="AR427" s="752"/>
      <c r="AS427" s="752"/>
      <c r="AT427" s="752"/>
      <c r="AU427" s="752"/>
      <c r="AV427" s="752"/>
      <c r="AW427" s="752"/>
      <c r="AX427" s="752"/>
      <c r="AY427" s="753"/>
    </row>
    <row r="428" spans="1:52" s="770" customFormat="1" ht="33.9" customHeight="1">
      <c r="A428" s="753"/>
      <c r="B428" s="810"/>
      <c r="C428" s="859"/>
      <c r="D428" s="749"/>
      <c r="E428" s="860">
        <v>1</v>
      </c>
      <c r="F428" s="930" t="s">
        <v>4060</v>
      </c>
      <c r="G428" s="759" t="s">
        <v>3809</v>
      </c>
      <c r="H428" s="759" t="s">
        <v>3809</v>
      </c>
      <c r="I428" s="759" t="s">
        <v>3809</v>
      </c>
      <c r="J428" s="759" t="s">
        <v>3809</v>
      </c>
      <c r="K428" s="759" t="s">
        <v>3809</v>
      </c>
      <c r="L428" s="950" t="s">
        <v>4061</v>
      </c>
      <c r="M428" s="950"/>
      <c r="N428" s="950"/>
      <c r="O428" s="950"/>
      <c r="P428" s="950"/>
      <c r="Q428" s="950"/>
      <c r="R428" s="950"/>
      <c r="S428" s="950"/>
      <c r="T428" s="950"/>
      <c r="U428" s="825"/>
      <c r="V428" s="825"/>
      <c r="W428" s="825"/>
      <c r="X428" s="825"/>
      <c r="Y428" s="825"/>
      <c r="Z428" s="825"/>
      <c r="AA428" s="825"/>
      <c r="AB428" s="825"/>
      <c r="AC428" s="825"/>
      <c r="AD428" s="799"/>
      <c r="AE428" s="750"/>
      <c r="AF428" s="751"/>
      <c r="AG428" s="751"/>
      <c r="AH428" s="751"/>
      <c r="AI428" s="751"/>
      <c r="AJ428" s="751"/>
      <c r="AK428" s="751"/>
      <c r="AL428" s="751"/>
      <c r="AM428" s="751"/>
      <c r="AN428" s="751"/>
      <c r="AO428" s="751"/>
      <c r="AP428" s="751"/>
      <c r="AQ428" s="751"/>
      <c r="AR428" s="752"/>
      <c r="AS428" s="752"/>
      <c r="AT428" s="752"/>
      <c r="AU428" s="752"/>
      <c r="AV428" s="752"/>
      <c r="AW428" s="752"/>
      <c r="AX428" s="752"/>
      <c r="AY428" s="753"/>
    </row>
    <row r="429" spans="1:52" s="770" customFormat="1" ht="33.9" customHeight="1">
      <c r="A429" s="753"/>
      <c r="B429" s="810"/>
      <c r="C429" s="859"/>
      <c r="D429" s="749"/>
      <c r="E429" s="860">
        <v>2</v>
      </c>
      <c r="F429" s="930" t="s">
        <v>4062</v>
      </c>
      <c r="G429" s="759" t="s">
        <v>3809</v>
      </c>
      <c r="H429" s="759" t="s">
        <v>3809</v>
      </c>
      <c r="I429" s="759" t="s">
        <v>3809</v>
      </c>
      <c r="J429" s="759" t="s">
        <v>3809</v>
      </c>
      <c r="K429" s="759" t="s">
        <v>3809</v>
      </c>
      <c r="L429" s="950" t="s">
        <v>4063</v>
      </c>
      <c r="M429" s="950"/>
      <c r="N429" s="950"/>
      <c r="O429" s="950"/>
      <c r="P429" s="950"/>
      <c r="Q429" s="950"/>
      <c r="R429" s="950"/>
      <c r="S429" s="950"/>
      <c r="T429" s="950"/>
      <c r="U429" s="825"/>
      <c r="V429" s="825"/>
      <c r="W429" s="825"/>
      <c r="X429" s="825"/>
      <c r="Y429" s="825"/>
      <c r="Z429" s="825"/>
      <c r="AA429" s="825"/>
      <c r="AB429" s="825"/>
      <c r="AC429" s="825"/>
      <c r="AD429" s="799"/>
      <c r="AE429" s="750"/>
      <c r="AF429" s="751"/>
      <c r="AG429" s="751"/>
      <c r="AH429" s="751"/>
      <c r="AI429" s="751"/>
      <c r="AJ429" s="751"/>
      <c r="AK429" s="751"/>
      <c r="AL429" s="751"/>
      <c r="AM429" s="751"/>
      <c r="AN429" s="751"/>
      <c r="AO429" s="751"/>
      <c r="AP429" s="751"/>
      <c r="AQ429" s="751"/>
      <c r="AR429" s="752"/>
      <c r="AS429" s="752"/>
      <c r="AT429" s="752"/>
      <c r="AU429" s="752"/>
      <c r="AV429" s="752"/>
      <c r="AW429" s="752"/>
      <c r="AX429" s="752"/>
      <c r="AY429" s="753"/>
    </row>
    <row r="430" spans="1:52" s="770" customFormat="1" ht="33.9" customHeight="1">
      <c r="A430" s="753"/>
      <c r="B430" s="810"/>
      <c r="C430" s="811"/>
      <c r="D430" s="749"/>
      <c r="E430" s="860">
        <v>3</v>
      </c>
      <c r="F430" s="930" t="s">
        <v>4064</v>
      </c>
      <c r="G430" s="759" t="s">
        <v>3809</v>
      </c>
      <c r="H430" s="759" t="s">
        <v>3809</v>
      </c>
      <c r="I430" s="759" t="s">
        <v>3809</v>
      </c>
      <c r="J430" s="759" t="s">
        <v>3809</v>
      </c>
      <c r="K430" s="759" t="s">
        <v>3809</v>
      </c>
      <c r="L430" s="955" t="s">
        <v>4065</v>
      </c>
      <c r="M430" s="955"/>
      <c r="N430" s="955"/>
      <c r="O430" s="955"/>
      <c r="P430" s="955"/>
      <c r="Q430" s="955"/>
      <c r="R430" s="955"/>
      <c r="S430" s="955"/>
      <c r="T430" s="955"/>
      <c r="U430" s="825"/>
      <c r="V430" s="825"/>
      <c r="W430" s="825"/>
      <c r="X430" s="825"/>
      <c r="Y430" s="825"/>
      <c r="Z430" s="825"/>
      <c r="AA430" s="825"/>
      <c r="AB430" s="825"/>
      <c r="AC430" s="825"/>
      <c r="AD430" s="799"/>
      <c r="AE430" s="750"/>
      <c r="AF430" s="751"/>
      <c r="AG430" s="751"/>
      <c r="AH430" s="751"/>
      <c r="AI430" s="751"/>
      <c r="AJ430" s="751"/>
      <c r="AK430" s="751"/>
      <c r="AL430" s="751"/>
      <c r="AM430" s="751"/>
      <c r="AN430" s="751"/>
      <c r="AO430" s="751"/>
      <c r="AP430" s="751"/>
      <c r="AQ430" s="751"/>
      <c r="AR430" s="752"/>
      <c r="AS430" s="752"/>
      <c r="AT430" s="752"/>
      <c r="AU430" s="752"/>
      <c r="AV430" s="752"/>
      <c r="AW430" s="752"/>
      <c r="AX430" s="752"/>
      <c r="AY430" s="753"/>
    </row>
    <row r="431" spans="1:52" s="770" customFormat="1" ht="33.9" customHeight="1">
      <c r="A431" s="753"/>
      <c r="B431" s="810"/>
      <c r="C431" s="811"/>
      <c r="D431" s="749"/>
      <c r="E431" s="860">
        <v>4</v>
      </c>
      <c r="F431" s="930" t="s">
        <v>4066</v>
      </c>
      <c r="G431" s="759" t="s">
        <v>3809</v>
      </c>
      <c r="H431" s="759" t="s">
        <v>3809</v>
      </c>
      <c r="I431" s="759" t="s">
        <v>3809</v>
      </c>
      <c r="J431" s="759" t="s">
        <v>3809</v>
      </c>
      <c r="K431" s="759" t="s">
        <v>3809</v>
      </c>
      <c r="L431" s="950" t="s">
        <v>4067</v>
      </c>
      <c r="M431" s="950"/>
      <c r="N431" s="950"/>
      <c r="O431" s="950"/>
      <c r="P431" s="950"/>
      <c r="Q431" s="950"/>
      <c r="R431" s="950"/>
      <c r="S431" s="950"/>
      <c r="T431" s="950"/>
      <c r="U431" s="825"/>
      <c r="V431" s="825"/>
      <c r="W431" s="825"/>
      <c r="X431" s="825"/>
      <c r="Y431" s="825"/>
      <c r="Z431" s="825"/>
      <c r="AA431" s="825"/>
      <c r="AB431" s="825"/>
      <c r="AC431" s="825"/>
      <c r="AD431" s="799"/>
      <c r="AE431" s="750"/>
      <c r="AF431" s="751"/>
      <c r="AG431" s="751"/>
      <c r="AH431" s="751"/>
      <c r="AI431" s="751"/>
      <c r="AJ431" s="751"/>
      <c r="AK431" s="751"/>
      <c r="AL431" s="751"/>
      <c r="AM431" s="751"/>
      <c r="AN431" s="751"/>
      <c r="AO431" s="751"/>
      <c r="AP431" s="751"/>
      <c r="AQ431" s="751"/>
      <c r="AR431" s="752"/>
      <c r="AS431" s="752"/>
      <c r="AT431" s="752"/>
      <c r="AU431" s="752"/>
      <c r="AV431" s="752"/>
      <c r="AW431" s="752"/>
      <c r="AX431" s="752"/>
      <c r="AY431" s="753"/>
    </row>
    <row r="432" spans="1:52" s="869" customFormat="1" ht="12.9" customHeight="1">
      <c r="B432" s="870"/>
      <c r="C432" s="748"/>
      <c r="D432" s="759"/>
      <c r="E432" s="923"/>
      <c r="F432" s="925"/>
      <c r="G432" s="925"/>
      <c r="H432" s="873"/>
      <c r="I432" s="817"/>
      <c r="J432" s="817"/>
      <c r="K432" s="817"/>
      <c r="L432" s="817"/>
      <c r="M432" s="817"/>
      <c r="N432" s="760"/>
      <c r="O432" s="872"/>
      <c r="P432" s="872"/>
      <c r="AE432" s="750"/>
      <c r="AF432" s="751"/>
      <c r="AG432" s="751"/>
      <c r="AH432" s="751"/>
      <c r="AI432" s="751"/>
      <c r="AJ432" s="751"/>
      <c r="AK432" s="751"/>
      <c r="AL432" s="751"/>
      <c r="AM432" s="751"/>
      <c r="AN432" s="751"/>
      <c r="AO432" s="751"/>
      <c r="AP432" s="751"/>
      <c r="AQ432" s="751"/>
      <c r="AR432" s="752"/>
      <c r="AS432" s="752"/>
      <c r="AT432" s="752"/>
      <c r="AU432" s="752"/>
      <c r="AV432" s="752"/>
      <c r="AW432" s="752"/>
      <c r="AX432" s="752"/>
      <c r="AY432" s="753"/>
      <c r="AZ432" s="770"/>
    </row>
    <row r="433" spans="1:52" s="770" customFormat="1" ht="12" customHeight="1">
      <c r="A433" s="753"/>
      <c r="B433" s="810"/>
      <c r="C433" s="811"/>
      <c r="D433" s="759"/>
      <c r="E433" s="849"/>
      <c r="F433" s="926"/>
      <c r="G433" s="926"/>
      <c r="H433" s="871"/>
      <c r="I433" s="817"/>
      <c r="J433" s="817"/>
      <c r="K433" s="817"/>
      <c r="L433" s="817"/>
      <c r="M433" s="817"/>
      <c r="N433" s="753"/>
      <c r="O433" s="753"/>
      <c r="P433" s="753"/>
      <c r="Q433" s="753"/>
      <c r="R433" s="753"/>
      <c r="S433" s="753"/>
      <c r="T433" s="753"/>
      <c r="U433" s="753"/>
      <c r="V433" s="753"/>
      <c r="W433" s="753"/>
      <c r="X433" s="753"/>
      <c r="Y433" s="753"/>
      <c r="Z433" s="753"/>
      <c r="AA433" s="753"/>
      <c r="AB433" s="753"/>
      <c r="AC433" s="753"/>
      <c r="AD433" s="799"/>
      <c r="AE433" s="750"/>
      <c r="AF433" s="751"/>
      <c r="AG433" s="751"/>
      <c r="AH433" s="751"/>
      <c r="AI433" s="751"/>
      <c r="AJ433" s="751"/>
      <c r="AK433" s="751"/>
      <c r="AL433" s="751"/>
      <c r="AM433" s="751"/>
      <c r="AN433" s="751"/>
      <c r="AO433" s="751"/>
      <c r="AP433" s="751"/>
      <c r="AQ433" s="751"/>
      <c r="AR433" s="752"/>
      <c r="AS433" s="752"/>
      <c r="AT433" s="752"/>
      <c r="AU433" s="752"/>
      <c r="AV433" s="752"/>
      <c r="AW433" s="752"/>
      <c r="AX433" s="752"/>
      <c r="AY433" s="753"/>
    </row>
    <row r="434" spans="1:52" s="753" customFormat="1" ht="12" customHeight="1">
      <c r="B434" s="810"/>
      <c r="C434" s="811"/>
      <c r="D434" s="759"/>
      <c r="E434" s="849"/>
      <c r="F434" s="931"/>
      <c r="G434" s="931"/>
      <c r="H434" s="871"/>
      <c r="I434" s="817"/>
      <c r="J434" s="817"/>
      <c r="K434" s="817"/>
      <c r="L434" s="817"/>
      <c r="M434" s="817"/>
      <c r="AD434" s="799"/>
      <c r="AE434" s="750"/>
      <c r="AF434" s="751"/>
      <c r="AG434" s="751"/>
      <c r="AH434" s="751"/>
      <c r="AI434" s="751"/>
      <c r="AJ434" s="751"/>
      <c r="AK434" s="751"/>
      <c r="AL434" s="751"/>
      <c r="AM434" s="751"/>
      <c r="AN434" s="751"/>
      <c r="AO434" s="751"/>
      <c r="AP434" s="751"/>
      <c r="AQ434" s="751"/>
      <c r="AR434" s="752"/>
      <c r="AS434" s="752"/>
      <c r="AT434" s="752"/>
      <c r="AU434" s="752"/>
      <c r="AV434" s="752"/>
      <c r="AW434" s="752"/>
      <c r="AX434" s="752"/>
      <c r="AZ434" s="770"/>
    </row>
    <row r="435" spans="1:52" s="753" customFormat="1" ht="12" customHeight="1">
      <c r="B435" s="810"/>
      <c r="C435" s="811"/>
      <c r="D435" s="759"/>
      <c r="E435" s="849"/>
      <c r="F435" s="931"/>
      <c r="G435" s="931"/>
      <c r="H435" s="871"/>
      <c r="I435" s="817"/>
      <c r="J435" s="817"/>
      <c r="K435" s="817"/>
      <c r="L435" s="817"/>
      <c r="M435" s="817"/>
      <c r="AD435" s="799"/>
      <c r="AE435" s="750"/>
      <c r="AF435" s="751"/>
      <c r="AG435" s="751"/>
      <c r="AH435" s="751"/>
      <c r="AI435" s="751"/>
      <c r="AJ435" s="751"/>
      <c r="AK435" s="751"/>
      <c r="AL435" s="751"/>
      <c r="AM435" s="751"/>
      <c r="AN435" s="751"/>
      <c r="AO435" s="751"/>
      <c r="AP435" s="751"/>
      <c r="AQ435" s="751"/>
      <c r="AR435" s="752"/>
      <c r="AS435" s="752"/>
      <c r="AT435" s="752"/>
      <c r="AU435" s="752"/>
      <c r="AV435" s="752"/>
      <c r="AW435" s="752"/>
      <c r="AX435" s="752"/>
      <c r="AZ435" s="770"/>
    </row>
    <row r="436" spans="1:52" s="812" customFormat="1" ht="12.9" customHeight="1">
      <c r="B436" s="899" t="s">
        <v>4054</v>
      </c>
      <c r="C436" s="900"/>
      <c r="D436" s="901"/>
      <c r="E436" s="902"/>
      <c r="F436" s="901"/>
      <c r="G436" s="903"/>
      <c r="H436" s="903"/>
      <c r="I436" s="903"/>
      <c r="J436" s="903"/>
      <c r="K436" s="903"/>
      <c r="L436" s="903"/>
      <c r="M436" s="903"/>
      <c r="N436" s="903"/>
      <c r="O436" s="903"/>
      <c r="P436" s="903"/>
      <c r="Q436" s="903"/>
      <c r="R436" s="903"/>
      <c r="S436" s="903"/>
      <c r="T436" s="903"/>
      <c r="U436" s="903"/>
      <c r="V436" s="903"/>
      <c r="W436" s="903"/>
      <c r="X436" s="903"/>
      <c r="Y436" s="903"/>
      <c r="Z436" s="903"/>
      <c r="AA436" s="903"/>
      <c r="AB436" s="903"/>
      <c r="AC436" s="903"/>
      <c r="AD436" s="904"/>
      <c r="AE436" s="750"/>
      <c r="AF436" s="751"/>
      <c r="AG436" s="751"/>
      <c r="AH436" s="751"/>
      <c r="AI436" s="751"/>
      <c r="AJ436" s="751"/>
      <c r="AK436" s="751"/>
      <c r="AL436" s="751"/>
      <c r="AM436" s="751"/>
      <c r="AN436" s="751"/>
      <c r="AO436" s="751"/>
      <c r="AP436" s="751"/>
      <c r="AQ436" s="751"/>
      <c r="AR436" s="752"/>
      <c r="AS436" s="752"/>
      <c r="AT436" s="752"/>
      <c r="AU436" s="752"/>
      <c r="AV436" s="752"/>
      <c r="AW436" s="752"/>
      <c r="AX436" s="752"/>
      <c r="AY436" s="753"/>
      <c r="AZ436" s="770"/>
    </row>
    <row r="437" spans="1:52" s="812" customFormat="1" ht="12.9" customHeight="1">
      <c r="B437" s="901" t="s">
        <v>4018</v>
      </c>
      <c r="C437" s="900"/>
      <c r="D437" s="901"/>
      <c r="E437" s="902"/>
      <c r="F437" s="901"/>
      <c r="G437" s="903"/>
      <c r="H437" s="903"/>
      <c r="I437" s="903"/>
      <c r="J437" s="903"/>
      <c r="K437" s="903"/>
      <c r="L437" s="903"/>
      <c r="M437" s="903"/>
      <c r="N437" s="903"/>
      <c r="O437" s="903"/>
      <c r="P437" s="903"/>
      <c r="Q437" s="903"/>
      <c r="R437" s="903"/>
      <c r="S437" s="903"/>
      <c r="T437" s="903"/>
      <c r="U437" s="903"/>
      <c r="V437" s="903"/>
      <c r="W437" s="903"/>
      <c r="X437" s="903"/>
      <c r="Y437" s="903"/>
      <c r="Z437" s="903"/>
      <c r="AA437" s="903"/>
      <c r="AB437" s="903"/>
      <c r="AC437" s="903"/>
      <c r="AD437" s="904"/>
      <c r="AE437" s="750"/>
      <c r="AF437" s="751"/>
      <c r="AG437" s="751"/>
      <c r="AH437" s="751"/>
      <c r="AI437" s="751"/>
      <c r="AJ437" s="751"/>
      <c r="AK437" s="751"/>
      <c r="AL437" s="751"/>
      <c r="AM437" s="751"/>
      <c r="AN437" s="751"/>
      <c r="AO437" s="751"/>
      <c r="AP437" s="751"/>
      <c r="AQ437" s="751"/>
      <c r="AR437" s="752"/>
      <c r="AS437" s="752"/>
      <c r="AT437" s="752"/>
      <c r="AU437" s="752"/>
      <c r="AV437" s="752"/>
      <c r="AW437" s="752"/>
      <c r="AX437" s="752"/>
      <c r="AY437" s="753"/>
      <c r="AZ437" s="770"/>
    </row>
    <row r="438" spans="1:52" s="753" customFormat="1" ht="12" customHeight="1">
      <c r="B438" s="810"/>
      <c r="C438" s="797"/>
      <c r="E438" s="809"/>
      <c r="G438" s="817"/>
      <c r="H438" s="817"/>
      <c r="I438" s="817"/>
      <c r="J438" s="817"/>
      <c r="K438" s="817"/>
      <c r="L438" s="817"/>
      <c r="M438" s="817"/>
      <c r="N438" s="817"/>
      <c r="AE438" s="750"/>
      <c r="AF438" s="751"/>
      <c r="AG438" s="751"/>
      <c r="AH438" s="751"/>
      <c r="AI438" s="751"/>
      <c r="AJ438" s="751"/>
      <c r="AK438" s="751"/>
      <c r="AL438" s="751"/>
      <c r="AM438" s="751"/>
      <c r="AN438" s="751"/>
      <c r="AO438" s="751"/>
      <c r="AP438" s="751"/>
      <c r="AQ438" s="751"/>
      <c r="AR438" s="751"/>
      <c r="AS438" s="751"/>
      <c r="AT438" s="751"/>
      <c r="AU438" s="751"/>
      <c r="AV438" s="751"/>
      <c r="AW438" s="751"/>
      <c r="AX438" s="752"/>
    </row>
    <row r="439" spans="1:52" s="753" customFormat="1" ht="12" customHeight="1">
      <c r="B439" s="810"/>
      <c r="C439" s="797"/>
      <c r="E439" s="809"/>
      <c r="G439" s="817"/>
      <c r="H439" s="817"/>
      <c r="I439" s="817"/>
      <c r="J439" s="817"/>
      <c r="K439" s="817"/>
      <c r="L439" s="817"/>
      <c r="M439" s="817"/>
      <c r="N439" s="817"/>
      <c r="AE439" s="750"/>
      <c r="AF439" s="751"/>
      <c r="AG439" s="751"/>
      <c r="AH439" s="751"/>
      <c r="AI439" s="751"/>
      <c r="AJ439" s="751"/>
      <c r="AK439" s="751"/>
      <c r="AL439" s="751"/>
      <c r="AM439" s="751"/>
      <c r="AN439" s="751"/>
      <c r="AO439" s="751"/>
      <c r="AP439" s="751"/>
      <c r="AQ439" s="751"/>
      <c r="AR439" s="751"/>
      <c r="AS439" s="751"/>
      <c r="AT439" s="751"/>
      <c r="AU439" s="751"/>
      <c r="AV439" s="751"/>
      <c r="AW439" s="751"/>
      <c r="AX439" s="752"/>
    </row>
    <row r="440" spans="1:52" s="753" customFormat="1" ht="12" customHeight="1">
      <c r="B440" s="810"/>
      <c r="C440" s="797"/>
      <c r="E440" s="809"/>
      <c r="G440" s="817"/>
      <c r="H440" s="817"/>
      <c r="I440" s="817"/>
      <c r="J440" s="817"/>
      <c r="K440" s="817"/>
      <c r="L440" s="817"/>
      <c r="M440" s="817"/>
      <c r="N440" s="817"/>
      <c r="AE440" s="750"/>
      <c r="AF440" s="751"/>
      <c r="AG440" s="751"/>
      <c r="AH440" s="751"/>
      <c r="AI440" s="751"/>
      <c r="AJ440" s="751"/>
      <c r="AK440" s="751"/>
      <c r="AL440" s="751"/>
      <c r="AM440" s="751"/>
      <c r="AN440" s="751"/>
      <c r="AO440" s="751"/>
      <c r="AP440" s="751"/>
      <c r="AQ440" s="751"/>
      <c r="AR440" s="751"/>
      <c r="AS440" s="751"/>
      <c r="AT440" s="751"/>
      <c r="AU440" s="751"/>
      <c r="AV440" s="751"/>
      <c r="AW440" s="751"/>
      <c r="AX440" s="752"/>
    </row>
    <row r="441" spans="1:52" s="753" customFormat="1" ht="12" customHeight="1">
      <c r="B441" s="810"/>
      <c r="C441" s="797"/>
      <c r="E441" s="809"/>
      <c r="G441" s="817"/>
      <c r="H441" s="817"/>
      <c r="I441" s="817"/>
      <c r="J441" s="817"/>
      <c r="K441" s="817"/>
      <c r="L441" s="817"/>
      <c r="M441" s="817"/>
      <c r="N441" s="817"/>
      <c r="AE441" s="750"/>
      <c r="AF441" s="751"/>
      <c r="AG441" s="751"/>
      <c r="AH441" s="751"/>
      <c r="AI441" s="751"/>
      <c r="AJ441" s="751"/>
      <c r="AK441" s="751"/>
      <c r="AL441" s="751"/>
      <c r="AM441" s="751"/>
      <c r="AN441" s="751"/>
      <c r="AO441" s="751"/>
      <c r="AP441" s="751"/>
      <c r="AQ441" s="751"/>
      <c r="AR441" s="751"/>
      <c r="AS441" s="751"/>
      <c r="AT441" s="751"/>
      <c r="AU441" s="751"/>
      <c r="AV441" s="751"/>
      <c r="AW441" s="751"/>
      <c r="AX441" s="752"/>
    </row>
    <row r="442" spans="1:52" s="753" customFormat="1" ht="12" customHeight="1">
      <c r="B442" s="810"/>
      <c r="C442" s="797"/>
      <c r="E442" s="809"/>
      <c r="G442" s="817"/>
      <c r="H442" s="817"/>
      <c r="I442" s="817"/>
      <c r="J442" s="817"/>
      <c r="K442" s="817"/>
      <c r="L442" s="817"/>
      <c r="M442" s="817"/>
      <c r="N442" s="817"/>
      <c r="AE442" s="750"/>
      <c r="AF442" s="751"/>
      <c r="AG442" s="751"/>
      <c r="AH442" s="751"/>
      <c r="AI442" s="751"/>
      <c r="AJ442" s="751"/>
      <c r="AK442" s="751"/>
      <c r="AL442" s="751"/>
      <c r="AM442" s="751"/>
      <c r="AN442" s="751"/>
      <c r="AO442" s="751"/>
      <c r="AP442" s="751"/>
      <c r="AQ442" s="751"/>
      <c r="AR442" s="751"/>
      <c r="AS442" s="751"/>
      <c r="AT442" s="751"/>
      <c r="AU442" s="751"/>
      <c r="AV442" s="751"/>
      <c r="AW442" s="751"/>
      <c r="AX442" s="752"/>
    </row>
    <row r="443" spans="1:52" s="753" customFormat="1" ht="12" customHeight="1">
      <c r="B443" s="810"/>
      <c r="C443" s="797"/>
      <c r="E443" s="809"/>
      <c r="G443" s="817"/>
      <c r="H443" s="817"/>
      <c r="I443" s="817"/>
      <c r="J443" s="817"/>
      <c r="K443" s="817"/>
      <c r="L443" s="817"/>
      <c r="M443" s="817"/>
      <c r="N443" s="817"/>
      <c r="AE443" s="750"/>
      <c r="AF443" s="751"/>
      <c r="AG443" s="751"/>
      <c r="AH443" s="751"/>
      <c r="AI443" s="751"/>
      <c r="AJ443" s="751"/>
      <c r="AK443" s="751"/>
      <c r="AL443" s="751"/>
      <c r="AM443" s="751"/>
      <c r="AN443" s="751"/>
      <c r="AO443" s="751"/>
      <c r="AP443" s="751"/>
      <c r="AQ443" s="751"/>
      <c r="AR443" s="751"/>
      <c r="AS443" s="751"/>
      <c r="AT443" s="751"/>
      <c r="AU443" s="751"/>
      <c r="AV443" s="751"/>
      <c r="AW443" s="751"/>
      <c r="AX443" s="752"/>
    </row>
    <row r="444" spans="1:52" s="753" customFormat="1" ht="12" customHeight="1">
      <c r="B444" s="810"/>
      <c r="C444" s="797"/>
      <c r="E444" s="809"/>
      <c r="G444" s="817"/>
      <c r="H444" s="817"/>
      <c r="I444" s="817"/>
      <c r="J444" s="817"/>
      <c r="K444" s="817"/>
      <c r="L444" s="817"/>
      <c r="M444" s="817"/>
      <c r="N444" s="817"/>
      <c r="AE444" s="750"/>
      <c r="AF444" s="751"/>
      <c r="AG444" s="751"/>
      <c r="AH444" s="751"/>
      <c r="AI444" s="751"/>
      <c r="AJ444" s="751"/>
      <c r="AK444" s="751"/>
      <c r="AL444" s="751"/>
      <c r="AM444" s="751"/>
      <c r="AN444" s="751"/>
      <c r="AO444" s="751"/>
      <c r="AP444" s="751"/>
      <c r="AQ444" s="751"/>
      <c r="AR444" s="751"/>
      <c r="AS444" s="751"/>
      <c r="AT444" s="751"/>
      <c r="AU444" s="751"/>
      <c r="AV444" s="751"/>
      <c r="AW444" s="751"/>
      <c r="AX444" s="752"/>
    </row>
    <row r="445" spans="1:52" s="753" customFormat="1" ht="12" customHeight="1">
      <c r="B445" s="810"/>
      <c r="C445" s="797"/>
      <c r="E445" s="809"/>
      <c r="G445" s="817"/>
      <c r="H445" s="817"/>
      <c r="I445" s="817"/>
      <c r="J445" s="817"/>
      <c r="K445" s="817"/>
      <c r="L445" s="817"/>
      <c r="M445" s="817"/>
      <c r="N445" s="817"/>
      <c r="AE445" s="750"/>
      <c r="AF445" s="751"/>
      <c r="AG445" s="751"/>
      <c r="AH445" s="751"/>
      <c r="AI445" s="751"/>
      <c r="AJ445" s="751"/>
      <c r="AK445" s="751"/>
      <c r="AL445" s="751"/>
      <c r="AM445" s="751"/>
      <c r="AN445" s="751"/>
      <c r="AO445" s="751"/>
      <c r="AP445" s="751"/>
      <c r="AQ445" s="751"/>
      <c r="AR445" s="751"/>
      <c r="AS445" s="751"/>
      <c r="AT445" s="751"/>
      <c r="AU445" s="751"/>
      <c r="AV445" s="751"/>
      <c r="AW445" s="751"/>
      <c r="AX445" s="752"/>
    </row>
    <row r="446" spans="1:52" s="753" customFormat="1" ht="12" customHeight="1">
      <c r="B446" s="810"/>
      <c r="C446" s="797"/>
      <c r="E446" s="809"/>
      <c r="G446" s="817"/>
      <c r="H446" s="817"/>
      <c r="I446" s="817"/>
      <c r="J446" s="817"/>
      <c r="K446" s="817"/>
      <c r="L446" s="817"/>
      <c r="M446" s="817"/>
      <c r="N446" s="817"/>
      <c r="AE446" s="750"/>
      <c r="AF446" s="751"/>
      <c r="AG446" s="751"/>
      <c r="AH446" s="751"/>
      <c r="AI446" s="751"/>
      <c r="AJ446" s="751"/>
      <c r="AK446" s="751"/>
      <c r="AL446" s="751"/>
      <c r="AM446" s="751"/>
      <c r="AN446" s="751"/>
      <c r="AO446" s="751"/>
      <c r="AP446" s="751"/>
      <c r="AQ446" s="751"/>
      <c r="AR446" s="751"/>
      <c r="AS446" s="751"/>
      <c r="AT446" s="751"/>
      <c r="AU446" s="751"/>
      <c r="AV446" s="751"/>
      <c r="AW446" s="751"/>
      <c r="AX446" s="752"/>
    </row>
    <row r="447" spans="1:52" s="753" customFormat="1" ht="12" customHeight="1">
      <c r="B447" s="810"/>
      <c r="C447" s="797"/>
      <c r="E447" s="809"/>
      <c r="G447" s="817"/>
      <c r="H447" s="817"/>
      <c r="I447" s="817"/>
      <c r="J447" s="817"/>
      <c r="K447" s="817"/>
      <c r="L447" s="817"/>
      <c r="M447" s="817"/>
      <c r="N447" s="817"/>
      <c r="AE447" s="750"/>
      <c r="AF447" s="751"/>
      <c r="AG447" s="751"/>
      <c r="AH447" s="751"/>
      <c r="AI447" s="751"/>
      <c r="AJ447" s="751"/>
      <c r="AK447" s="751"/>
      <c r="AL447" s="751"/>
      <c r="AM447" s="751"/>
      <c r="AN447" s="751"/>
      <c r="AO447" s="751"/>
      <c r="AP447" s="751"/>
      <c r="AQ447" s="751"/>
      <c r="AR447" s="751"/>
      <c r="AS447" s="751"/>
      <c r="AT447" s="751"/>
      <c r="AU447" s="751"/>
      <c r="AV447" s="751"/>
      <c r="AW447" s="751"/>
      <c r="AX447" s="752"/>
    </row>
    <row r="448" spans="1:52" s="753" customFormat="1" ht="12" customHeight="1">
      <c r="B448" s="810"/>
      <c r="C448" s="797"/>
      <c r="E448" s="809"/>
      <c r="G448" s="817"/>
      <c r="H448" s="817"/>
      <c r="I448" s="817"/>
      <c r="J448" s="817"/>
      <c r="K448" s="817"/>
      <c r="L448" s="817"/>
      <c r="M448" s="817"/>
      <c r="N448" s="817"/>
      <c r="AE448" s="750"/>
      <c r="AF448" s="751"/>
      <c r="AG448" s="751"/>
      <c r="AH448" s="751"/>
      <c r="AI448" s="751"/>
      <c r="AJ448" s="751"/>
      <c r="AK448" s="751"/>
      <c r="AL448" s="751"/>
      <c r="AM448" s="751"/>
      <c r="AN448" s="751"/>
      <c r="AO448" s="751"/>
      <c r="AP448" s="751"/>
      <c r="AQ448" s="751"/>
      <c r="AR448" s="751"/>
      <c r="AS448" s="751"/>
      <c r="AT448" s="751"/>
      <c r="AU448" s="751"/>
      <c r="AV448" s="751"/>
      <c r="AW448" s="751"/>
      <c r="AX448" s="752"/>
    </row>
    <row r="449" spans="2:50" s="753" customFormat="1" ht="12" customHeight="1">
      <c r="B449" s="810"/>
      <c r="C449" s="797"/>
      <c r="E449" s="809"/>
      <c r="G449" s="817"/>
      <c r="H449" s="817"/>
      <c r="I449" s="817"/>
      <c r="J449" s="817"/>
      <c r="K449" s="817"/>
      <c r="L449" s="817"/>
      <c r="M449" s="817"/>
      <c r="N449" s="817"/>
      <c r="AE449" s="750"/>
      <c r="AF449" s="751"/>
      <c r="AG449" s="751"/>
      <c r="AH449" s="751"/>
      <c r="AI449" s="751"/>
      <c r="AJ449" s="751"/>
      <c r="AK449" s="751"/>
      <c r="AL449" s="751"/>
      <c r="AM449" s="751"/>
      <c r="AN449" s="751"/>
      <c r="AO449" s="751"/>
      <c r="AP449" s="751"/>
      <c r="AQ449" s="751"/>
      <c r="AR449" s="751"/>
      <c r="AS449" s="751"/>
      <c r="AT449" s="751"/>
      <c r="AU449" s="751"/>
      <c r="AV449" s="751"/>
      <c r="AW449" s="751"/>
      <c r="AX449" s="752"/>
    </row>
    <row r="450" spans="2:50" s="753" customFormat="1" ht="12" customHeight="1">
      <c r="B450" s="810"/>
      <c r="C450" s="797"/>
      <c r="E450" s="809"/>
      <c r="G450" s="817"/>
      <c r="H450" s="817"/>
      <c r="I450" s="817"/>
      <c r="J450" s="817"/>
      <c r="K450" s="817"/>
      <c r="L450" s="817"/>
      <c r="M450" s="817"/>
      <c r="N450" s="817"/>
      <c r="AE450" s="750"/>
      <c r="AF450" s="751"/>
      <c r="AG450" s="751"/>
      <c r="AH450" s="751"/>
      <c r="AI450" s="751"/>
      <c r="AJ450" s="751"/>
      <c r="AK450" s="751"/>
      <c r="AL450" s="751"/>
      <c r="AM450" s="751"/>
      <c r="AN450" s="751"/>
      <c r="AO450" s="751"/>
      <c r="AP450" s="751"/>
      <c r="AQ450" s="751"/>
      <c r="AR450" s="751"/>
      <c r="AS450" s="751"/>
      <c r="AT450" s="751"/>
      <c r="AU450" s="751"/>
      <c r="AV450" s="751"/>
      <c r="AW450" s="751"/>
      <c r="AX450" s="752"/>
    </row>
    <row r="451" spans="2:50" s="753" customFormat="1" ht="12" customHeight="1">
      <c r="B451" s="810"/>
      <c r="C451" s="797"/>
      <c r="E451" s="809"/>
      <c r="G451" s="817"/>
      <c r="H451" s="817"/>
      <c r="I451" s="817"/>
      <c r="J451" s="817"/>
      <c r="K451" s="817"/>
      <c r="L451" s="817"/>
      <c r="M451" s="817"/>
      <c r="N451" s="817"/>
      <c r="AE451" s="750"/>
      <c r="AF451" s="751"/>
      <c r="AG451" s="751"/>
      <c r="AH451" s="751"/>
      <c r="AI451" s="751"/>
      <c r="AJ451" s="751"/>
      <c r="AK451" s="751"/>
      <c r="AL451" s="751"/>
      <c r="AM451" s="751"/>
      <c r="AN451" s="751"/>
      <c r="AO451" s="751"/>
      <c r="AP451" s="751"/>
      <c r="AQ451" s="751"/>
      <c r="AR451" s="751"/>
      <c r="AS451" s="751"/>
      <c r="AT451" s="751"/>
      <c r="AU451" s="751"/>
      <c r="AV451" s="751"/>
      <c r="AW451" s="751"/>
      <c r="AX451" s="752"/>
    </row>
    <row r="452" spans="2:50" s="753" customFormat="1" ht="12" customHeight="1">
      <c r="B452" s="810"/>
      <c r="C452" s="797"/>
      <c r="E452" s="809"/>
      <c r="G452" s="817"/>
      <c r="H452" s="817"/>
      <c r="I452" s="817"/>
      <c r="J452" s="817"/>
      <c r="K452" s="817"/>
      <c r="L452" s="817"/>
      <c r="M452" s="817"/>
      <c r="N452" s="817"/>
      <c r="AE452" s="750"/>
      <c r="AF452" s="751"/>
      <c r="AG452" s="751"/>
      <c r="AH452" s="751"/>
      <c r="AI452" s="751"/>
      <c r="AJ452" s="751"/>
      <c r="AK452" s="751"/>
      <c r="AL452" s="751"/>
      <c r="AM452" s="751"/>
      <c r="AN452" s="751"/>
      <c r="AO452" s="751"/>
      <c r="AP452" s="751"/>
      <c r="AQ452" s="751"/>
      <c r="AR452" s="751"/>
      <c r="AS452" s="751"/>
      <c r="AT452" s="751"/>
      <c r="AU452" s="751"/>
      <c r="AV452" s="751"/>
      <c r="AW452" s="751"/>
      <c r="AX452" s="752"/>
    </row>
    <row r="453" spans="2:50" s="753" customFormat="1" ht="12" customHeight="1">
      <c r="B453" s="810"/>
      <c r="C453" s="797"/>
      <c r="E453" s="809"/>
      <c r="G453" s="817"/>
      <c r="H453" s="817"/>
      <c r="I453" s="817"/>
      <c r="J453" s="817"/>
      <c r="K453" s="817"/>
      <c r="L453" s="817"/>
      <c r="M453" s="817"/>
      <c r="N453" s="817"/>
      <c r="AE453" s="750"/>
      <c r="AF453" s="751"/>
      <c r="AG453" s="751"/>
      <c r="AH453" s="751"/>
      <c r="AI453" s="751"/>
      <c r="AJ453" s="751"/>
      <c r="AK453" s="751"/>
      <c r="AL453" s="751"/>
      <c r="AM453" s="751"/>
      <c r="AN453" s="751"/>
      <c r="AO453" s="751"/>
      <c r="AP453" s="751"/>
      <c r="AQ453" s="751"/>
      <c r="AR453" s="751"/>
      <c r="AS453" s="751"/>
      <c r="AT453" s="751"/>
      <c r="AU453" s="751"/>
      <c r="AV453" s="751"/>
      <c r="AW453" s="751"/>
      <c r="AX453" s="752"/>
    </row>
    <row r="454" spans="2:50" s="753" customFormat="1" ht="12" customHeight="1">
      <c r="B454" s="810"/>
      <c r="C454" s="797"/>
      <c r="E454" s="809"/>
      <c r="G454" s="817"/>
      <c r="H454" s="817"/>
      <c r="I454" s="817"/>
      <c r="J454" s="817"/>
      <c r="K454" s="817"/>
      <c r="L454" s="817"/>
      <c r="M454" s="817"/>
      <c r="N454" s="817"/>
      <c r="AE454" s="750"/>
      <c r="AF454" s="751"/>
      <c r="AG454" s="751"/>
      <c r="AH454" s="751"/>
      <c r="AI454" s="751"/>
      <c r="AJ454" s="751"/>
      <c r="AK454" s="751"/>
      <c r="AL454" s="751"/>
      <c r="AM454" s="751"/>
      <c r="AN454" s="751"/>
      <c r="AO454" s="751"/>
      <c r="AP454" s="751"/>
      <c r="AQ454" s="751"/>
      <c r="AR454" s="751"/>
      <c r="AS454" s="751"/>
      <c r="AT454" s="751"/>
      <c r="AU454" s="751"/>
      <c r="AV454" s="751"/>
      <c r="AW454" s="751"/>
      <c r="AX454" s="752"/>
    </row>
    <row r="455" spans="2:50" s="753" customFormat="1" ht="12" customHeight="1">
      <c r="B455" s="810"/>
      <c r="C455" s="797"/>
      <c r="E455" s="809"/>
      <c r="G455" s="817"/>
      <c r="H455" s="817"/>
      <c r="I455" s="817"/>
      <c r="J455" s="817"/>
      <c r="K455" s="817"/>
      <c r="L455" s="817"/>
      <c r="M455" s="817"/>
      <c r="N455" s="817"/>
      <c r="AE455" s="750"/>
      <c r="AF455" s="751"/>
      <c r="AG455" s="751"/>
      <c r="AH455" s="751"/>
      <c r="AI455" s="751"/>
      <c r="AJ455" s="751"/>
      <c r="AK455" s="751"/>
      <c r="AL455" s="751"/>
      <c r="AM455" s="751"/>
      <c r="AN455" s="751"/>
      <c r="AO455" s="751"/>
      <c r="AP455" s="751"/>
      <c r="AQ455" s="751"/>
      <c r="AR455" s="751"/>
      <c r="AS455" s="751"/>
      <c r="AT455" s="751"/>
      <c r="AU455" s="751"/>
      <c r="AV455" s="751"/>
      <c r="AW455" s="751"/>
      <c r="AX455" s="752"/>
    </row>
    <row r="456" spans="2:50" s="753" customFormat="1" ht="12" customHeight="1">
      <c r="B456" s="810"/>
      <c r="C456" s="797"/>
      <c r="E456" s="809"/>
      <c r="G456" s="817"/>
      <c r="H456" s="817"/>
      <c r="I456" s="817"/>
      <c r="J456" s="817"/>
      <c r="K456" s="817"/>
      <c r="L456" s="817"/>
      <c r="M456" s="817"/>
      <c r="N456" s="817"/>
      <c r="AE456" s="750"/>
      <c r="AF456" s="751"/>
      <c r="AG456" s="751"/>
      <c r="AH456" s="751"/>
      <c r="AI456" s="751"/>
      <c r="AJ456" s="751"/>
      <c r="AK456" s="751"/>
      <c r="AL456" s="751"/>
      <c r="AM456" s="751"/>
      <c r="AN456" s="751"/>
      <c r="AO456" s="751"/>
      <c r="AP456" s="751"/>
      <c r="AQ456" s="751"/>
      <c r="AR456" s="751"/>
      <c r="AS456" s="751"/>
      <c r="AT456" s="751"/>
      <c r="AU456" s="751"/>
      <c r="AV456" s="751"/>
      <c r="AW456" s="751"/>
      <c r="AX456" s="752"/>
    </row>
    <row r="457" spans="2:50" s="753" customFormat="1" ht="12" customHeight="1">
      <c r="B457" s="810"/>
      <c r="C457" s="797"/>
      <c r="E457" s="809"/>
      <c r="G457" s="817"/>
      <c r="H457" s="817"/>
      <c r="I457" s="817"/>
      <c r="J457" s="817"/>
      <c r="K457" s="817"/>
      <c r="L457" s="817"/>
      <c r="M457" s="817"/>
      <c r="N457" s="817"/>
      <c r="AE457" s="750"/>
      <c r="AF457" s="751"/>
      <c r="AG457" s="751"/>
      <c r="AH457" s="751"/>
      <c r="AI457" s="751"/>
      <c r="AJ457" s="751"/>
      <c r="AK457" s="751"/>
      <c r="AL457" s="751"/>
      <c r="AM457" s="751"/>
      <c r="AN457" s="751"/>
      <c r="AO457" s="751"/>
      <c r="AP457" s="751"/>
      <c r="AQ457" s="751"/>
      <c r="AR457" s="751"/>
      <c r="AS457" s="751"/>
      <c r="AT457" s="751"/>
      <c r="AU457" s="751"/>
      <c r="AV457" s="751"/>
      <c r="AW457" s="751"/>
      <c r="AX457" s="752"/>
    </row>
    <row r="458" spans="2:50" s="753" customFormat="1" ht="12" customHeight="1">
      <c r="B458" s="810"/>
      <c r="C458" s="797"/>
      <c r="E458" s="809"/>
      <c r="G458" s="817"/>
      <c r="H458" s="817"/>
      <c r="I458" s="817"/>
      <c r="J458" s="817"/>
      <c r="K458" s="817"/>
      <c r="L458" s="817"/>
      <c r="M458" s="817"/>
      <c r="N458" s="817"/>
      <c r="AE458" s="750"/>
      <c r="AF458" s="751"/>
      <c r="AG458" s="751"/>
      <c r="AH458" s="751"/>
      <c r="AI458" s="751"/>
      <c r="AJ458" s="751"/>
      <c r="AK458" s="751"/>
      <c r="AL458" s="751"/>
      <c r="AM458" s="751"/>
      <c r="AN458" s="751"/>
      <c r="AO458" s="751"/>
      <c r="AP458" s="751"/>
      <c r="AQ458" s="751"/>
      <c r="AR458" s="751"/>
      <c r="AS458" s="751"/>
      <c r="AT458" s="751"/>
      <c r="AU458" s="751"/>
      <c r="AV458" s="751"/>
      <c r="AW458" s="751"/>
      <c r="AX458" s="752"/>
    </row>
    <row r="459" spans="2:50" s="753" customFormat="1" ht="12" customHeight="1">
      <c r="B459" s="810"/>
      <c r="C459" s="797"/>
      <c r="E459" s="809"/>
      <c r="G459" s="817"/>
      <c r="H459" s="817"/>
      <c r="I459" s="817"/>
      <c r="J459" s="817"/>
      <c r="K459" s="817"/>
      <c r="L459" s="817"/>
      <c r="M459" s="817"/>
      <c r="N459" s="817"/>
      <c r="AE459" s="750"/>
      <c r="AF459" s="751"/>
      <c r="AG459" s="751"/>
      <c r="AH459" s="751"/>
      <c r="AI459" s="751"/>
      <c r="AJ459" s="751"/>
      <c r="AK459" s="751"/>
      <c r="AL459" s="751"/>
      <c r="AM459" s="751"/>
      <c r="AN459" s="751"/>
      <c r="AO459" s="751"/>
      <c r="AP459" s="751"/>
      <c r="AQ459" s="751"/>
      <c r="AR459" s="751"/>
      <c r="AS459" s="751"/>
      <c r="AT459" s="751"/>
      <c r="AU459" s="751"/>
      <c r="AV459" s="751"/>
      <c r="AW459" s="751"/>
      <c r="AX459" s="752"/>
    </row>
    <row r="460" spans="2:50" s="753" customFormat="1" ht="12" customHeight="1">
      <c r="B460" s="810"/>
      <c r="C460" s="797"/>
      <c r="E460" s="809"/>
      <c r="G460" s="817"/>
      <c r="H460" s="817"/>
      <c r="I460" s="817"/>
      <c r="J460" s="817"/>
      <c r="K460" s="817"/>
      <c r="L460" s="817"/>
      <c r="M460" s="817"/>
      <c r="N460" s="817"/>
      <c r="AE460" s="750"/>
      <c r="AF460" s="751"/>
      <c r="AG460" s="751"/>
      <c r="AH460" s="751"/>
      <c r="AI460" s="751"/>
      <c r="AJ460" s="751"/>
      <c r="AK460" s="751"/>
      <c r="AL460" s="751"/>
      <c r="AM460" s="751"/>
      <c r="AN460" s="751"/>
      <c r="AO460" s="751"/>
      <c r="AP460" s="751"/>
      <c r="AQ460" s="751"/>
      <c r="AR460" s="751"/>
      <c r="AS460" s="751"/>
      <c r="AT460" s="751"/>
      <c r="AU460" s="751"/>
      <c r="AV460" s="751"/>
      <c r="AW460" s="751"/>
      <c r="AX460" s="752"/>
    </row>
    <row r="461" spans="2:50" s="753" customFormat="1" ht="12" customHeight="1">
      <c r="B461" s="810"/>
      <c r="C461" s="797"/>
      <c r="E461" s="809"/>
      <c r="G461" s="817"/>
      <c r="H461" s="817"/>
      <c r="I461" s="817"/>
      <c r="J461" s="817"/>
      <c r="K461" s="817"/>
      <c r="L461" s="817"/>
      <c r="M461" s="817"/>
      <c r="N461" s="817"/>
      <c r="AE461" s="750"/>
      <c r="AF461" s="751"/>
      <c r="AG461" s="751"/>
      <c r="AH461" s="751"/>
      <c r="AI461" s="751"/>
      <c r="AJ461" s="751"/>
      <c r="AK461" s="751"/>
      <c r="AL461" s="751"/>
      <c r="AM461" s="751"/>
      <c r="AN461" s="751"/>
      <c r="AO461" s="751"/>
      <c r="AP461" s="751"/>
      <c r="AQ461" s="751"/>
      <c r="AR461" s="751"/>
      <c r="AS461" s="751"/>
      <c r="AT461" s="751"/>
      <c r="AU461" s="751"/>
      <c r="AV461" s="751"/>
      <c r="AW461" s="751"/>
      <c r="AX461" s="752"/>
    </row>
    <row r="462" spans="2:50" s="753" customFormat="1" ht="12" customHeight="1">
      <c r="B462" s="810"/>
      <c r="C462" s="797"/>
      <c r="E462" s="809"/>
      <c r="G462" s="817"/>
      <c r="H462" s="817"/>
      <c r="I462" s="817"/>
      <c r="J462" s="817"/>
      <c r="K462" s="817"/>
      <c r="L462" s="817"/>
      <c r="M462" s="817"/>
      <c r="N462" s="817"/>
      <c r="AE462" s="750"/>
      <c r="AF462" s="751"/>
      <c r="AG462" s="751"/>
      <c r="AH462" s="751"/>
      <c r="AI462" s="751"/>
      <c r="AJ462" s="751"/>
      <c r="AK462" s="751"/>
      <c r="AL462" s="751"/>
      <c r="AM462" s="751"/>
      <c r="AN462" s="751"/>
      <c r="AO462" s="751"/>
      <c r="AP462" s="751"/>
      <c r="AQ462" s="751"/>
      <c r="AR462" s="751"/>
      <c r="AS462" s="751"/>
      <c r="AT462" s="751"/>
      <c r="AU462" s="751"/>
      <c r="AV462" s="751"/>
      <c r="AW462" s="751"/>
      <c r="AX462" s="752"/>
    </row>
    <row r="463" spans="2:50" s="753" customFormat="1" ht="12" customHeight="1">
      <c r="B463" s="810"/>
      <c r="C463" s="797"/>
      <c r="E463" s="809"/>
      <c r="G463" s="817"/>
      <c r="H463" s="817"/>
      <c r="I463" s="817"/>
      <c r="J463" s="817"/>
      <c r="K463" s="817"/>
      <c r="L463" s="817"/>
      <c r="M463" s="817"/>
      <c r="N463" s="817"/>
      <c r="AE463" s="750"/>
      <c r="AF463" s="751"/>
      <c r="AG463" s="751"/>
      <c r="AH463" s="751"/>
      <c r="AI463" s="751"/>
      <c r="AJ463" s="751"/>
      <c r="AK463" s="751"/>
      <c r="AL463" s="751"/>
      <c r="AM463" s="751"/>
      <c r="AN463" s="751"/>
      <c r="AO463" s="751"/>
      <c r="AP463" s="751"/>
      <c r="AQ463" s="751"/>
      <c r="AR463" s="751"/>
      <c r="AS463" s="751"/>
      <c r="AT463" s="751"/>
      <c r="AU463" s="751"/>
      <c r="AV463" s="751"/>
      <c r="AW463" s="751"/>
      <c r="AX463" s="752"/>
    </row>
    <row r="464" spans="2:50" s="753" customFormat="1" ht="12" customHeight="1">
      <c r="B464" s="810"/>
      <c r="C464" s="797"/>
      <c r="E464" s="809"/>
      <c r="G464" s="817"/>
      <c r="H464" s="817"/>
      <c r="I464" s="817"/>
      <c r="J464" s="817"/>
      <c r="K464" s="817"/>
      <c r="L464" s="817"/>
      <c r="M464" s="817"/>
      <c r="N464" s="817"/>
      <c r="AE464" s="750"/>
      <c r="AF464" s="751"/>
      <c r="AG464" s="751"/>
      <c r="AH464" s="751"/>
      <c r="AI464" s="751"/>
      <c r="AJ464" s="751"/>
      <c r="AK464" s="751"/>
      <c r="AL464" s="751"/>
      <c r="AM464" s="751"/>
      <c r="AN464" s="751"/>
      <c r="AO464" s="751"/>
      <c r="AP464" s="751"/>
      <c r="AQ464" s="751"/>
      <c r="AR464" s="751"/>
      <c r="AS464" s="751"/>
      <c r="AT464" s="751"/>
      <c r="AU464" s="751"/>
      <c r="AV464" s="751"/>
      <c r="AW464" s="751"/>
      <c r="AX464" s="752"/>
    </row>
    <row r="465" spans="1:52" s="753" customFormat="1" ht="12" customHeight="1">
      <c r="B465" s="810"/>
      <c r="C465" s="797"/>
      <c r="E465" s="809"/>
      <c r="G465" s="817"/>
      <c r="H465" s="817"/>
      <c r="I465" s="817"/>
      <c r="J465" s="817"/>
      <c r="K465" s="817"/>
      <c r="L465" s="817"/>
      <c r="M465" s="817"/>
      <c r="N465" s="817"/>
      <c r="AE465" s="750"/>
      <c r="AF465" s="751"/>
      <c r="AG465" s="751"/>
      <c r="AH465" s="751"/>
      <c r="AI465" s="751"/>
      <c r="AJ465" s="751"/>
      <c r="AK465" s="751"/>
      <c r="AL465" s="751"/>
      <c r="AM465" s="751"/>
      <c r="AN465" s="751"/>
      <c r="AO465" s="751"/>
      <c r="AP465" s="751"/>
      <c r="AQ465" s="751"/>
      <c r="AR465" s="751"/>
      <c r="AS465" s="751"/>
      <c r="AT465" s="751"/>
      <c r="AU465" s="751"/>
      <c r="AV465" s="751"/>
      <c r="AW465" s="751"/>
      <c r="AX465" s="752"/>
    </row>
    <row r="466" spans="1:52" s="753" customFormat="1" ht="12" customHeight="1">
      <c r="B466" s="810"/>
      <c r="C466" s="797"/>
      <c r="E466" s="809"/>
      <c r="G466" s="817"/>
      <c r="H466" s="817"/>
      <c r="I466" s="817"/>
      <c r="J466" s="817"/>
      <c r="K466" s="817"/>
      <c r="L466" s="817"/>
      <c r="M466" s="817"/>
      <c r="N466" s="817"/>
      <c r="AE466" s="750"/>
      <c r="AF466" s="751"/>
      <c r="AG466" s="751"/>
      <c r="AH466" s="751"/>
      <c r="AI466" s="751"/>
      <c r="AJ466" s="751"/>
      <c r="AK466" s="751"/>
      <c r="AL466" s="751"/>
      <c r="AM466" s="751"/>
      <c r="AN466" s="751"/>
      <c r="AO466" s="751"/>
      <c r="AP466" s="751"/>
      <c r="AQ466" s="751"/>
      <c r="AR466" s="751"/>
      <c r="AS466" s="751"/>
      <c r="AT466" s="751"/>
      <c r="AU466" s="751"/>
      <c r="AV466" s="751"/>
      <c r="AW466" s="751"/>
      <c r="AX466" s="752"/>
    </row>
    <row r="467" spans="1:52" s="753" customFormat="1" ht="12" customHeight="1">
      <c r="B467" s="810"/>
      <c r="C467" s="797"/>
      <c r="E467" s="809"/>
      <c r="G467" s="817"/>
      <c r="H467" s="817"/>
      <c r="I467" s="817"/>
      <c r="J467" s="817"/>
      <c r="K467" s="817"/>
      <c r="L467" s="817"/>
      <c r="M467" s="817"/>
      <c r="N467" s="817"/>
      <c r="AE467" s="750"/>
      <c r="AF467" s="751"/>
      <c r="AG467" s="751"/>
      <c r="AH467" s="751"/>
      <c r="AI467" s="751"/>
      <c r="AJ467" s="751"/>
      <c r="AK467" s="751"/>
      <c r="AL467" s="751"/>
      <c r="AM467" s="751"/>
      <c r="AN467" s="751"/>
      <c r="AO467" s="751"/>
      <c r="AP467" s="751"/>
      <c r="AQ467" s="751"/>
      <c r="AR467" s="751"/>
      <c r="AS467" s="751"/>
      <c r="AT467" s="751"/>
      <c r="AU467" s="751"/>
      <c r="AV467" s="751"/>
      <c r="AW467" s="751"/>
      <c r="AX467" s="752"/>
    </row>
    <row r="468" spans="1:52" s="753" customFormat="1" ht="12" customHeight="1">
      <c r="B468" s="796" t="s">
        <v>4027</v>
      </c>
      <c r="C468" s="797"/>
      <c r="E468" s="798"/>
      <c r="F468" s="799"/>
      <c r="AE468" s="750"/>
      <c r="AF468" s="751"/>
      <c r="AG468" s="751"/>
      <c r="AH468" s="751"/>
      <c r="AI468" s="751"/>
      <c r="AJ468" s="751"/>
      <c r="AK468" s="751"/>
      <c r="AL468" s="751"/>
      <c r="AM468" s="751"/>
      <c r="AN468" s="751"/>
      <c r="AO468" s="751"/>
      <c r="AP468" s="751"/>
      <c r="AQ468" s="751"/>
      <c r="AR468" s="752"/>
      <c r="AS468" s="752"/>
      <c r="AT468" s="752"/>
      <c r="AU468" s="752"/>
      <c r="AV468" s="752"/>
      <c r="AW468" s="752"/>
      <c r="AX468" s="752"/>
    </row>
    <row r="469" spans="1:52" s="812" customFormat="1" ht="12.9" customHeight="1">
      <c r="B469" s="800" t="s">
        <v>4068</v>
      </c>
      <c r="C469" s="801"/>
      <c r="D469" s="863"/>
      <c r="E469" s="864"/>
      <c r="F469" s="863"/>
      <c r="G469" s="865"/>
      <c r="H469" s="865"/>
      <c r="I469" s="865"/>
      <c r="J469" s="865"/>
      <c r="K469" s="865"/>
      <c r="L469" s="865"/>
      <c r="M469" s="865"/>
      <c r="N469" s="865"/>
      <c r="O469" s="865"/>
      <c r="P469" s="865"/>
      <c r="Q469" s="865"/>
      <c r="R469" s="865"/>
      <c r="S469" s="865"/>
      <c r="T469" s="865"/>
      <c r="U469" s="865"/>
      <c r="V469" s="865"/>
      <c r="W469" s="865"/>
      <c r="X469" s="865"/>
      <c r="Y469" s="865"/>
      <c r="Z469" s="865"/>
      <c r="AA469" s="865"/>
      <c r="AB469" s="865"/>
      <c r="AC469" s="865"/>
      <c r="AD469" s="806" t="s">
        <v>584</v>
      </c>
      <c r="AE469" s="750"/>
      <c r="AF469" s="751"/>
      <c r="AG469" s="751"/>
      <c r="AH469" s="751"/>
      <c r="AI469" s="751"/>
      <c r="AJ469" s="751"/>
      <c r="AK469" s="751"/>
      <c r="AL469" s="751"/>
      <c r="AM469" s="751"/>
      <c r="AN469" s="751"/>
      <c r="AO469" s="751"/>
      <c r="AP469" s="751"/>
      <c r="AQ469" s="751"/>
      <c r="AR469" s="752"/>
      <c r="AS469" s="752"/>
      <c r="AT469" s="752"/>
      <c r="AU469" s="752"/>
      <c r="AV469" s="752"/>
      <c r="AW469" s="752"/>
      <c r="AX469" s="752"/>
      <c r="AY469" s="753"/>
      <c r="AZ469" s="770"/>
    </row>
    <row r="470" spans="1:52" s="812" customFormat="1" ht="12.9" customHeight="1">
      <c r="B470" s="866"/>
      <c r="C470" s="808">
        <v>20</v>
      </c>
      <c r="D470" s="753" t="s">
        <v>4058</v>
      </c>
      <c r="E470" s="828"/>
      <c r="F470" s="828"/>
      <c r="G470" s="809"/>
      <c r="H470" s="809"/>
      <c r="I470" s="809"/>
      <c r="J470" s="809"/>
      <c r="K470" s="809"/>
      <c r="L470" s="809"/>
      <c r="M470" s="809"/>
      <c r="N470" s="828"/>
      <c r="O470" s="828"/>
      <c r="P470" s="828"/>
      <c r="Q470" s="828"/>
      <c r="Z470" s="818"/>
      <c r="AE470" s="750"/>
      <c r="AF470" s="751"/>
      <c r="AG470" s="751"/>
      <c r="AH470" s="751"/>
      <c r="AI470" s="751"/>
      <c r="AJ470" s="751"/>
      <c r="AK470" s="751"/>
      <c r="AL470" s="751"/>
      <c r="AM470" s="751"/>
      <c r="AN470" s="751"/>
      <c r="AO470" s="751"/>
      <c r="AP470" s="751"/>
      <c r="AQ470" s="751"/>
      <c r="AR470" s="751"/>
      <c r="AS470" s="751"/>
      <c r="AT470" s="751"/>
      <c r="AU470" s="751"/>
      <c r="AV470" s="751"/>
      <c r="AW470" s="751"/>
      <c r="AX470" s="752"/>
      <c r="AY470" s="753"/>
      <c r="AZ470" s="770"/>
    </row>
    <row r="471" spans="1:52" s="770" customFormat="1" ht="12" customHeight="1">
      <c r="A471" s="753"/>
      <c r="B471" s="810"/>
      <c r="C471" s="797"/>
      <c r="D471" s="922" t="s">
        <v>4043</v>
      </c>
      <c r="E471" s="809"/>
      <c r="F471" s="753"/>
      <c r="G471" s="753"/>
      <c r="H471" s="753"/>
      <c r="I471" s="753"/>
      <c r="J471" s="753"/>
      <c r="K471" s="753"/>
      <c r="L471" s="753"/>
      <c r="M471" s="753"/>
      <c r="N471" s="753"/>
      <c r="O471" s="753"/>
      <c r="P471" s="753"/>
      <c r="Q471" s="753"/>
      <c r="R471" s="753"/>
      <c r="S471" s="753"/>
      <c r="T471" s="753"/>
      <c r="U471" s="753"/>
      <c r="V471" s="753"/>
      <c r="W471" s="753"/>
      <c r="X471" s="753"/>
      <c r="Y471" s="753"/>
      <c r="Z471" s="753"/>
      <c r="AA471" s="753"/>
      <c r="AB471" s="753"/>
      <c r="AC471" s="753"/>
      <c r="AD471" s="753"/>
      <c r="AE471" s="750"/>
      <c r="AF471" s="751"/>
      <c r="AG471" s="751"/>
      <c r="AH471" s="751"/>
      <c r="AI471" s="751"/>
      <c r="AJ471" s="751"/>
      <c r="AK471" s="751"/>
      <c r="AL471" s="751"/>
      <c r="AM471" s="751"/>
      <c r="AN471" s="751"/>
      <c r="AO471" s="751"/>
      <c r="AP471" s="751"/>
      <c r="AQ471" s="751"/>
      <c r="AR471" s="751"/>
      <c r="AS471" s="751"/>
      <c r="AT471" s="751"/>
      <c r="AU471" s="751"/>
      <c r="AV471" s="751"/>
      <c r="AW471" s="751"/>
      <c r="AX471" s="752"/>
      <c r="AY471" s="753"/>
    </row>
    <row r="472" spans="1:52" s="770" customFormat="1" ht="12" customHeight="1">
      <c r="A472" s="753"/>
      <c r="B472" s="810"/>
      <c r="C472" s="797"/>
      <c r="D472" s="753"/>
      <c r="E472" s="809"/>
      <c r="F472" s="753"/>
      <c r="G472" s="817"/>
      <c r="H472" s="817"/>
      <c r="I472" s="817"/>
      <c r="J472" s="817"/>
      <c r="K472" s="817"/>
      <c r="L472" s="817"/>
      <c r="M472" s="817"/>
      <c r="N472" s="817"/>
      <c r="O472" s="753"/>
      <c r="P472" s="753"/>
      <c r="Q472" s="753"/>
      <c r="R472" s="753"/>
      <c r="S472" s="753"/>
      <c r="T472" s="753"/>
      <c r="U472" s="753"/>
      <c r="V472" s="753"/>
      <c r="W472" s="753"/>
      <c r="X472" s="753"/>
      <c r="Y472" s="753"/>
      <c r="Z472" s="753"/>
      <c r="AA472" s="753"/>
      <c r="AB472" s="753"/>
      <c r="AC472" s="753"/>
      <c r="AD472" s="753"/>
      <c r="AE472" s="750"/>
      <c r="AF472" s="751"/>
      <c r="AG472" s="751"/>
      <c r="AH472" s="751"/>
      <c r="AI472" s="751"/>
      <c r="AJ472" s="751"/>
      <c r="AK472" s="751"/>
      <c r="AL472" s="751"/>
      <c r="AM472" s="751"/>
      <c r="AN472" s="751"/>
      <c r="AO472" s="751"/>
      <c r="AP472" s="751"/>
      <c r="AQ472" s="751"/>
      <c r="AR472" s="751"/>
      <c r="AS472" s="751"/>
      <c r="AT472" s="751"/>
      <c r="AU472" s="751"/>
      <c r="AV472" s="751"/>
      <c r="AW472" s="751"/>
      <c r="AX472" s="752"/>
      <c r="AY472" s="753"/>
    </row>
    <row r="473" spans="1:52" s="770" customFormat="1" ht="12" customHeight="1">
      <c r="A473" s="753"/>
      <c r="B473" s="810"/>
      <c r="C473" s="797"/>
      <c r="D473" s="851" t="s">
        <v>4059</v>
      </c>
      <c r="E473" s="809"/>
      <c r="F473" s="753"/>
      <c r="G473" s="817"/>
      <c r="H473" s="817"/>
      <c r="I473" s="817"/>
      <c r="J473" s="817"/>
      <c r="K473" s="817"/>
      <c r="L473" s="817"/>
      <c r="M473" s="817"/>
      <c r="N473" s="817"/>
      <c r="O473" s="753"/>
      <c r="P473" s="753"/>
      <c r="Q473" s="753"/>
      <c r="R473" s="753"/>
      <c r="S473" s="753"/>
      <c r="T473" s="753"/>
      <c r="U473" s="753"/>
      <c r="V473" s="753"/>
      <c r="W473" s="753"/>
      <c r="X473" s="753"/>
      <c r="Y473" s="753"/>
      <c r="Z473" s="753"/>
      <c r="AA473" s="753"/>
      <c r="AB473" s="753"/>
      <c r="AC473" s="753"/>
      <c r="AD473" s="753"/>
      <c r="AE473" s="750"/>
      <c r="AF473" s="751"/>
      <c r="AG473" s="751"/>
      <c r="AH473" s="751"/>
      <c r="AI473" s="751"/>
      <c r="AJ473" s="751"/>
      <c r="AK473" s="751"/>
      <c r="AL473" s="751"/>
      <c r="AM473" s="751"/>
      <c r="AN473" s="751"/>
      <c r="AO473" s="751"/>
      <c r="AP473" s="751"/>
      <c r="AQ473" s="751"/>
      <c r="AR473" s="751"/>
      <c r="AS473" s="751"/>
      <c r="AT473" s="751"/>
      <c r="AU473" s="751"/>
      <c r="AV473" s="751"/>
      <c r="AW473" s="751"/>
      <c r="AX473" s="752"/>
      <c r="AY473" s="753"/>
    </row>
    <row r="474" spans="1:52" s="770" customFormat="1" ht="12" customHeight="1">
      <c r="A474" s="753"/>
      <c r="B474" s="810"/>
      <c r="C474" s="797"/>
      <c r="D474" s="851"/>
      <c r="E474" s="809"/>
      <c r="F474" s="753"/>
      <c r="G474" s="817"/>
      <c r="H474" s="817"/>
      <c r="I474" s="817"/>
      <c r="J474" s="817"/>
      <c r="K474" s="817"/>
      <c r="L474" s="817"/>
      <c r="M474" s="817"/>
      <c r="N474" s="817"/>
      <c r="O474" s="753"/>
      <c r="P474" s="753"/>
      <c r="Q474" s="753"/>
      <c r="R474" s="753"/>
      <c r="S474" s="753"/>
      <c r="T474" s="753"/>
      <c r="U474" s="753"/>
      <c r="V474" s="753"/>
      <c r="W474" s="753"/>
      <c r="X474" s="753"/>
      <c r="Y474" s="753"/>
      <c r="Z474" s="753"/>
      <c r="AA474" s="753"/>
      <c r="AB474" s="753"/>
      <c r="AC474" s="753"/>
      <c r="AD474" s="753"/>
      <c r="AE474" s="750"/>
      <c r="AF474" s="751"/>
      <c r="AG474" s="751"/>
      <c r="AH474" s="751"/>
      <c r="AI474" s="751"/>
      <c r="AJ474" s="751"/>
      <c r="AK474" s="751"/>
      <c r="AL474" s="751"/>
      <c r="AM474" s="751"/>
      <c r="AN474" s="751"/>
      <c r="AO474" s="751"/>
      <c r="AP474" s="751"/>
      <c r="AQ474" s="751"/>
      <c r="AR474" s="751"/>
      <c r="AS474" s="751"/>
      <c r="AT474" s="751"/>
      <c r="AU474" s="751"/>
      <c r="AV474" s="751"/>
      <c r="AW474" s="751"/>
      <c r="AX474" s="752"/>
      <c r="AY474" s="753"/>
    </row>
    <row r="475" spans="1:52" s="770" customFormat="1" ht="12" customHeight="1">
      <c r="A475" s="753"/>
      <c r="B475" s="810"/>
      <c r="C475" s="835"/>
      <c r="D475" s="753"/>
      <c r="E475" s="852"/>
      <c r="G475" s="853">
        <v>1</v>
      </c>
      <c r="H475" s="853">
        <v>2</v>
      </c>
      <c r="I475" s="853">
        <v>3</v>
      </c>
      <c r="J475" s="853">
        <v>4</v>
      </c>
      <c r="K475" s="853">
        <v>5</v>
      </c>
      <c r="L475" s="817"/>
      <c r="M475" s="817"/>
      <c r="N475" s="817"/>
      <c r="O475" s="825"/>
      <c r="P475" s="825"/>
      <c r="Q475" s="825"/>
      <c r="R475" s="825"/>
      <c r="S475" s="825"/>
      <c r="T475" s="825"/>
      <c r="U475" s="825"/>
      <c r="V475" s="825"/>
      <c r="W475" s="825"/>
      <c r="X475" s="825"/>
      <c r="Y475" s="825"/>
      <c r="Z475" s="825"/>
      <c r="AA475" s="825"/>
      <c r="AB475" s="825"/>
      <c r="AC475" s="825"/>
      <c r="AD475" s="799"/>
      <c r="AE475" s="750"/>
      <c r="AF475" s="751"/>
      <c r="AG475" s="751"/>
      <c r="AH475" s="751"/>
      <c r="AI475" s="751"/>
      <c r="AJ475" s="751"/>
      <c r="AK475" s="751"/>
      <c r="AL475" s="751"/>
      <c r="AM475" s="751"/>
      <c r="AN475" s="751"/>
      <c r="AO475" s="751"/>
      <c r="AP475" s="751"/>
      <c r="AQ475" s="751"/>
      <c r="AR475" s="752"/>
      <c r="AS475" s="752"/>
      <c r="AT475" s="752"/>
      <c r="AU475" s="752"/>
      <c r="AV475" s="752"/>
      <c r="AW475" s="752"/>
      <c r="AX475" s="752"/>
      <c r="AY475" s="753"/>
    </row>
    <row r="476" spans="1:52" s="770" customFormat="1" ht="78" customHeight="1">
      <c r="A476" s="753"/>
      <c r="B476" s="810"/>
      <c r="C476" s="811"/>
      <c r="D476" s="811"/>
      <c r="E476" s="852"/>
      <c r="G476" s="855" t="s">
        <v>4030</v>
      </c>
      <c r="H476" s="855" t="s">
        <v>4031</v>
      </c>
      <c r="I476" s="855" t="s">
        <v>4032</v>
      </c>
      <c r="J476" s="855" t="s">
        <v>4033</v>
      </c>
      <c r="K476" s="855" t="s">
        <v>4034</v>
      </c>
      <c r="L476" s="927"/>
      <c r="M476" s="927"/>
      <c r="N476" s="927"/>
      <c r="O476" s="825"/>
      <c r="P476" s="825"/>
      <c r="Q476" s="825"/>
      <c r="R476" s="825"/>
      <c r="S476" s="825"/>
      <c r="T476" s="825"/>
      <c r="U476" s="825"/>
      <c r="V476" s="825"/>
      <c r="W476" s="825"/>
      <c r="X476" s="825"/>
      <c r="Y476" s="825"/>
      <c r="Z476" s="825"/>
      <c r="AA476" s="825"/>
      <c r="AB476" s="825"/>
      <c r="AC476" s="825"/>
      <c r="AD476" s="799"/>
      <c r="AE476" s="750"/>
      <c r="AF476" s="751"/>
      <c r="AG476" s="856"/>
      <c r="AH476" s="856"/>
      <c r="AI476" s="751"/>
      <c r="AJ476" s="751"/>
      <c r="AK476" s="751"/>
      <c r="AL476" s="751"/>
      <c r="AM476" s="751"/>
      <c r="AN476" s="751"/>
      <c r="AO476" s="751"/>
      <c r="AP476" s="751"/>
      <c r="AQ476" s="751"/>
      <c r="AR476" s="752"/>
      <c r="AS476" s="752"/>
      <c r="AT476" s="752"/>
      <c r="AU476" s="752"/>
      <c r="AV476" s="752"/>
      <c r="AW476" s="752"/>
      <c r="AX476" s="752"/>
      <c r="AY476" s="753"/>
    </row>
    <row r="477" spans="1:52" s="770" customFormat="1" ht="19.5" customHeight="1">
      <c r="A477" s="753"/>
      <c r="B477" s="810"/>
      <c r="C477" s="859"/>
      <c r="D477" s="749"/>
      <c r="E477" s="825"/>
      <c r="F477" s="928" t="s">
        <v>4035</v>
      </c>
      <c r="G477" s="759" t="s">
        <v>4036</v>
      </c>
      <c r="H477" s="759"/>
      <c r="I477" s="759"/>
      <c r="J477" s="759"/>
      <c r="K477" s="759" t="s">
        <v>4037</v>
      </c>
      <c r="L477" s="929" t="s">
        <v>4038</v>
      </c>
      <c r="M477" s="825"/>
      <c r="N477" s="825"/>
      <c r="O477" s="825"/>
      <c r="P477" s="825"/>
      <c r="Q477" s="825"/>
      <c r="R477" s="825"/>
      <c r="S477" s="825"/>
      <c r="T477" s="825"/>
      <c r="U477" s="825"/>
      <c r="V477" s="825"/>
      <c r="W477" s="825"/>
      <c r="X477" s="825"/>
      <c r="Y477" s="825"/>
      <c r="Z477" s="825"/>
      <c r="AA477" s="825"/>
      <c r="AB477" s="825"/>
      <c r="AC477" s="825"/>
      <c r="AD477" s="799"/>
      <c r="AE477" s="750"/>
      <c r="AF477" s="751"/>
      <c r="AG477" s="751"/>
      <c r="AH477" s="751"/>
      <c r="AI477" s="751"/>
      <c r="AJ477" s="751"/>
      <c r="AK477" s="751"/>
      <c r="AL477" s="751"/>
      <c r="AM477" s="751"/>
      <c r="AN477" s="751"/>
      <c r="AO477" s="751"/>
      <c r="AP477" s="751"/>
      <c r="AQ477" s="751"/>
      <c r="AR477" s="752"/>
      <c r="AS477" s="752"/>
      <c r="AT477" s="752"/>
      <c r="AU477" s="752"/>
      <c r="AV477" s="752"/>
      <c r="AW477" s="752"/>
      <c r="AX477" s="752"/>
      <c r="AY477" s="753"/>
    </row>
    <row r="478" spans="1:52" s="770" customFormat="1" ht="33.9" customHeight="1">
      <c r="A478" s="753"/>
      <c r="B478" s="810"/>
      <c r="C478" s="859"/>
      <c r="D478" s="749"/>
      <c r="E478" s="860">
        <v>1</v>
      </c>
      <c r="F478" s="930" t="s">
        <v>4060</v>
      </c>
      <c r="G478" s="759" t="s">
        <v>3809</v>
      </c>
      <c r="H478" s="759" t="s">
        <v>3809</v>
      </c>
      <c r="I478" s="759" t="s">
        <v>3809</v>
      </c>
      <c r="J478" s="759" t="s">
        <v>3809</v>
      </c>
      <c r="K478" s="759" t="s">
        <v>3809</v>
      </c>
      <c r="L478" s="950" t="s">
        <v>4061</v>
      </c>
      <c r="M478" s="950"/>
      <c r="N478" s="950"/>
      <c r="O478" s="950"/>
      <c r="P478" s="950"/>
      <c r="Q478" s="950"/>
      <c r="R478" s="950"/>
      <c r="S478" s="950"/>
      <c r="T478" s="950"/>
      <c r="U478" s="825"/>
      <c r="V478" s="825"/>
      <c r="W478" s="825"/>
      <c r="X478" s="825"/>
      <c r="Y478" s="825"/>
      <c r="Z478" s="825"/>
      <c r="AA478" s="825"/>
      <c r="AB478" s="825"/>
      <c r="AC478" s="825"/>
      <c r="AD478" s="799"/>
      <c r="AE478" s="750"/>
      <c r="AF478" s="751"/>
      <c r="AG478" s="751"/>
      <c r="AH478" s="751"/>
      <c r="AI478" s="751"/>
      <c r="AJ478" s="751"/>
      <c r="AK478" s="751"/>
      <c r="AL478" s="751"/>
      <c r="AM478" s="751"/>
      <c r="AN478" s="751"/>
      <c r="AO478" s="751"/>
      <c r="AP478" s="751"/>
      <c r="AQ478" s="751"/>
      <c r="AR478" s="752"/>
      <c r="AS478" s="752"/>
      <c r="AT478" s="752"/>
      <c r="AU478" s="752"/>
      <c r="AV478" s="752"/>
      <c r="AW478" s="752"/>
      <c r="AX478" s="752"/>
      <c r="AY478" s="753"/>
    </row>
    <row r="479" spans="1:52" s="770" customFormat="1" ht="33.9" customHeight="1">
      <c r="A479" s="753"/>
      <c r="B479" s="810"/>
      <c r="C479" s="859"/>
      <c r="D479" s="825"/>
      <c r="E479" s="860">
        <v>2</v>
      </c>
      <c r="F479" s="930" t="s">
        <v>4069</v>
      </c>
      <c r="G479" s="759" t="s">
        <v>3809</v>
      </c>
      <c r="H479" s="759" t="s">
        <v>3809</v>
      </c>
      <c r="I479" s="759" t="s">
        <v>3809</v>
      </c>
      <c r="J479" s="759" t="s">
        <v>3809</v>
      </c>
      <c r="K479" s="759" t="s">
        <v>3809</v>
      </c>
      <c r="L479" s="950" t="s">
        <v>4070</v>
      </c>
      <c r="M479" s="950"/>
      <c r="N479" s="950"/>
      <c r="O479" s="950"/>
      <c r="P479" s="950"/>
      <c r="Q479" s="950"/>
      <c r="R479" s="950"/>
      <c r="S479" s="950"/>
      <c r="T479" s="950"/>
      <c r="U479" s="825"/>
      <c r="V479" s="825"/>
      <c r="W479" s="825"/>
      <c r="X479" s="825"/>
      <c r="Y479" s="825"/>
      <c r="Z479" s="825"/>
      <c r="AA479" s="825"/>
      <c r="AB479" s="825"/>
      <c r="AC479" s="825"/>
      <c r="AD479" s="799"/>
      <c r="AE479" s="750"/>
      <c r="AF479" s="751"/>
      <c r="AG479" s="751"/>
      <c r="AH479" s="751"/>
      <c r="AI479" s="751"/>
      <c r="AJ479" s="751"/>
      <c r="AK479" s="751"/>
      <c r="AL479" s="751"/>
      <c r="AM479" s="751"/>
      <c r="AN479" s="751"/>
      <c r="AO479" s="751"/>
      <c r="AP479" s="751"/>
      <c r="AQ479" s="751"/>
      <c r="AR479" s="752"/>
      <c r="AS479" s="752"/>
      <c r="AT479" s="752"/>
      <c r="AU479" s="752"/>
      <c r="AV479" s="752"/>
      <c r="AW479" s="752"/>
      <c r="AX479" s="752"/>
      <c r="AY479" s="753"/>
    </row>
    <row r="480" spans="1:52" s="770" customFormat="1" ht="33.9" customHeight="1">
      <c r="A480" s="753"/>
      <c r="B480" s="810"/>
      <c r="C480" s="811"/>
      <c r="D480" s="749"/>
      <c r="E480" s="860">
        <v>3</v>
      </c>
      <c r="F480" s="930" t="s">
        <v>4071</v>
      </c>
      <c r="G480" s="759" t="s">
        <v>3809</v>
      </c>
      <c r="H480" s="759" t="s">
        <v>3809</v>
      </c>
      <c r="I480" s="759" t="s">
        <v>3809</v>
      </c>
      <c r="J480" s="759" t="s">
        <v>3809</v>
      </c>
      <c r="K480" s="759" t="s">
        <v>3809</v>
      </c>
      <c r="L480" s="955" t="s">
        <v>4072</v>
      </c>
      <c r="M480" s="955"/>
      <c r="N480" s="955"/>
      <c r="O480" s="955"/>
      <c r="P480" s="955"/>
      <c r="Q480" s="955"/>
      <c r="R480" s="955"/>
      <c r="S480" s="955"/>
      <c r="T480" s="955"/>
      <c r="U480" s="825"/>
      <c r="V480" s="825"/>
      <c r="W480" s="825"/>
      <c r="X480" s="825"/>
      <c r="Y480" s="825"/>
      <c r="Z480" s="825"/>
      <c r="AA480" s="825"/>
      <c r="AB480" s="825"/>
      <c r="AC480" s="825"/>
      <c r="AD480" s="799"/>
      <c r="AE480" s="750"/>
      <c r="AF480" s="751"/>
      <c r="AG480" s="751"/>
      <c r="AH480" s="751"/>
      <c r="AI480" s="751"/>
      <c r="AJ480" s="751"/>
      <c r="AK480" s="751"/>
      <c r="AL480" s="751"/>
      <c r="AM480" s="751"/>
      <c r="AN480" s="751"/>
      <c r="AO480" s="751"/>
      <c r="AP480" s="751"/>
      <c r="AQ480" s="751"/>
      <c r="AR480" s="752"/>
      <c r="AS480" s="752"/>
      <c r="AT480" s="752"/>
      <c r="AU480" s="752"/>
      <c r="AV480" s="752"/>
      <c r="AW480" s="752"/>
      <c r="AX480" s="752"/>
      <c r="AY480" s="753"/>
    </row>
    <row r="481" spans="1:52" s="869" customFormat="1" ht="12.9" customHeight="1">
      <c r="B481" s="870"/>
      <c r="C481" s="748"/>
      <c r="D481" s="759"/>
      <c r="E481" s="923"/>
      <c r="F481" s="925"/>
      <c r="G481" s="925"/>
      <c r="H481" s="873"/>
      <c r="I481" s="817"/>
      <c r="J481" s="817"/>
      <c r="K481" s="817"/>
      <c r="L481" s="817"/>
      <c r="M481" s="817"/>
      <c r="N481" s="760"/>
      <c r="O481" s="872"/>
      <c r="P481" s="872"/>
      <c r="AE481" s="750"/>
      <c r="AF481" s="751"/>
      <c r="AG481" s="751"/>
      <c r="AH481" s="751"/>
      <c r="AI481" s="751"/>
      <c r="AJ481" s="751"/>
      <c r="AK481" s="751"/>
      <c r="AL481" s="751"/>
      <c r="AM481" s="751"/>
      <c r="AN481" s="751"/>
      <c r="AO481" s="751"/>
      <c r="AP481" s="751"/>
      <c r="AQ481" s="751"/>
      <c r="AR481" s="752"/>
      <c r="AS481" s="752"/>
      <c r="AT481" s="752"/>
      <c r="AU481" s="752"/>
      <c r="AV481" s="752"/>
      <c r="AW481" s="752"/>
      <c r="AX481" s="752"/>
      <c r="AY481" s="753"/>
      <c r="AZ481" s="770"/>
    </row>
    <row r="482" spans="1:52" s="770" customFormat="1" ht="12" customHeight="1">
      <c r="A482" s="753"/>
      <c r="B482" s="810"/>
      <c r="C482" s="811"/>
      <c r="D482" s="759"/>
      <c r="E482" s="849"/>
      <c r="F482" s="926"/>
      <c r="G482" s="926"/>
      <c r="H482" s="871"/>
      <c r="I482" s="817"/>
      <c r="J482" s="817"/>
      <c r="K482" s="817"/>
      <c r="L482" s="817"/>
      <c r="M482" s="817"/>
      <c r="N482" s="753"/>
      <c r="O482" s="753"/>
      <c r="P482" s="753"/>
      <c r="Q482" s="753"/>
      <c r="R482" s="753"/>
      <c r="S482" s="753"/>
      <c r="T482" s="753"/>
      <c r="U482" s="753"/>
      <c r="V482" s="753"/>
      <c r="W482" s="753"/>
      <c r="X482" s="753"/>
      <c r="Y482" s="753"/>
      <c r="Z482" s="753"/>
      <c r="AA482" s="753"/>
      <c r="AB482" s="753"/>
      <c r="AC482" s="753"/>
      <c r="AD482" s="799"/>
      <c r="AE482" s="750"/>
      <c r="AF482" s="751"/>
      <c r="AG482" s="751"/>
      <c r="AH482" s="751"/>
      <c r="AI482" s="751"/>
      <c r="AJ482" s="751"/>
      <c r="AK482" s="751"/>
      <c r="AL482" s="751"/>
      <c r="AM482" s="751"/>
      <c r="AN482" s="751"/>
      <c r="AO482" s="751"/>
      <c r="AP482" s="751"/>
      <c r="AQ482" s="751"/>
      <c r="AR482" s="752"/>
      <c r="AS482" s="752"/>
      <c r="AT482" s="752"/>
      <c r="AU482" s="752"/>
      <c r="AV482" s="752"/>
      <c r="AW482" s="752"/>
      <c r="AX482" s="752"/>
      <c r="AY482" s="753"/>
    </row>
    <row r="483" spans="1:52" s="753" customFormat="1" ht="12" customHeight="1">
      <c r="B483" s="810"/>
      <c r="C483" s="811"/>
      <c r="D483" s="759"/>
      <c r="E483" s="849"/>
      <c r="F483" s="931"/>
      <c r="G483" s="931"/>
      <c r="H483" s="871"/>
      <c r="I483" s="817"/>
      <c r="J483" s="817"/>
      <c r="K483" s="817"/>
      <c r="L483" s="817"/>
      <c r="M483" s="817"/>
      <c r="AD483" s="799"/>
      <c r="AE483" s="750"/>
      <c r="AF483" s="751"/>
      <c r="AG483" s="751"/>
      <c r="AH483" s="751"/>
      <c r="AI483" s="751"/>
      <c r="AJ483" s="751"/>
      <c r="AK483" s="751"/>
      <c r="AL483" s="751"/>
      <c r="AM483" s="751"/>
      <c r="AN483" s="751"/>
      <c r="AO483" s="751"/>
      <c r="AP483" s="751"/>
      <c r="AQ483" s="751"/>
      <c r="AR483" s="752"/>
      <c r="AS483" s="752"/>
      <c r="AT483" s="752"/>
      <c r="AU483" s="752"/>
      <c r="AV483" s="752"/>
      <c r="AW483" s="752"/>
      <c r="AX483" s="752"/>
      <c r="AZ483" s="770"/>
    </row>
    <row r="484" spans="1:52" s="753" customFormat="1" ht="12" customHeight="1">
      <c r="B484" s="810"/>
      <c r="C484" s="811"/>
      <c r="D484" s="759"/>
      <c r="E484" s="849"/>
      <c r="F484" s="931"/>
      <c r="G484" s="931"/>
      <c r="H484" s="871"/>
      <c r="I484" s="817"/>
      <c r="J484" s="817"/>
      <c r="K484" s="817"/>
      <c r="L484" s="817"/>
      <c r="M484" s="817"/>
      <c r="AD484" s="799"/>
      <c r="AE484" s="750"/>
      <c r="AF484" s="751"/>
      <c r="AG484" s="751"/>
      <c r="AH484" s="751"/>
      <c r="AI484" s="751"/>
      <c r="AJ484" s="751"/>
      <c r="AK484" s="751"/>
      <c r="AL484" s="751"/>
      <c r="AM484" s="751"/>
      <c r="AN484" s="751"/>
      <c r="AO484" s="751"/>
      <c r="AP484" s="751"/>
      <c r="AQ484" s="751"/>
      <c r="AR484" s="752"/>
      <c r="AS484" s="752"/>
      <c r="AT484" s="752"/>
      <c r="AU484" s="752"/>
      <c r="AV484" s="752"/>
      <c r="AW484" s="752"/>
      <c r="AX484" s="752"/>
      <c r="AZ484" s="770"/>
    </row>
    <row r="485" spans="1:52" s="812" customFormat="1" ht="12.9" customHeight="1">
      <c r="B485" s="899" t="s">
        <v>4054</v>
      </c>
      <c r="C485" s="900"/>
      <c r="D485" s="901"/>
      <c r="E485" s="902"/>
      <c r="F485" s="901"/>
      <c r="G485" s="903"/>
      <c r="H485" s="903"/>
      <c r="I485" s="903"/>
      <c r="J485" s="903"/>
      <c r="K485" s="903"/>
      <c r="L485" s="903"/>
      <c r="M485" s="903"/>
      <c r="N485" s="903"/>
      <c r="O485" s="903"/>
      <c r="P485" s="903"/>
      <c r="Q485" s="903"/>
      <c r="R485" s="903"/>
      <c r="S485" s="903"/>
      <c r="T485" s="903"/>
      <c r="U485" s="903"/>
      <c r="V485" s="903"/>
      <c r="W485" s="903"/>
      <c r="X485" s="903"/>
      <c r="Y485" s="903"/>
      <c r="Z485" s="903"/>
      <c r="AA485" s="903"/>
      <c r="AB485" s="903"/>
      <c r="AC485" s="903"/>
      <c r="AD485" s="904"/>
      <c r="AE485" s="750"/>
      <c r="AF485" s="751"/>
      <c r="AG485" s="751"/>
      <c r="AH485" s="751"/>
      <c r="AI485" s="751"/>
      <c r="AJ485" s="751"/>
      <c r="AK485" s="751"/>
      <c r="AL485" s="751"/>
      <c r="AM485" s="751"/>
      <c r="AN485" s="751"/>
      <c r="AO485" s="751"/>
      <c r="AP485" s="751"/>
      <c r="AQ485" s="751"/>
      <c r="AR485" s="752"/>
      <c r="AS485" s="752"/>
      <c r="AT485" s="752"/>
      <c r="AU485" s="752"/>
      <c r="AV485" s="752"/>
      <c r="AW485" s="752"/>
      <c r="AX485" s="752"/>
      <c r="AY485" s="753"/>
      <c r="AZ485" s="770"/>
    </row>
    <row r="486" spans="1:52" s="812" customFormat="1" ht="12.9" customHeight="1">
      <c r="B486" s="901" t="s">
        <v>4018</v>
      </c>
      <c r="C486" s="900"/>
      <c r="D486" s="901"/>
      <c r="E486" s="902"/>
      <c r="F486" s="901"/>
      <c r="G486" s="903"/>
      <c r="H486" s="903"/>
      <c r="I486" s="903"/>
      <c r="J486" s="903"/>
      <c r="K486" s="903"/>
      <c r="L486" s="903"/>
      <c r="M486" s="903"/>
      <c r="N486" s="903"/>
      <c r="O486" s="903"/>
      <c r="P486" s="903"/>
      <c r="Q486" s="903"/>
      <c r="R486" s="903"/>
      <c r="S486" s="903"/>
      <c r="T486" s="903"/>
      <c r="U486" s="903"/>
      <c r="V486" s="903"/>
      <c r="W486" s="903"/>
      <c r="X486" s="903"/>
      <c r="Y486" s="903"/>
      <c r="Z486" s="903"/>
      <c r="AA486" s="903"/>
      <c r="AB486" s="903"/>
      <c r="AC486" s="903"/>
      <c r="AD486" s="904"/>
      <c r="AE486" s="750"/>
      <c r="AF486" s="751"/>
      <c r="AG486" s="751"/>
      <c r="AH486" s="751"/>
      <c r="AI486" s="751"/>
      <c r="AJ486" s="751"/>
      <c r="AK486" s="751"/>
      <c r="AL486" s="751"/>
      <c r="AM486" s="751"/>
      <c r="AN486" s="751"/>
      <c r="AO486" s="751"/>
      <c r="AP486" s="751"/>
      <c r="AQ486" s="751"/>
      <c r="AR486" s="752"/>
      <c r="AS486" s="752"/>
      <c r="AT486" s="752"/>
      <c r="AU486" s="752"/>
      <c r="AV486" s="752"/>
      <c r="AW486" s="752"/>
      <c r="AX486" s="752"/>
      <c r="AY486" s="753"/>
      <c r="AZ486" s="770"/>
    </row>
    <row r="487" spans="1:52" s="753" customFormat="1" ht="12" customHeight="1">
      <c r="B487" s="810"/>
      <c r="C487" s="797"/>
      <c r="E487" s="809"/>
      <c r="G487" s="817"/>
      <c r="H487" s="817"/>
      <c r="I487" s="817"/>
      <c r="J487" s="817"/>
      <c r="K487" s="817"/>
      <c r="L487" s="817"/>
      <c r="M487" s="817"/>
      <c r="N487" s="817"/>
      <c r="AE487" s="750"/>
      <c r="AF487" s="751"/>
      <c r="AG487" s="751"/>
      <c r="AH487" s="751"/>
      <c r="AI487" s="751"/>
      <c r="AJ487" s="751"/>
      <c r="AK487" s="751"/>
      <c r="AL487" s="751"/>
      <c r="AM487" s="751"/>
      <c r="AN487" s="751"/>
      <c r="AO487" s="751"/>
      <c r="AP487" s="751"/>
      <c r="AQ487" s="751"/>
      <c r="AR487" s="751"/>
      <c r="AS487" s="751"/>
      <c r="AT487" s="751"/>
      <c r="AU487" s="751"/>
      <c r="AV487" s="751"/>
      <c r="AW487" s="751"/>
      <c r="AX487" s="752"/>
    </row>
    <row r="488" spans="1:52" s="753" customFormat="1" ht="12" customHeight="1">
      <c r="B488" s="810"/>
      <c r="C488" s="797"/>
      <c r="E488" s="809"/>
      <c r="G488" s="817"/>
      <c r="H488" s="817"/>
      <c r="I488" s="817"/>
      <c r="J488" s="817"/>
      <c r="K488" s="817"/>
      <c r="L488" s="817"/>
      <c r="M488" s="817"/>
      <c r="N488" s="817"/>
      <c r="AE488" s="750"/>
      <c r="AF488" s="751"/>
      <c r="AG488" s="751"/>
      <c r="AH488" s="751"/>
      <c r="AI488" s="751"/>
      <c r="AJ488" s="751"/>
      <c r="AK488" s="751"/>
      <c r="AL488" s="751"/>
      <c r="AM488" s="751"/>
      <c r="AN488" s="751"/>
      <c r="AO488" s="751"/>
      <c r="AP488" s="751"/>
      <c r="AQ488" s="751"/>
      <c r="AR488" s="751"/>
      <c r="AS488" s="751"/>
      <c r="AT488" s="751"/>
      <c r="AU488" s="751"/>
      <c r="AV488" s="751"/>
      <c r="AW488" s="751"/>
      <c r="AX488" s="752"/>
    </row>
    <row r="489" spans="1:52" s="753" customFormat="1" ht="12" customHeight="1">
      <c r="B489" s="810"/>
      <c r="C489" s="797"/>
      <c r="E489" s="809"/>
      <c r="G489" s="817"/>
      <c r="H489" s="817"/>
      <c r="I489" s="817"/>
      <c r="J489" s="817"/>
      <c r="K489" s="817"/>
      <c r="L489" s="817"/>
      <c r="M489" s="817"/>
      <c r="N489" s="817"/>
      <c r="AE489" s="750"/>
      <c r="AF489" s="751"/>
      <c r="AG489" s="751"/>
      <c r="AH489" s="751"/>
      <c r="AI489" s="751"/>
      <c r="AJ489" s="751"/>
      <c r="AK489" s="751"/>
      <c r="AL489" s="751"/>
      <c r="AM489" s="751"/>
      <c r="AN489" s="751"/>
      <c r="AO489" s="751"/>
      <c r="AP489" s="751"/>
      <c r="AQ489" s="751"/>
      <c r="AR489" s="751"/>
      <c r="AS489" s="751"/>
      <c r="AT489" s="751"/>
      <c r="AU489" s="751"/>
      <c r="AV489" s="751"/>
      <c r="AW489" s="751"/>
      <c r="AX489" s="752"/>
    </row>
    <row r="490" spans="1:52" s="753" customFormat="1" ht="12" customHeight="1">
      <c r="B490" s="810"/>
      <c r="C490" s="797"/>
      <c r="E490" s="809"/>
      <c r="G490" s="817"/>
      <c r="H490" s="817"/>
      <c r="I490" s="817"/>
      <c r="J490" s="817"/>
      <c r="K490" s="817"/>
      <c r="L490" s="817"/>
      <c r="M490" s="817"/>
      <c r="N490" s="817"/>
      <c r="AE490" s="750"/>
      <c r="AF490" s="751"/>
      <c r="AG490" s="751"/>
      <c r="AH490" s="751"/>
      <c r="AI490" s="751"/>
      <c r="AJ490" s="751"/>
      <c r="AK490" s="751"/>
      <c r="AL490" s="751"/>
      <c r="AM490" s="751"/>
      <c r="AN490" s="751"/>
      <c r="AO490" s="751"/>
      <c r="AP490" s="751"/>
      <c r="AQ490" s="751"/>
      <c r="AR490" s="751"/>
      <c r="AS490" s="751"/>
      <c r="AT490" s="751"/>
      <c r="AU490" s="751"/>
      <c r="AV490" s="751"/>
      <c r="AW490" s="751"/>
      <c r="AX490" s="752"/>
    </row>
    <row r="491" spans="1:52" s="753" customFormat="1" ht="12" customHeight="1">
      <c r="B491" s="810"/>
      <c r="C491" s="797"/>
      <c r="E491" s="809"/>
      <c r="G491" s="817"/>
      <c r="H491" s="817"/>
      <c r="I491" s="817"/>
      <c r="J491" s="817"/>
      <c r="K491" s="817"/>
      <c r="L491" s="817"/>
      <c r="M491" s="817"/>
      <c r="N491" s="817"/>
      <c r="AE491" s="750"/>
      <c r="AF491" s="751"/>
      <c r="AG491" s="751"/>
      <c r="AH491" s="751"/>
      <c r="AI491" s="751"/>
      <c r="AJ491" s="751"/>
      <c r="AK491" s="751"/>
      <c r="AL491" s="751"/>
      <c r="AM491" s="751"/>
      <c r="AN491" s="751"/>
      <c r="AO491" s="751"/>
      <c r="AP491" s="751"/>
      <c r="AQ491" s="751"/>
      <c r="AR491" s="751"/>
      <c r="AS491" s="751"/>
      <c r="AT491" s="751"/>
      <c r="AU491" s="751"/>
      <c r="AV491" s="751"/>
      <c r="AW491" s="751"/>
      <c r="AX491" s="752"/>
    </row>
    <row r="492" spans="1:52" s="753" customFormat="1" ht="12" customHeight="1">
      <c r="B492" s="810"/>
      <c r="C492" s="797"/>
      <c r="E492" s="809"/>
      <c r="G492" s="817"/>
      <c r="H492" s="817"/>
      <c r="I492" s="817"/>
      <c r="J492" s="817"/>
      <c r="K492" s="817"/>
      <c r="L492" s="817"/>
      <c r="M492" s="817"/>
      <c r="N492" s="817"/>
      <c r="AE492" s="750"/>
      <c r="AF492" s="751"/>
      <c r="AG492" s="751"/>
      <c r="AH492" s="751"/>
      <c r="AI492" s="751"/>
      <c r="AJ492" s="751"/>
      <c r="AK492" s="751"/>
      <c r="AL492" s="751"/>
      <c r="AM492" s="751"/>
      <c r="AN492" s="751"/>
      <c r="AO492" s="751"/>
      <c r="AP492" s="751"/>
      <c r="AQ492" s="751"/>
      <c r="AR492" s="751"/>
      <c r="AS492" s="751"/>
      <c r="AT492" s="751"/>
      <c r="AU492" s="751"/>
      <c r="AV492" s="751"/>
      <c r="AW492" s="751"/>
      <c r="AX492" s="752"/>
    </row>
    <row r="493" spans="1:52" s="753" customFormat="1" ht="12" customHeight="1">
      <c r="B493" s="810"/>
      <c r="C493" s="797"/>
      <c r="E493" s="809"/>
      <c r="G493" s="817"/>
      <c r="H493" s="817"/>
      <c r="I493" s="817"/>
      <c r="J493" s="817"/>
      <c r="K493" s="817"/>
      <c r="L493" s="817"/>
      <c r="M493" s="817"/>
      <c r="N493" s="817"/>
      <c r="AE493" s="750"/>
      <c r="AF493" s="751"/>
      <c r="AG493" s="751"/>
      <c r="AH493" s="751"/>
      <c r="AI493" s="751"/>
      <c r="AJ493" s="751"/>
      <c r="AK493" s="751"/>
      <c r="AL493" s="751"/>
      <c r="AM493" s="751"/>
      <c r="AN493" s="751"/>
      <c r="AO493" s="751"/>
      <c r="AP493" s="751"/>
      <c r="AQ493" s="751"/>
      <c r="AR493" s="751"/>
      <c r="AS493" s="751"/>
      <c r="AT493" s="751"/>
      <c r="AU493" s="751"/>
      <c r="AV493" s="751"/>
      <c r="AW493" s="751"/>
      <c r="AX493" s="752"/>
    </row>
    <row r="494" spans="1:52" s="753" customFormat="1" ht="12" customHeight="1">
      <c r="B494" s="810"/>
      <c r="C494" s="797"/>
      <c r="E494" s="809"/>
      <c r="G494" s="817"/>
      <c r="H494" s="817"/>
      <c r="I494" s="817"/>
      <c r="J494" s="817"/>
      <c r="K494" s="817"/>
      <c r="L494" s="817"/>
      <c r="M494" s="817"/>
      <c r="N494" s="817"/>
      <c r="AE494" s="750"/>
      <c r="AF494" s="751"/>
      <c r="AG494" s="751"/>
      <c r="AH494" s="751"/>
      <c r="AI494" s="751"/>
      <c r="AJ494" s="751"/>
      <c r="AK494" s="751"/>
      <c r="AL494" s="751"/>
      <c r="AM494" s="751"/>
      <c r="AN494" s="751"/>
      <c r="AO494" s="751"/>
      <c r="AP494" s="751"/>
      <c r="AQ494" s="751"/>
      <c r="AR494" s="751"/>
      <c r="AS494" s="751"/>
      <c r="AT494" s="751"/>
      <c r="AU494" s="751"/>
      <c r="AV494" s="751"/>
      <c r="AW494" s="751"/>
      <c r="AX494" s="752"/>
    </row>
    <row r="495" spans="1:52" s="753" customFormat="1" ht="12" customHeight="1">
      <c r="B495" s="810"/>
      <c r="C495" s="797"/>
      <c r="E495" s="809"/>
      <c r="G495" s="817"/>
      <c r="H495" s="817"/>
      <c r="I495" s="817"/>
      <c r="J495" s="817"/>
      <c r="K495" s="817"/>
      <c r="L495" s="817"/>
      <c r="M495" s="817"/>
      <c r="N495" s="817"/>
      <c r="AE495" s="750"/>
      <c r="AF495" s="751"/>
      <c r="AG495" s="751"/>
      <c r="AH495" s="751"/>
      <c r="AI495" s="751"/>
      <c r="AJ495" s="751"/>
      <c r="AK495" s="751"/>
      <c r="AL495" s="751"/>
      <c r="AM495" s="751"/>
      <c r="AN495" s="751"/>
      <c r="AO495" s="751"/>
      <c r="AP495" s="751"/>
      <c r="AQ495" s="751"/>
      <c r="AR495" s="751"/>
      <c r="AS495" s="751"/>
      <c r="AT495" s="751"/>
      <c r="AU495" s="751"/>
      <c r="AV495" s="751"/>
      <c r="AW495" s="751"/>
      <c r="AX495" s="752"/>
    </row>
    <row r="496" spans="1:52" s="753" customFormat="1" ht="12" customHeight="1">
      <c r="B496" s="810"/>
      <c r="C496" s="797"/>
      <c r="E496" s="809"/>
      <c r="G496" s="817"/>
      <c r="H496" s="817"/>
      <c r="I496" s="817"/>
      <c r="J496" s="817"/>
      <c r="K496" s="817"/>
      <c r="L496" s="817"/>
      <c r="M496" s="817"/>
      <c r="N496" s="817"/>
      <c r="AE496" s="750"/>
      <c r="AF496" s="751"/>
      <c r="AG496" s="751"/>
      <c r="AH496" s="751"/>
      <c r="AI496" s="751"/>
      <c r="AJ496" s="751"/>
      <c r="AK496" s="751"/>
      <c r="AL496" s="751"/>
      <c r="AM496" s="751"/>
      <c r="AN496" s="751"/>
      <c r="AO496" s="751"/>
      <c r="AP496" s="751"/>
      <c r="AQ496" s="751"/>
      <c r="AR496" s="751"/>
      <c r="AS496" s="751"/>
      <c r="AT496" s="751"/>
      <c r="AU496" s="751"/>
      <c r="AV496" s="751"/>
      <c r="AW496" s="751"/>
      <c r="AX496" s="752"/>
    </row>
    <row r="497" spans="2:52" s="753" customFormat="1" ht="12" customHeight="1">
      <c r="B497" s="810"/>
      <c r="C497" s="797"/>
      <c r="E497" s="809"/>
      <c r="G497" s="817"/>
      <c r="H497" s="817"/>
      <c r="I497" s="817"/>
      <c r="J497" s="817"/>
      <c r="K497" s="817"/>
      <c r="L497" s="817"/>
      <c r="M497" s="817"/>
      <c r="N497" s="817"/>
      <c r="AE497" s="750"/>
      <c r="AF497" s="751"/>
      <c r="AG497" s="751"/>
      <c r="AH497" s="751"/>
      <c r="AI497" s="751"/>
      <c r="AJ497" s="751"/>
      <c r="AK497" s="751"/>
      <c r="AL497" s="751"/>
      <c r="AM497" s="751"/>
      <c r="AN497" s="751"/>
      <c r="AO497" s="751"/>
      <c r="AP497" s="751"/>
      <c r="AQ497" s="751"/>
      <c r="AR497" s="751"/>
      <c r="AS497" s="751"/>
      <c r="AT497" s="751"/>
      <c r="AU497" s="751"/>
      <c r="AV497" s="751"/>
      <c r="AW497" s="751"/>
      <c r="AX497" s="752"/>
    </row>
    <row r="498" spans="2:52" s="753" customFormat="1" ht="12" customHeight="1">
      <c r="B498" s="810"/>
      <c r="C498" s="797"/>
      <c r="E498" s="809"/>
      <c r="G498" s="817"/>
      <c r="H498" s="817"/>
      <c r="I498" s="817"/>
      <c r="J498" s="817"/>
      <c r="K498" s="817"/>
      <c r="L498" s="817"/>
      <c r="M498" s="817"/>
      <c r="N498" s="817"/>
      <c r="AE498" s="750"/>
      <c r="AF498" s="751"/>
      <c r="AG498" s="751"/>
      <c r="AH498" s="751"/>
      <c r="AI498" s="751"/>
      <c r="AJ498" s="751"/>
      <c r="AK498" s="751"/>
      <c r="AL498" s="751"/>
      <c r="AM498" s="751"/>
      <c r="AN498" s="751"/>
      <c r="AO498" s="751"/>
      <c r="AP498" s="751"/>
      <c r="AQ498" s="751"/>
      <c r="AR498" s="751"/>
      <c r="AS498" s="751"/>
      <c r="AT498" s="751"/>
      <c r="AU498" s="751"/>
      <c r="AV498" s="751"/>
      <c r="AW498" s="751"/>
      <c r="AX498" s="752"/>
    </row>
    <row r="499" spans="2:52" s="753" customFormat="1" ht="12" customHeight="1">
      <c r="B499" s="810"/>
      <c r="C499" s="797"/>
      <c r="E499" s="809"/>
      <c r="G499" s="817"/>
      <c r="H499" s="817"/>
      <c r="I499" s="817"/>
      <c r="J499" s="817"/>
      <c r="K499" s="817"/>
      <c r="L499" s="817"/>
      <c r="M499" s="817"/>
      <c r="N499" s="817"/>
      <c r="AE499" s="750"/>
      <c r="AF499" s="751"/>
      <c r="AG499" s="751"/>
      <c r="AH499" s="751"/>
      <c r="AI499" s="751"/>
      <c r="AJ499" s="751"/>
      <c r="AK499" s="751"/>
      <c r="AL499" s="751"/>
      <c r="AM499" s="751"/>
      <c r="AN499" s="751"/>
      <c r="AO499" s="751"/>
      <c r="AP499" s="751"/>
      <c r="AQ499" s="751"/>
      <c r="AR499" s="751"/>
      <c r="AS499" s="751"/>
      <c r="AT499" s="751"/>
      <c r="AU499" s="751"/>
      <c r="AV499" s="751"/>
      <c r="AW499" s="751"/>
      <c r="AX499" s="752"/>
    </row>
    <row r="500" spans="2:52" s="753" customFormat="1" ht="12" customHeight="1">
      <c r="B500" s="810"/>
      <c r="C500" s="797"/>
      <c r="E500" s="809"/>
      <c r="G500" s="817"/>
      <c r="H500" s="817"/>
      <c r="I500" s="817"/>
      <c r="J500" s="817"/>
      <c r="K500" s="817"/>
      <c r="L500" s="817"/>
      <c r="M500" s="817"/>
      <c r="N500" s="817"/>
      <c r="AE500" s="750"/>
      <c r="AF500" s="751"/>
      <c r="AG500" s="751"/>
      <c r="AH500" s="751"/>
      <c r="AI500" s="751"/>
      <c r="AJ500" s="751"/>
      <c r="AK500" s="751"/>
      <c r="AL500" s="751"/>
      <c r="AM500" s="751"/>
      <c r="AN500" s="751"/>
      <c r="AO500" s="751"/>
      <c r="AP500" s="751"/>
      <c r="AQ500" s="751"/>
      <c r="AR500" s="751"/>
      <c r="AS500" s="751"/>
      <c r="AT500" s="751"/>
      <c r="AU500" s="751"/>
      <c r="AV500" s="751"/>
      <c r="AW500" s="751"/>
      <c r="AX500" s="752"/>
    </row>
    <row r="501" spans="2:52" s="753" customFormat="1" ht="12" customHeight="1">
      <c r="B501" s="810"/>
      <c r="C501" s="797"/>
      <c r="E501" s="809"/>
      <c r="G501" s="817"/>
      <c r="H501" s="817"/>
      <c r="I501" s="817"/>
      <c r="J501" s="817"/>
      <c r="K501" s="817"/>
      <c r="L501" s="817"/>
      <c r="M501" s="817"/>
      <c r="N501" s="817"/>
      <c r="AE501" s="750"/>
      <c r="AF501" s="751"/>
      <c r="AG501" s="751"/>
      <c r="AH501" s="751"/>
      <c r="AI501" s="751"/>
      <c r="AJ501" s="751"/>
      <c r="AK501" s="751"/>
      <c r="AL501" s="751"/>
      <c r="AM501" s="751"/>
      <c r="AN501" s="751"/>
      <c r="AO501" s="751"/>
      <c r="AP501" s="751"/>
      <c r="AQ501" s="751"/>
      <c r="AR501" s="751"/>
      <c r="AS501" s="751"/>
      <c r="AT501" s="751"/>
      <c r="AU501" s="751"/>
      <c r="AV501" s="751"/>
      <c r="AW501" s="751"/>
      <c r="AX501" s="752"/>
    </row>
    <row r="502" spans="2:52" s="753" customFormat="1" ht="12" customHeight="1">
      <c r="B502" s="810"/>
      <c r="C502" s="797"/>
      <c r="E502" s="809"/>
      <c r="G502" s="817"/>
      <c r="H502" s="817"/>
      <c r="I502" s="817"/>
      <c r="J502" s="817"/>
      <c r="K502" s="817"/>
      <c r="L502" s="817"/>
      <c r="M502" s="817"/>
      <c r="N502" s="817"/>
      <c r="AE502" s="750"/>
      <c r="AF502" s="751"/>
      <c r="AG502" s="751"/>
      <c r="AH502" s="751"/>
      <c r="AI502" s="751"/>
      <c r="AJ502" s="751"/>
      <c r="AK502" s="751"/>
      <c r="AL502" s="751"/>
      <c r="AM502" s="751"/>
      <c r="AN502" s="751"/>
      <c r="AO502" s="751"/>
      <c r="AP502" s="751"/>
      <c r="AQ502" s="751"/>
      <c r="AR502" s="751"/>
      <c r="AS502" s="751"/>
      <c r="AT502" s="751"/>
      <c r="AU502" s="751"/>
      <c r="AV502" s="751"/>
      <c r="AW502" s="751"/>
      <c r="AX502" s="752"/>
    </row>
    <row r="503" spans="2:52" s="753" customFormat="1" ht="12" customHeight="1">
      <c r="B503" s="810"/>
      <c r="C503" s="797"/>
      <c r="E503" s="809"/>
      <c r="G503" s="817"/>
      <c r="H503" s="817"/>
      <c r="I503" s="817"/>
      <c r="J503" s="817"/>
      <c r="K503" s="817"/>
      <c r="L503" s="817"/>
      <c r="M503" s="817"/>
      <c r="N503" s="817"/>
      <c r="AE503" s="750"/>
      <c r="AF503" s="751"/>
      <c r="AG503" s="751"/>
      <c r="AH503" s="751"/>
      <c r="AI503" s="751"/>
      <c r="AJ503" s="751"/>
      <c r="AK503" s="751"/>
      <c r="AL503" s="751"/>
      <c r="AM503" s="751"/>
      <c r="AN503" s="751"/>
      <c r="AO503" s="751"/>
      <c r="AP503" s="751"/>
      <c r="AQ503" s="751"/>
      <c r="AR503" s="751"/>
      <c r="AS503" s="751"/>
      <c r="AT503" s="751"/>
      <c r="AU503" s="751"/>
      <c r="AV503" s="751"/>
      <c r="AW503" s="751"/>
      <c r="AX503" s="752"/>
    </row>
    <row r="504" spans="2:52" s="753" customFormat="1" ht="12" customHeight="1">
      <c r="B504" s="810"/>
      <c r="C504" s="797"/>
      <c r="E504" s="809"/>
      <c r="G504" s="817"/>
      <c r="H504" s="817"/>
      <c r="I504" s="817"/>
      <c r="J504" s="817"/>
      <c r="K504" s="817"/>
      <c r="L504" s="817"/>
      <c r="M504" s="817"/>
      <c r="N504" s="817"/>
      <c r="AE504" s="750"/>
      <c r="AF504" s="751"/>
      <c r="AG504" s="751"/>
      <c r="AH504" s="751"/>
      <c r="AI504" s="751"/>
      <c r="AJ504" s="751"/>
      <c r="AK504" s="751"/>
      <c r="AL504" s="751"/>
      <c r="AM504" s="751"/>
      <c r="AN504" s="751"/>
      <c r="AO504" s="751"/>
      <c r="AP504" s="751"/>
      <c r="AQ504" s="751"/>
      <c r="AR504" s="751"/>
      <c r="AS504" s="751"/>
      <c r="AT504" s="751"/>
      <c r="AU504" s="751"/>
      <c r="AV504" s="751"/>
      <c r="AW504" s="751"/>
      <c r="AX504" s="752"/>
    </row>
    <row r="505" spans="2:52" s="753" customFormat="1" ht="12" customHeight="1">
      <c r="B505" s="810"/>
      <c r="C505" s="797"/>
      <c r="E505" s="809"/>
      <c r="G505" s="817"/>
      <c r="H505" s="817"/>
      <c r="I505" s="817"/>
      <c r="J505" s="817"/>
      <c r="K505" s="817"/>
      <c r="L505" s="817"/>
      <c r="M505" s="817"/>
      <c r="N505" s="817"/>
      <c r="AE505" s="750"/>
      <c r="AF505" s="751"/>
      <c r="AG505" s="751"/>
      <c r="AH505" s="751"/>
      <c r="AI505" s="751"/>
      <c r="AJ505" s="751"/>
      <c r="AK505" s="751"/>
      <c r="AL505" s="751"/>
      <c r="AM505" s="751"/>
      <c r="AN505" s="751"/>
      <c r="AO505" s="751"/>
      <c r="AP505" s="751"/>
      <c r="AQ505" s="751"/>
      <c r="AR505" s="751"/>
      <c r="AS505" s="751"/>
      <c r="AT505" s="751"/>
      <c r="AU505" s="751"/>
      <c r="AV505" s="751"/>
      <c r="AW505" s="751"/>
      <c r="AX505" s="752"/>
    </row>
    <row r="506" spans="2:52" s="753" customFormat="1" ht="12" customHeight="1">
      <c r="B506" s="810"/>
      <c r="C506" s="797"/>
      <c r="E506" s="809"/>
      <c r="G506" s="817"/>
      <c r="H506" s="817"/>
      <c r="I506" s="817"/>
      <c r="J506" s="817"/>
      <c r="K506" s="817"/>
      <c r="L506" s="817"/>
      <c r="M506" s="817"/>
      <c r="N506" s="817"/>
      <c r="AE506" s="750"/>
      <c r="AF506" s="751"/>
      <c r="AG506" s="751"/>
      <c r="AH506" s="751"/>
      <c r="AI506" s="751"/>
      <c r="AJ506" s="751"/>
      <c r="AK506" s="751"/>
      <c r="AL506" s="751"/>
      <c r="AM506" s="751"/>
      <c r="AN506" s="751"/>
      <c r="AO506" s="751"/>
      <c r="AP506" s="751"/>
      <c r="AQ506" s="751"/>
      <c r="AR506" s="751"/>
      <c r="AS506" s="751"/>
      <c r="AT506" s="751"/>
      <c r="AU506" s="751"/>
      <c r="AV506" s="751"/>
      <c r="AW506" s="751"/>
      <c r="AX506" s="752"/>
    </row>
    <row r="507" spans="2:52" s="753" customFormat="1" ht="12" customHeight="1">
      <c r="B507" s="810"/>
      <c r="C507" s="797"/>
      <c r="E507" s="809"/>
      <c r="G507" s="817"/>
      <c r="H507" s="817"/>
      <c r="I507" s="817"/>
      <c r="J507" s="817"/>
      <c r="K507" s="817"/>
      <c r="L507" s="817"/>
      <c r="M507" s="817"/>
      <c r="N507" s="817"/>
      <c r="AE507" s="750"/>
      <c r="AF507" s="751"/>
      <c r="AG507" s="751"/>
      <c r="AH507" s="751"/>
      <c r="AI507" s="751"/>
      <c r="AJ507" s="751"/>
      <c r="AK507" s="751"/>
      <c r="AL507" s="751"/>
      <c r="AM507" s="751"/>
      <c r="AN507" s="751"/>
      <c r="AO507" s="751"/>
      <c r="AP507" s="751"/>
      <c r="AQ507" s="751"/>
      <c r="AR507" s="751"/>
      <c r="AS507" s="751"/>
      <c r="AT507" s="751"/>
      <c r="AU507" s="751"/>
      <c r="AV507" s="751"/>
      <c r="AW507" s="751"/>
      <c r="AX507" s="752"/>
    </row>
    <row r="508" spans="2:52" s="753" customFormat="1" ht="12" customHeight="1">
      <c r="B508" s="810"/>
      <c r="C508" s="797"/>
      <c r="E508" s="809"/>
      <c r="G508" s="817"/>
      <c r="H508" s="817"/>
      <c r="I508" s="817"/>
      <c r="J508" s="817"/>
      <c r="K508" s="817"/>
      <c r="L508" s="817"/>
      <c r="M508" s="817"/>
      <c r="N508" s="817"/>
      <c r="AE508" s="750"/>
      <c r="AF508" s="751"/>
      <c r="AG508" s="751"/>
      <c r="AH508" s="751"/>
      <c r="AI508" s="751"/>
      <c r="AJ508" s="751"/>
      <c r="AK508" s="751"/>
      <c r="AL508" s="751"/>
      <c r="AM508" s="751"/>
      <c r="AN508" s="751"/>
      <c r="AO508" s="751"/>
      <c r="AP508" s="751"/>
      <c r="AQ508" s="751"/>
      <c r="AR508" s="751"/>
      <c r="AS508" s="751"/>
      <c r="AT508" s="751"/>
      <c r="AU508" s="751"/>
      <c r="AV508" s="751"/>
      <c r="AW508" s="751"/>
      <c r="AX508" s="752"/>
    </row>
    <row r="509" spans="2:52" s="753" customFormat="1" ht="12" customHeight="1">
      <c r="B509" s="810"/>
      <c r="C509" s="797"/>
      <c r="E509" s="809"/>
      <c r="G509" s="817"/>
      <c r="H509" s="817"/>
      <c r="I509" s="817"/>
      <c r="J509" s="817"/>
      <c r="K509" s="817"/>
      <c r="L509" s="817"/>
      <c r="M509" s="817"/>
      <c r="N509" s="817"/>
      <c r="AE509" s="750"/>
      <c r="AF509" s="751"/>
      <c r="AG509" s="751"/>
      <c r="AH509" s="751"/>
      <c r="AI509" s="751"/>
      <c r="AJ509" s="751"/>
      <c r="AK509" s="751"/>
      <c r="AL509" s="751"/>
      <c r="AM509" s="751"/>
      <c r="AN509" s="751"/>
      <c r="AO509" s="751"/>
      <c r="AP509" s="751"/>
      <c r="AQ509" s="751"/>
      <c r="AR509" s="751"/>
      <c r="AS509" s="751"/>
      <c r="AT509" s="751"/>
      <c r="AU509" s="751"/>
      <c r="AV509" s="751"/>
      <c r="AW509" s="751"/>
      <c r="AX509" s="752"/>
    </row>
    <row r="510" spans="2:52" s="753" customFormat="1" ht="12" customHeight="1">
      <c r="B510" s="810"/>
      <c r="C510" s="797"/>
      <c r="E510" s="809"/>
      <c r="G510" s="817"/>
      <c r="H510" s="817"/>
      <c r="I510" s="817"/>
      <c r="J510" s="817"/>
      <c r="K510" s="817"/>
      <c r="L510" s="817"/>
      <c r="M510" s="817"/>
      <c r="N510" s="817"/>
      <c r="AE510" s="750"/>
      <c r="AF510" s="751"/>
      <c r="AG510" s="751"/>
      <c r="AH510" s="751"/>
      <c r="AI510" s="751"/>
      <c r="AJ510" s="751"/>
      <c r="AK510" s="751"/>
      <c r="AL510" s="751"/>
      <c r="AM510" s="751"/>
      <c r="AN510" s="751"/>
      <c r="AO510" s="751"/>
      <c r="AP510" s="751"/>
      <c r="AQ510" s="751"/>
      <c r="AR510" s="751"/>
      <c r="AS510" s="751"/>
      <c r="AT510" s="751"/>
      <c r="AU510" s="751"/>
      <c r="AV510" s="751"/>
      <c r="AW510" s="751"/>
      <c r="AX510" s="752"/>
    </row>
    <row r="511" spans="2:52" s="753" customFormat="1" ht="12" customHeight="1">
      <c r="B511" s="796" t="s">
        <v>4027</v>
      </c>
      <c r="C511" s="797"/>
      <c r="E511" s="798"/>
      <c r="F511" s="799"/>
      <c r="AE511" s="750"/>
      <c r="AF511" s="751"/>
      <c r="AG511" s="751"/>
      <c r="AH511" s="751"/>
      <c r="AI511" s="751"/>
      <c r="AJ511" s="751"/>
      <c r="AK511" s="751"/>
      <c r="AL511" s="751"/>
      <c r="AM511" s="751"/>
      <c r="AN511" s="751"/>
      <c r="AO511" s="751"/>
      <c r="AP511" s="751"/>
      <c r="AQ511" s="751"/>
      <c r="AR511" s="752"/>
      <c r="AS511" s="752"/>
      <c r="AT511" s="752"/>
      <c r="AU511" s="752"/>
      <c r="AV511" s="752"/>
      <c r="AW511" s="752"/>
      <c r="AX511" s="752"/>
    </row>
    <row r="512" spans="2:52" s="812" customFormat="1" ht="12.9" customHeight="1">
      <c r="B512" s="800" t="s">
        <v>4068</v>
      </c>
      <c r="C512" s="801"/>
      <c r="D512" s="863"/>
      <c r="E512" s="864"/>
      <c r="F512" s="863"/>
      <c r="G512" s="865"/>
      <c r="H512" s="865"/>
      <c r="I512" s="865"/>
      <c r="J512" s="865"/>
      <c r="K512" s="865"/>
      <c r="L512" s="865"/>
      <c r="M512" s="865"/>
      <c r="N512" s="865"/>
      <c r="O512" s="865"/>
      <c r="P512" s="865"/>
      <c r="Q512" s="865"/>
      <c r="R512" s="865"/>
      <c r="S512" s="865"/>
      <c r="T512" s="865"/>
      <c r="U512" s="865"/>
      <c r="V512" s="865"/>
      <c r="W512" s="865"/>
      <c r="X512" s="865"/>
      <c r="Y512" s="865"/>
      <c r="Z512" s="865"/>
      <c r="AA512" s="865"/>
      <c r="AB512" s="865"/>
      <c r="AC512" s="865"/>
      <c r="AD512" s="806" t="s">
        <v>584</v>
      </c>
      <c r="AE512" s="750"/>
      <c r="AF512" s="751"/>
      <c r="AG512" s="751"/>
      <c r="AH512" s="751"/>
      <c r="AI512" s="751"/>
      <c r="AJ512" s="751"/>
      <c r="AK512" s="751"/>
      <c r="AL512" s="751"/>
      <c r="AM512" s="751"/>
      <c r="AN512" s="751"/>
      <c r="AO512" s="751"/>
      <c r="AP512" s="751"/>
      <c r="AQ512" s="751"/>
      <c r="AR512" s="752"/>
      <c r="AS512" s="752"/>
      <c r="AT512" s="752"/>
      <c r="AU512" s="752"/>
      <c r="AV512" s="752"/>
      <c r="AW512" s="752"/>
      <c r="AX512" s="752"/>
      <c r="AY512" s="753"/>
      <c r="AZ512" s="770"/>
    </row>
    <row r="513" spans="1:52" s="812" customFormat="1" ht="12.9" customHeight="1">
      <c r="B513" s="866"/>
      <c r="C513" s="808">
        <v>21</v>
      </c>
      <c r="D513" s="753" t="s">
        <v>4058</v>
      </c>
      <c r="E513" s="828"/>
      <c r="F513" s="828"/>
      <c r="G513" s="809"/>
      <c r="H513" s="809"/>
      <c r="I513" s="809"/>
      <c r="J513" s="809"/>
      <c r="K513" s="809"/>
      <c r="L513" s="809"/>
      <c r="M513" s="809"/>
      <c r="N513" s="828"/>
      <c r="O513" s="828"/>
      <c r="P513" s="828"/>
      <c r="Q513" s="828"/>
      <c r="Z513" s="818"/>
      <c r="AE513" s="750"/>
      <c r="AF513" s="751"/>
      <c r="AG513" s="751"/>
      <c r="AH513" s="751"/>
      <c r="AI513" s="751"/>
      <c r="AJ513" s="751"/>
      <c r="AK513" s="751"/>
      <c r="AL513" s="751"/>
      <c r="AM513" s="751"/>
      <c r="AN513" s="751"/>
      <c r="AO513" s="751"/>
      <c r="AP513" s="751"/>
      <c r="AQ513" s="751"/>
      <c r="AR513" s="751"/>
      <c r="AS513" s="751"/>
      <c r="AT513" s="751"/>
      <c r="AU513" s="751"/>
      <c r="AV513" s="751"/>
      <c r="AW513" s="751"/>
      <c r="AX513" s="752"/>
      <c r="AY513" s="753"/>
      <c r="AZ513" s="770"/>
    </row>
    <row r="514" spans="1:52" s="770" customFormat="1" ht="12" customHeight="1">
      <c r="A514" s="753"/>
      <c r="B514" s="810"/>
      <c r="C514" s="797"/>
      <c r="D514" s="922" t="s">
        <v>4043</v>
      </c>
      <c r="E514" s="809"/>
      <c r="F514" s="753"/>
      <c r="G514" s="753"/>
      <c r="H514" s="753"/>
      <c r="I514" s="753"/>
      <c r="J514" s="753"/>
      <c r="K514" s="753"/>
      <c r="L514" s="753"/>
      <c r="M514" s="753"/>
      <c r="N514" s="753"/>
      <c r="O514" s="753"/>
      <c r="P514" s="753"/>
      <c r="Q514" s="753"/>
      <c r="R514" s="753"/>
      <c r="S514" s="753"/>
      <c r="T514" s="753"/>
      <c r="U514" s="753"/>
      <c r="V514" s="753"/>
      <c r="W514" s="753"/>
      <c r="X514" s="753"/>
      <c r="Y514" s="753"/>
      <c r="Z514" s="753"/>
      <c r="AA514" s="753"/>
      <c r="AB514" s="753"/>
      <c r="AC514" s="753"/>
      <c r="AD514" s="753"/>
      <c r="AE514" s="750"/>
      <c r="AF514" s="751"/>
      <c r="AG514" s="751"/>
      <c r="AH514" s="751"/>
      <c r="AI514" s="751"/>
      <c r="AJ514" s="751"/>
      <c r="AK514" s="751"/>
      <c r="AL514" s="751"/>
      <c r="AM514" s="751"/>
      <c r="AN514" s="751"/>
      <c r="AO514" s="751"/>
      <c r="AP514" s="751"/>
      <c r="AQ514" s="751"/>
      <c r="AR514" s="751"/>
      <c r="AS514" s="751"/>
      <c r="AT514" s="751"/>
      <c r="AU514" s="751"/>
      <c r="AV514" s="751"/>
      <c r="AW514" s="751"/>
      <c r="AX514" s="752"/>
      <c r="AY514" s="753"/>
    </row>
    <row r="515" spans="1:52" s="770" customFormat="1" ht="12" customHeight="1">
      <c r="A515" s="753"/>
      <c r="B515" s="810"/>
      <c r="C515" s="797"/>
      <c r="D515" s="753"/>
      <c r="E515" s="809"/>
      <c r="F515" s="753"/>
      <c r="G515" s="817"/>
      <c r="H515" s="817"/>
      <c r="I515" s="817"/>
      <c r="J515" s="817"/>
      <c r="K515" s="817"/>
      <c r="L515" s="817"/>
      <c r="M515" s="817"/>
      <c r="N515" s="817"/>
      <c r="O515" s="753"/>
      <c r="P515" s="753"/>
      <c r="Q515" s="753"/>
      <c r="R515" s="753"/>
      <c r="S515" s="753"/>
      <c r="T515" s="753"/>
      <c r="U515" s="753"/>
      <c r="V515" s="753"/>
      <c r="W515" s="753"/>
      <c r="X515" s="753"/>
      <c r="Y515" s="753"/>
      <c r="Z515" s="753"/>
      <c r="AA515" s="753"/>
      <c r="AB515" s="753"/>
      <c r="AC515" s="753"/>
      <c r="AD515" s="753"/>
      <c r="AE515" s="750"/>
      <c r="AF515" s="751"/>
      <c r="AG515" s="751"/>
      <c r="AH515" s="751"/>
      <c r="AI515" s="751"/>
      <c r="AJ515" s="751"/>
      <c r="AK515" s="751"/>
      <c r="AL515" s="751"/>
      <c r="AM515" s="751"/>
      <c r="AN515" s="751"/>
      <c r="AO515" s="751"/>
      <c r="AP515" s="751"/>
      <c r="AQ515" s="751"/>
      <c r="AR515" s="751"/>
      <c r="AS515" s="751"/>
      <c r="AT515" s="751"/>
      <c r="AU515" s="751"/>
      <c r="AV515" s="751"/>
      <c r="AW515" s="751"/>
      <c r="AX515" s="752"/>
      <c r="AY515" s="753"/>
    </row>
    <row r="516" spans="1:52" s="770" customFormat="1" ht="12" customHeight="1">
      <c r="A516" s="753"/>
      <c r="B516" s="810"/>
      <c r="C516" s="797"/>
      <c r="D516" s="851" t="s">
        <v>4059</v>
      </c>
      <c r="E516" s="809"/>
      <c r="F516" s="753"/>
      <c r="G516" s="817"/>
      <c r="H516" s="817"/>
      <c r="I516" s="817"/>
      <c r="J516" s="817"/>
      <c r="K516" s="817"/>
      <c r="L516" s="817"/>
      <c r="M516" s="817"/>
      <c r="N516" s="817"/>
      <c r="O516" s="753"/>
      <c r="P516" s="753"/>
      <c r="Q516" s="753"/>
      <c r="R516" s="753"/>
      <c r="S516" s="753"/>
      <c r="T516" s="753"/>
      <c r="U516" s="753"/>
      <c r="V516" s="753"/>
      <c r="W516" s="753"/>
      <c r="X516" s="753"/>
      <c r="Y516" s="753"/>
      <c r="Z516" s="753"/>
      <c r="AA516" s="753"/>
      <c r="AB516" s="753"/>
      <c r="AC516" s="753"/>
      <c r="AD516" s="753"/>
      <c r="AE516" s="750"/>
      <c r="AF516" s="751"/>
      <c r="AG516" s="751"/>
      <c r="AH516" s="751"/>
      <c r="AI516" s="751"/>
      <c r="AJ516" s="751"/>
      <c r="AK516" s="751"/>
      <c r="AL516" s="751"/>
      <c r="AM516" s="751"/>
      <c r="AN516" s="751"/>
      <c r="AO516" s="751"/>
      <c r="AP516" s="751"/>
      <c r="AQ516" s="751"/>
      <c r="AR516" s="751"/>
      <c r="AS516" s="751"/>
      <c r="AT516" s="751"/>
      <c r="AU516" s="751"/>
      <c r="AV516" s="751"/>
      <c r="AW516" s="751"/>
      <c r="AX516" s="752"/>
      <c r="AY516" s="753"/>
    </row>
    <row r="517" spans="1:52" s="770" customFormat="1" ht="12" customHeight="1">
      <c r="A517" s="753"/>
      <c r="B517" s="810"/>
      <c r="C517" s="797"/>
      <c r="D517" s="851"/>
      <c r="E517" s="809"/>
      <c r="F517" s="753"/>
      <c r="G517" s="817"/>
      <c r="H517" s="817"/>
      <c r="I517" s="817"/>
      <c r="J517" s="817"/>
      <c r="K517" s="817"/>
      <c r="L517" s="817"/>
      <c r="M517" s="817"/>
      <c r="N517" s="817"/>
      <c r="O517" s="753"/>
      <c r="P517" s="753"/>
      <c r="Q517" s="753"/>
      <c r="R517" s="753"/>
      <c r="S517" s="753"/>
      <c r="T517" s="753"/>
      <c r="U517" s="753"/>
      <c r="V517" s="753"/>
      <c r="W517" s="753"/>
      <c r="X517" s="753"/>
      <c r="Y517" s="753"/>
      <c r="Z517" s="753"/>
      <c r="AA517" s="753"/>
      <c r="AB517" s="753"/>
      <c r="AC517" s="753"/>
      <c r="AD517" s="753"/>
      <c r="AE517" s="750"/>
      <c r="AF517" s="751"/>
      <c r="AG517" s="751"/>
      <c r="AH517" s="751"/>
      <c r="AI517" s="751"/>
      <c r="AJ517" s="751"/>
      <c r="AK517" s="751"/>
      <c r="AL517" s="751"/>
      <c r="AM517" s="751"/>
      <c r="AN517" s="751"/>
      <c r="AO517" s="751"/>
      <c r="AP517" s="751"/>
      <c r="AQ517" s="751"/>
      <c r="AR517" s="751"/>
      <c r="AS517" s="751"/>
      <c r="AT517" s="751"/>
      <c r="AU517" s="751"/>
      <c r="AV517" s="751"/>
      <c r="AW517" s="751"/>
      <c r="AX517" s="752"/>
      <c r="AY517" s="753"/>
    </row>
    <row r="518" spans="1:52" s="770" customFormat="1" ht="12" customHeight="1">
      <c r="A518" s="753"/>
      <c r="B518" s="810"/>
      <c r="C518" s="835"/>
      <c r="D518" s="753"/>
      <c r="E518" s="852"/>
      <c r="G518" s="853">
        <v>1</v>
      </c>
      <c r="H518" s="853">
        <v>2</v>
      </c>
      <c r="I518" s="853">
        <v>3</v>
      </c>
      <c r="J518" s="853">
        <v>4</v>
      </c>
      <c r="K518" s="853">
        <v>5</v>
      </c>
      <c r="L518" s="817"/>
      <c r="M518" s="817"/>
      <c r="N518" s="817"/>
      <c r="O518" s="825"/>
      <c r="P518" s="825"/>
      <c r="Q518" s="825"/>
      <c r="R518" s="825"/>
      <c r="S518" s="825"/>
      <c r="T518" s="825"/>
      <c r="U518" s="825"/>
      <c r="V518" s="825"/>
      <c r="W518" s="825"/>
      <c r="X518" s="825"/>
      <c r="Y518" s="825"/>
      <c r="Z518" s="825"/>
      <c r="AA518" s="825"/>
      <c r="AB518" s="825"/>
      <c r="AC518" s="825"/>
      <c r="AD518" s="799"/>
      <c r="AE518" s="750"/>
      <c r="AF518" s="751"/>
      <c r="AG518" s="751"/>
      <c r="AH518" s="751"/>
      <c r="AI518" s="751"/>
      <c r="AJ518" s="751"/>
      <c r="AK518" s="751"/>
      <c r="AL518" s="751"/>
      <c r="AM518" s="751"/>
      <c r="AN518" s="751"/>
      <c r="AO518" s="751"/>
      <c r="AP518" s="751"/>
      <c r="AQ518" s="751"/>
      <c r="AR518" s="752"/>
      <c r="AS518" s="752"/>
      <c r="AT518" s="752"/>
      <c r="AU518" s="752"/>
      <c r="AV518" s="752"/>
      <c r="AW518" s="752"/>
      <c r="AX518" s="752"/>
      <c r="AY518" s="753"/>
    </row>
    <row r="519" spans="1:52" s="770" customFormat="1" ht="78" customHeight="1">
      <c r="A519" s="753"/>
      <c r="B519" s="810"/>
      <c r="C519" s="811"/>
      <c r="D519" s="811"/>
      <c r="E519" s="852"/>
      <c r="G519" s="855" t="s">
        <v>4030</v>
      </c>
      <c r="H519" s="855" t="s">
        <v>4031</v>
      </c>
      <c r="I519" s="855" t="s">
        <v>4032</v>
      </c>
      <c r="J519" s="855" t="s">
        <v>4033</v>
      </c>
      <c r="K519" s="855" t="s">
        <v>4034</v>
      </c>
      <c r="L519" s="927"/>
      <c r="M519" s="927"/>
      <c r="N519" s="927"/>
      <c r="O519" s="825"/>
      <c r="P519" s="825"/>
      <c r="Q519" s="825"/>
      <c r="R519" s="825"/>
      <c r="S519" s="825"/>
      <c r="T519" s="825"/>
      <c r="U519" s="825"/>
      <c r="V519" s="825"/>
      <c r="W519" s="825"/>
      <c r="X519" s="825"/>
      <c r="Y519" s="825"/>
      <c r="Z519" s="825"/>
      <c r="AA519" s="825"/>
      <c r="AB519" s="825"/>
      <c r="AC519" s="825"/>
      <c r="AD519" s="799"/>
      <c r="AE519" s="750"/>
      <c r="AF519" s="751"/>
      <c r="AG519" s="856"/>
      <c r="AH519" s="856"/>
      <c r="AI519" s="751"/>
      <c r="AJ519" s="751"/>
      <c r="AK519" s="751"/>
      <c r="AL519" s="751"/>
      <c r="AM519" s="751"/>
      <c r="AN519" s="751"/>
      <c r="AO519" s="751"/>
      <c r="AP519" s="751"/>
      <c r="AQ519" s="751"/>
      <c r="AR519" s="752"/>
      <c r="AS519" s="752"/>
      <c r="AT519" s="752"/>
      <c r="AU519" s="752"/>
      <c r="AV519" s="752"/>
      <c r="AW519" s="752"/>
      <c r="AX519" s="752"/>
      <c r="AY519" s="753"/>
    </row>
    <row r="520" spans="1:52" s="770" customFormat="1" ht="19.5" customHeight="1">
      <c r="A520" s="753"/>
      <c r="B520" s="810"/>
      <c r="C520" s="859"/>
      <c r="D520" s="749"/>
      <c r="E520" s="825"/>
      <c r="F520" s="928" t="s">
        <v>4035</v>
      </c>
      <c r="G520" s="759" t="s">
        <v>4036</v>
      </c>
      <c r="H520" s="759"/>
      <c r="I520" s="759"/>
      <c r="J520" s="759"/>
      <c r="K520" s="759" t="s">
        <v>4037</v>
      </c>
      <c r="L520" s="929" t="s">
        <v>4038</v>
      </c>
      <c r="M520" s="825"/>
      <c r="N520" s="825"/>
      <c r="O520" s="825"/>
      <c r="P520" s="825"/>
      <c r="Q520" s="825"/>
      <c r="R520" s="825"/>
      <c r="S520" s="825"/>
      <c r="T520" s="825"/>
      <c r="U520" s="825"/>
      <c r="V520" s="825"/>
      <c r="W520" s="825"/>
      <c r="X520" s="825"/>
      <c r="Y520" s="825"/>
      <c r="Z520" s="825"/>
      <c r="AA520" s="825"/>
      <c r="AB520" s="825"/>
      <c r="AC520" s="825"/>
      <c r="AD520" s="799"/>
      <c r="AE520" s="750"/>
      <c r="AF520" s="751"/>
      <c r="AG520" s="751"/>
      <c r="AH520" s="751"/>
      <c r="AI520" s="751"/>
      <c r="AJ520" s="751"/>
      <c r="AK520" s="751"/>
      <c r="AL520" s="751"/>
      <c r="AM520" s="751"/>
      <c r="AN520" s="751"/>
      <c r="AO520" s="751"/>
      <c r="AP520" s="751"/>
      <c r="AQ520" s="751"/>
      <c r="AR520" s="752"/>
      <c r="AS520" s="752"/>
      <c r="AT520" s="752"/>
      <c r="AU520" s="752"/>
      <c r="AV520" s="752"/>
      <c r="AW520" s="752"/>
      <c r="AX520" s="752"/>
      <c r="AY520" s="753"/>
    </row>
    <row r="521" spans="1:52" s="770" customFormat="1" ht="33.9" customHeight="1">
      <c r="A521" s="753"/>
      <c r="B521" s="810"/>
      <c r="C521" s="859"/>
      <c r="D521" s="749"/>
      <c r="E521" s="860">
        <v>1</v>
      </c>
      <c r="F521" s="930" t="s">
        <v>4060</v>
      </c>
      <c r="G521" s="759" t="s">
        <v>3809</v>
      </c>
      <c r="H521" s="759" t="s">
        <v>3809</v>
      </c>
      <c r="I521" s="759" t="s">
        <v>3809</v>
      </c>
      <c r="J521" s="759" t="s">
        <v>3809</v>
      </c>
      <c r="K521" s="759" t="s">
        <v>3809</v>
      </c>
      <c r="L521" s="950" t="s">
        <v>4061</v>
      </c>
      <c r="M521" s="950"/>
      <c r="N521" s="950"/>
      <c r="O521" s="950"/>
      <c r="P521" s="950"/>
      <c r="Q521" s="950"/>
      <c r="R521" s="950"/>
      <c r="S521" s="950"/>
      <c r="T521" s="950"/>
      <c r="U521" s="825"/>
      <c r="V521" s="825"/>
      <c r="W521" s="825"/>
      <c r="X521" s="825"/>
      <c r="Y521" s="825"/>
      <c r="Z521" s="825"/>
      <c r="AA521" s="825"/>
      <c r="AB521" s="825"/>
      <c r="AC521" s="825"/>
      <c r="AD521" s="799"/>
      <c r="AE521" s="750"/>
      <c r="AF521" s="751"/>
      <c r="AG521" s="751"/>
      <c r="AH521" s="751"/>
      <c r="AI521" s="751"/>
      <c r="AJ521" s="751"/>
      <c r="AK521" s="751"/>
      <c r="AL521" s="751"/>
      <c r="AM521" s="751"/>
      <c r="AN521" s="751"/>
      <c r="AO521" s="751"/>
      <c r="AP521" s="751"/>
      <c r="AQ521" s="751"/>
      <c r="AR521" s="752"/>
      <c r="AS521" s="752"/>
      <c r="AT521" s="752"/>
      <c r="AU521" s="752"/>
      <c r="AV521" s="752"/>
      <c r="AW521" s="752"/>
      <c r="AX521" s="752"/>
      <c r="AY521" s="753"/>
    </row>
    <row r="522" spans="1:52" s="770" customFormat="1" ht="33.9" customHeight="1">
      <c r="A522" s="753"/>
      <c r="B522" s="810"/>
      <c r="C522" s="859"/>
      <c r="D522" s="749"/>
      <c r="E522" s="860">
        <v>2</v>
      </c>
      <c r="F522" s="930" t="s">
        <v>4073</v>
      </c>
      <c r="G522" s="759" t="s">
        <v>3809</v>
      </c>
      <c r="H522" s="759" t="s">
        <v>3809</v>
      </c>
      <c r="I522" s="759" t="s">
        <v>3809</v>
      </c>
      <c r="J522" s="759" t="s">
        <v>3809</v>
      </c>
      <c r="K522" s="759" t="s">
        <v>3809</v>
      </c>
      <c r="L522" s="950" t="s">
        <v>4074</v>
      </c>
      <c r="M522" s="950"/>
      <c r="N522" s="950"/>
      <c r="O522" s="950"/>
      <c r="P522" s="950"/>
      <c r="Q522" s="950"/>
      <c r="R522" s="950"/>
      <c r="S522" s="950"/>
      <c r="T522" s="950"/>
      <c r="U522" s="825"/>
      <c r="V522" s="825"/>
      <c r="W522" s="825"/>
      <c r="X522" s="825"/>
      <c r="Y522" s="825"/>
      <c r="Z522" s="825"/>
      <c r="AA522" s="825"/>
      <c r="AB522" s="825"/>
      <c r="AC522" s="825"/>
      <c r="AD522" s="799"/>
      <c r="AE522" s="750"/>
      <c r="AF522" s="751"/>
      <c r="AG522" s="751"/>
      <c r="AH522" s="751"/>
      <c r="AI522" s="751"/>
      <c r="AJ522" s="751"/>
      <c r="AK522" s="751"/>
      <c r="AL522" s="751"/>
      <c r="AM522" s="751"/>
      <c r="AN522" s="751"/>
      <c r="AO522" s="751"/>
      <c r="AP522" s="751"/>
      <c r="AQ522" s="751"/>
      <c r="AR522" s="752"/>
      <c r="AS522" s="752"/>
      <c r="AT522" s="752"/>
      <c r="AU522" s="752"/>
      <c r="AV522" s="752"/>
      <c r="AW522" s="752"/>
      <c r="AX522" s="752"/>
      <c r="AY522" s="753"/>
    </row>
    <row r="523" spans="1:52" s="770" customFormat="1" ht="33.9" customHeight="1">
      <c r="A523" s="753"/>
      <c r="B523" s="810"/>
      <c r="C523" s="811"/>
      <c r="D523" s="749"/>
      <c r="E523" s="860">
        <v>3</v>
      </c>
      <c r="F523" s="930" t="s">
        <v>4075</v>
      </c>
      <c r="G523" s="759" t="s">
        <v>3809</v>
      </c>
      <c r="H523" s="759" t="s">
        <v>3809</v>
      </c>
      <c r="I523" s="759" t="s">
        <v>3809</v>
      </c>
      <c r="J523" s="759" t="s">
        <v>3809</v>
      </c>
      <c r="K523" s="759" t="s">
        <v>3809</v>
      </c>
      <c r="L523" s="955" t="s">
        <v>4076</v>
      </c>
      <c r="M523" s="955"/>
      <c r="N523" s="955"/>
      <c r="O523" s="955"/>
      <c r="P523" s="955"/>
      <c r="Q523" s="955"/>
      <c r="R523" s="955"/>
      <c r="S523" s="955"/>
      <c r="T523" s="955"/>
      <c r="U523" s="825"/>
      <c r="V523" s="825"/>
      <c r="W523" s="825"/>
      <c r="X523" s="825"/>
      <c r="Y523" s="825"/>
      <c r="Z523" s="825"/>
      <c r="AA523" s="825"/>
      <c r="AB523" s="825"/>
      <c r="AC523" s="825"/>
      <c r="AD523" s="799"/>
      <c r="AE523" s="750"/>
      <c r="AF523" s="751"/>
      <c r="AG523" s="751"/>
      <c r="AH523" s="751"/>
      <c r="AI523" s="751"/>
      <c r="AJ523" s="751"/>
      <c r="AK523" s="751"/>
      <c r="AL523" s="751"/>
      <c r="AM523" s="751"/>
      <c r="AN523" s="751"/>
      <c r="AO523" s="751"/>
      <c r="AP523" s="751"/>
      <c r="AQ523" s="751"/>
      <c r="AR523" s="752"/>
      <c r="AS523" s="752"/>
      <c r="AT523" s="752"/>
      <c r="AU523" s="752"/>
      <c r="AV523" s="752"/>
      <c r="AW523" s="752"/>
      <c r="AX523" s="752"/>
      <c r="AY523" s="753"/>
    </row>
    <row r="524" spans="1:52" s="770" customFormat="1" ht="33.9" customHeight="1">
      <c r="A524" s="753"/>
      <c r="B524" s="810"/>
      <c r="C524" s="811"/>
      <c r="D524" s="749"/>
      <c r="E524" s="860">
        <v>4</v>
      </c>
      <c r="F524" s="930" t="s">
        <v>4077</v>
      </c>
      <c r="G524" s="759" t="s">
        <v>3809</v>
      </c>
      <c r="H524" s="759" t="s">
        <v>3809</v>
      </c>
      <c r="I524" s="759" t="s">
        <v>3809</v>
      </c>
      <c r="J524" s="759" t="s">
        <v>3809</v>
      </c>
      <c r="K524" s="759" t="s">
        <v>3809</v>
      </c>
      <c r="L524" s="955" t="s">
        <v>4078</v>
      </c>
      <c r="M524" s="955"/>
      <c r="N524" s="955"/>
      <c r="O524" s="955"/>
      <c r="P524" s="955"/>
      <c r="Q524" s="955"/>
      <c r="R524" s="955"/>
      <c r="S524" s="955"/>
      <c r="T524" s="955"/>
      <c r="U524" s="825"/>
      <c r="V524" s="825"/>
      <c r="W524" s="825"/>
      <c r="X524" s="825"/>
      <c r="Y524" s="825"/>
      <c r="Z524" s="825"/>
      <c r="AA524" s="825"/>
      <c r="AB524" s="825"/>
      <c r="AC524" s="825"/>
      <c r="AD524" s="799"/>
      <c r="AE524" s="750"/>
      <c r="AF524" s="751"/>
      <c r="AG524" s="751"/>
      <c r="AH524" s="751"/>
      <c r="AI524" s="751"/>
      <c r="AJ524" s="751"/>
      <c r="AK524" s="751"/>
      <c r="AL524" s="751"/>
      <c r="AM524" s="751"/>
      <c r="AN524" s="751"/>
      <c r="AO524" s="751"/>
      <c r="AP524" s="751"/>
      <c r="AQ524" s="751"/>
      <c r="AR524" s="752"/>
      <c r="AS524" s="752"/>
      <c r="AT524" s="752"/>
      <c r="AU524" s="752"/>
      <c r="AV524" s="752"/>
      <c r="AW524" s="752"/>
      <c r="AX524" s="752"/>
      <c r="AY524" s="753"/>
    </row>
    <row r="525" spans="1:52" s="869" customFormat="1" ht="12.9" customHeight="1">
      <c r="B525" s="870"/>
      <c r="C525" s="748"/>
      <c r="D525" s="759"/>
      <c r="E525" s="923"/>
      <c r="F525" s="925"/>
      <c r="G525" s="925"/>
      <c r="H525" s="873"/>
      <c r="I525" s="817"/>
      <c r="J525" s="817"/>
      <c r="K525" s="817"/>
      <c r="L525" s="817"/>
      <c r="M525" s="817"/>
      <c r="N525" s="760"/>
      <c r="O525" s="872"/>
      <c r="P525" s="872"/>
      <c r="AE525" s="750"/>
      <c r="AF525" s="751"/>
      <c r="AG525" s="751"/>
      <c r="AH525" s="751"/>
      <c r="AI525" s="751"/>
      <c r="AJ525" s="751"/>
      <c r="AK525" s="751"/>
      <c r="AL525" s="751"/>
      <c r="AM525" s="751"/>
      <c r="AN525" s="751"/>
      <c r="AO525" s="751"/>
      <c r="AP525" s="751"/>
      <c r="AQ525" s="751"/>
      <c r="AR525" s="752"/>
      <c r="AS525" s="752"/>
      <c r="AT525" s="752"/>
      <c r="AU525" s="752"/>
      <c r="AV525" s="752"/>
      <c r="AW525" s="752"/>
      <c r="AX525" s="752"/>
      <c r="AY525" s="753"/>
      <c r="AZ525" s="770"/>
    </row>
    <row r="526" spans="1:52" s="770" customFormat="1" ht="12" customHeight="1">
      <c r="A526" s="753"/>
      <c r="B526" s="810"/>
      <c r="C526" s="811"/>
      <c r="D526" s="759"/>
      <c r="E526" s="849"/>
      <c r="F526" s="926"/>
      <c r="G526" s="926"/>
      <c r="H526" s="871"/>
      <c r="I526" s="817"/>
      <c r="J526" s="817"/>
      <c r="K526" s="817"/>
      <c r="L526" s="817"/>
      <c r="M526" s="817"/>
      <c r="N526" s="753"/>
      <c r="O526" s="753"/>
      <c r="P526" s="753"/>
      <c r="Q526" s="753"/>
      <c r="R526" s="753"/>
      <c r="S526" s="753"/>
      <c r="T526" s="753"/>
      <c r="U526" s="753"/>
      <c r="V526" s="753"/>
      <c r="W526" s="753"/>
      <c r="X526" s="753"/>
      <c r="Y526" s="753"/>
      <c r="Z526" s="753"/>
      <c r="AA526" s="753"/>
      <c r="AB526" s="753"/>
      <c r="AC526" s="753"/>
      <c r="AD526" s="799"/>
      <c r="AE526" s="750"/>
      <c r="AF526" s="751"/>
      <c r="AG526" s="751"/>
      <c r="AH526" s="751"/>
      <c r="AI526" s="751"/>
      <c r="AJ526" s="751"/>
      <c r="AK526" s="751"/>
      <c r="AL526" s="751"/>
      <c r="AM526" s="751"/>
      <c r="AN526" s="751"/>
      <c r="AO526" s="751"/>
      <c r="AP526" s="751"/>
      <c r="AQ526" s="751"/>
      <c r="AR526" s="752"/>
      <c r="AS526" s="752"/>
      <c r="AT526" s="752"/>
      <c r="AU526" s="752"/>
      <c r="AV526" s="752"/>
      <c r="AW526" s="752"/>
      <c r="AX526" s="752"/>
      <c r="AY526" s="753"/>
    </row>
    <row r="527" spans="1:52" s="753" customFormat="1" ht="12" customHeight="1">
      <c r="B527" s="810"/>
      <c r="C527" s="811"/>
      <c r="D527" s="759"/>
      <c r="E527" s="849"/>
      <c r="F527" s="931"/>
      <c r="G527" s="931"/>
      <c r="H527" s="871"/>
      <c r="I527" s="817"/>
      <c r="J527" s="817"/>
      <c r="K527" s="817"/>
      <c r="L527" s="817"/>
      <c r="M527" s="817"/>
      <c r="AD527" s="799"/>
      <c r="AE527" s="750"/>
      <c r="AF527" s="751"/>
      <c r="AG527" s="751"/>
      <c r="AH527" s="751"/>
      <c r="AI527" s="751"/>
      <c r="AJ527" s="751"/>
      <c r="AK527" s="751"/>
      <c r="AL527" s="751"/>
      <c r="AM527" s="751"/>
      <c r="AN527" s="751"/>
      <c r="AO527" s="751"/>
      <c r="AP527" s="751"/>
      <c r="AQ527" s="751"/>
      <c r="AR527" s="752"/>
      <c r="AS527" s="752"/>
      <c r="AT527" s="752"/>
      <c r="AU527" s="752"/>
      <c r="AV527" s="752"/>
      <c r="AW527" s="752"/>
      <c r="AX527" s="752"/>
      <c r="AZ527" s="770"/>
    </row>
    <row r="528" spans="1:52" s="753" customFormat="1" ht="12" customHeight="1">
      <c r="B528" s="810"/>
      <c r="C528" s="811"/>
      <c r="D528" s="759"/>
      <c r="E528" s="849"/>
      <c r="F528" s="931"/>
      <c r="G528" s="931"/>
      <c r="H528" s="871"/>
      <c r="I528" s="817"/>
      <c r="J528" s="817"/>
      <c r="K528" s="817"/>
      <c r="L528" s="817"/>
      <c r="M528" s="817"/>
      <c r="AD528" s="799"/>
      <c r="AE528" s="750"/>
      <c r="AF528" s="751"/>
      <c r="AG528" s="751"/>
      <c r="AH528" s="751"/>
      <c r="AI528" s="751"/>
      <c r="AJ528" s="751"/>
      <c r="AK528" s="751"/>
      <c r="AL528" s="751"/>
      <c r="AM528" s="751"/>
      <c r="AN528" s="751"/>
      <c r="AO528" s="751"/>
      <c r="AP528" s="751"/>
      <c r="AQ528" s="751"/>
      <c r="AR528" s="752"/>
      <c r="AS528" s="752"/>
      <c r="AT528" s="752"/>
      <c r="AU528" s="752"/>
      <c r="AV528" s="752"/>
      <c r="AW528" s="752"/>
      <c r="AX528" s="752"/>
      <c r="AZ528" s="770"/>
    </row>
    <row r="529" spans="2:52" s="812" customFormat="1" ht="12.9" customHeight="1">
      <c r="B529" s="899" t="s">
        <v>4054</v>
      </c>
      <c r="C529" s="900"/>
      <c r="D529" s="901"/>
      <c r="E529" s="902"/>
      <c r="F529" s="901"/>
      <c r="G529" s="903"/>
      <c r="H529" s="903"/>
      <c r="I529" s="903"/>
      <c r="J529" s="903"/>
      <c r="K529" s="903"/>
      <c r="L529" s="903"/>
      <c r="M529" s="903"/>
      <c r="N529" s="903"/>
      <c r="O529" s="903"/>
      <c r="P529" s="903"/>
      <c r="Q529" s="903"/>
      <c r="R529" s="903"/>
      <c r="S529" s="903"/>
      <c r="T529" s="903"/>
      <c r="U529" s="903"/>
      <c r="V529" s="903"/>
      <c r="W529" s="903"/>
      <c r="X529" s="903"/>
      <c r="Y529" s="903"/>
      <c r="Z529" s="903"/>
      <c r="AA529" s="903"/>
      <c r="AB529" s="903"/>
      <c r="AC529" s="903"/>
      <c r="AD529" s="904"/>
      <c r="AE529" s="750"/>
      <c r="AF529" s="751"/>
      <c r="AG529" s="751"/>
      <c r="AH529" s="751"/>
      <c r="AI529" s="751"/>
      <c r="AJ529" s="751"/>
      <c r="AK529" s="751"/>
      <c r="AL529" s="751"/>
      <c r="AM529" s="751"/>
      <c r="AN529" s="751"/>
      <c r="AO529" s="751"/>
      <c r="AP529" s="751"/>
      <c r="AQ529" s="751"/>
      <c r="AR529" s="752"/>
      <c r="AS529" s="752"/>
      <c r="AT529" s="752"/>
      <c r="AU529" s="752"/>
      <c r="AV529" s="752"/>
      <c r="AW529" s="752"/>
      <c r="AX529" s="752"/>
      <c r="AY529" s="753"/>
      <c r="AZ529" s="770"/>
    </row>
    <row r="530" spans="2:52" s="812" customFormat="1" ht="12.9" customHeight="1">
      <c r="B530" s="901" t="s">
        <v>4018</v>
      </c>
      <c r="C530" s="900"/>
      <c r="D530" s="901"/>
      <c r="E530" s="902"/>
      <c r="F530" s="901"/>
      <c r="G530" s="903"/>
      <c r="H530" s="903"/>
      <c r="I530" s="903"/>
      <c r="J530" s="903"/>
      <c r="K530" s="903"/>
      <c r="L530" s="903"/>
      <c r="M530" s="903"/>
      <c r="N530" s="903"/>
      <c r="O530" s="903"/>
      <c r="P530" s="903"/>
      <c r="Q530" s="903"/>
      <c r="R530" s="903"/>
      <c r="S530" s="903"/>
      <c r="T530" s="903"/>
      <c r="U530" s="903"/>
      <c r="V530" s="903"/>
      <c r="W530" s="903"/>
      <c r="X530" s="903"/>
      <c r="Y530" s="903"/>
      <c r="Z530" s="903"/>
      <c r="AA530" s="903"/>
      <c r="AB530" s="903"/>
      <c r="AC530" s="903"/>
      <c r="AD530" s="904"/>
      <c r="AE530" s="750"/>
      <c r="AF530" s="751"/>
      <c r="AG530" s="751"/>
      <c r="AH530" s="751"/>
      <c r="AI530" s="751"/>
      <c r="AJ530" s="751"/>
      <c r="AK530" s="751"/>
      <c r="AL530" s="751"/>
      <c r="AM530" s="751"/>
      <c r="AN530" s="751"/>
      <c r="AO530" s="751"/>
      <c r="AP530" s="751"/>
      <c r="AQ530" s="751"/>
      <c r="AR530" s="752"/>
      <c r="AS530" s="752"/>
      <c r="AT530" s="752"/>
      <c r="AU530" s="752"/>
      <c r="AV530" s="752"/>
      <c r="AW530" s="752"/>
      <c r="AX530" s="752"/>
      <c r="AY530" s="753"/>
      <c r="AZ530" s="770"/>
    </row>
    <row r="531" spans="2:52" s="753" customFormat="1" ht="12" customHeight="1">
      <c r="B531" s="810"/>
      <c r="C531" s="797"/>
      <c r="E531" s="809"/>
      <c r="G531" s="817"/>
      <c r="H531" s="817"/>
      <c r="I531" s="817"/>
      <c r="J531" s="817"/>
      <c r="K531" s="817"/>
      <c r="L531" s="817"/>
      <c r="M531" s="817"/>
      <c r="N531" s="817"/>
      <c r="AE531" s="750"/>
      <c r="AF531" s="751"/>
      <c r="AG531" s="751"/>
      <c r="AH531" s="751"/>
      <c r="AI531" s="751"/>
      <c r="AJ531" s="751"/>
      <c r="AK531" s="751"/>
      <c r="AL531" s="751"/>
      <c r="AM531" s="751"/>
      <c r="AN531" s="751"/>
      <c r="AO531" s="751"/>
      <c r="AP531" s="751"/>
      <c r="AQ531" s="751"/>
      <c r="AR531" s="751"/>
      <c r="AS531" s="751"/>
      <c r="AT531" s="751"/>
      <c r="AU531" s="751"/>
      <c r="AV531" s="751"/>
      <c r="AW531" s="751"/>
      <c r="AX531" s="752"/>
    </row>
    <row r="532" spans="2:52" s="753" customFormat="1" ht="12" customHeight="1">
      <c r="B532" s="810"/>
      <c r="C532" s="797"/>
      <c r="E532" s="809"/>
      <c r="G532" s="817"/>
      <c r="H532" s="817"/>
      <c r="I532" s="817"/>
      <c r="J532" s="817"/>
      <c r="K532" s="817"/>
      <c r="L532" s="817"/>
      <c r="M532" s="817"/>
      <c r="N532" s="817"/>
      <c r="AE532" s="750"/>
      <c r="AF532" s="751"/>
      <c r="AG532" s="751"/>
      <c r="AH532" s="751"/>
      <c r="AI532" s="751"/>
      <c r="AJ532" s="751"/>
      <c r="AK532" s="751"/>
      <c r="AL532" s="751"/>
      <c r="AM532" s="751"/>
      <c r="AN532" s="751"/>
      <c r="AO532" s="751"/>
      <c r="AP532" s="751"/>
      <c r="AQ532" s="751"/>
      <c r="AR532" s="751"/>
      <c r="AS532" s="751"/>
      <c r="AT532" s="751"/>
      <c r="AU532" s="751"/>
      <c r="AV532" s="751"/>
      <c r="AW532" s="751"/>
      <c r="AX532" s="752"/>
    </row>
    <row r="533" spans="2:52" s="753" customFormat="1" ht="12" customHeight="1">
      <c r="B533" s="810"/>
      <c r="C533" s="797"/>
      <c r="E533" s="809"/>
      <c r="G533" s="817"/>
      <c r="H533" s="817"/>
      <c r="I533" s="817"/>
      <c r="J533" s="817"/>
      <c r="K533" s="817"/>
      <c r="L533" s="817"/>
      <c r="M533" s="817"/>
      <c r="N533" s="817"/>
      <c r="AE533" s="750"/>
      <c r="AF533" s="751"/>
      <c r="AG533" s="751"/>
      <c r="AH533" s="751"/>
      <c r="AI533" s="751"/>
      <c r="AJ533" s="751"/>
      <c r="AK533" s="751"/>
      <c r="AL533" s="751"/>
      <c r="AM533" s="751"/>
      <c r="AN533" s="751"/>
      <c r="AO533" s="751"/>
      <c r="AP533" s="751"/>
      <c r="AQ533" s="751"/>
      <c r="AR533" s="751"/>
      <c r="AS533" s="751"/>
      <c r="AT533" s="751"/>
      <c r="AU533" s="751"/>
      <c r="AV533" s="751"/>
      <c r="AW533" s="751"/>
      <c r="AX533" s="752"/>
    </row>
    <row r="534" spans="2:52" s="753" customFormat="1" ht="12" customHeight="1">
      <c r="B534" s="810"/>
      <c r="C534" s="797"/>
      <c r="E534" s="809"/>
      <c r="G534" s="817"/>
      <c r="H534" s="817"/>
      <c r="I534" s="817"/>
      <c r="J534" s="817"/>
      <c r="K534" s="817"/>
      <c r="L534" s="817"/>
      <c r="M534" s="817"/>
      <c r="N534" s="817"/>
      <c r="AE534" s="750"/>
      <c r="AF534" s="751"/>
      <c r="AG534" s="751"/>
      <c r="AH534" s="751"/>
      <c r="AI534" s="751"/>
      <c r="AJ534" s="751"/>
      <c r="AK534" s="751"/>
      <c r="AL534" s="751"/>
      <c r="AM534" s="751"/>
      <c r="AN534" s="751"/>
      <c r="AO534" s="751"/>
      <c r="AP534" s="751"/>
      <c r="AQ534" s="751"/>
      <c r="AR534" s="751"/>
      <c r="AS534" s="751"/>
      <c r="AT534" s="751"/>
      <c r="AU534" s="751"/>
      <c r="AV534" s="751"/>
      <c r="AW534" s="751"/>
      <c r="AX534" s="752"/>
    </row>
    <row r="535" spans="2:52" s="753" customFormat="1" ht="12" customHeight="1">
      <c r="B535" s="810"/>
      <c r="C535" s="797"/>
      <c r="E535" s="809"/>
      <c r="G535" s="817"/>
      <c r="H535" s="817"/>
      <c r="I535" s="817"/>
      <c r="J535" s="817"/>
      <c r="K535" s="817"/>
      <c r="L535" s="817"/>
      <c r="M535" s="817"/>
      <c r="N535" s="817"/>
      <c r="AE535" s="750"/>
      <c r="AF535" s="751"/>
      <c r="AG535" s="751"/>
      <c r="AH535" s="751"/>
      <c r="AI535" s="751"/>
      <c r="AJ535" s="751"/>
      <c r="AK535" s="751"/>
      <c r="AL535" s="751"/>
      <c r="AM535" s="751"/>
      <c r="AN535" s="751"/>
      <c r="AO535" s="751"/>
      <c r="AP535" s="751"/>
      <c r="AQ535" s="751"/>
      <c r="AR535" s="751"/>
      <c r="AS535" s="751"/>
      <c r="AT535" s="751"/>
      <c r="AU535" s="751"/>
      <c r="AV535" s="751"/>
      <c r="AW535" s="751"/>
      <c r="AX535" s="752"/>
    </row>
    <row r="536" spans="2:52" s="753" customFormat="1" ht="12" customHeight="1">
      <c r="B536" s="810"/>
      <c r="C536" s="797"/>
      <c r="E536" s="809"/>
      <c r="G536" s="817"/>
      <c r="H536" s="817"/>
      <c r="I536" s="817"/>
      <c r="J536" s="817"/>
      <c r="K536" s="817"/>
      <c r="L536" s="817"/>
      <c r="M536" s="817"/>
      <c r="N536" s="817"/>
      <c r="AE536" s="750"/>
      <c r="AF536" s="751"/>
      <c r="AG536" s="751"/>
      <c r="AH536" s="751"/>
      <c r="AI536" s="751"/>
      <c r="AJ536" s="751"/>
      <c r="AK536" s="751"/>
      <c r="AL536" s="751"/>
      <c r="AM536" s="751"/>
      <c r="AN536" s="751"/>
      <c r="AO536" s="751"/>
      <c r="AP536" s="751"/>
      <c r="AQ536" s="751"/>
      <c r="AR536" s="751"/>
      <c r="AS536" s="751"/>
      <c r="AT536" s="751"/>
      <c r="AU536" s="751"/>
      <c r="AV536" s="751"/>
      <c r="AW536" s="751"/>
      <c r="AX536" s="752"/>
    </row>
    <row r="537" spans="2:52" s="753" customFormat="1" ht="12" customHeight="1">
      <c r="B537" s="810"/>
      <c r="C537" s="797"/>
      <c r="E537" s="809"/>
      <c r="G537" s="817"/>
      <c r="H537" s="817"/>
      <c r="I537" s="817"/>
      <c r="J537" s="817"/>
      <c r="K537" s="817"/>
      <c r="L537" s="817"/>
      <c r="M537" s="817"/>
      <c r="N537" s="817"/>
      <c r="AE537" s="750"/>
      <c r="AF537" s="751"/>
      <c r="AG537" s="751"/>
      <c r="AH537" s="751"/>
      <c r="AI537" s="751"/>
      <c r="AJ537" s="751"/>
      <c r="AK537" s="751"/>
      <c r="AL537" s="751"/>
      <c r="AM537" s="751"/>
      <c r="AN537" s="751"/>
      <c r="AO537" s="751"/>
      <c r="AP537" s="751"/>
      <c r="AQ537" s="751"/>
      <c r="AR537" s="751"/>
      <c r="AS537" s="751"/>
      <c r="AT537" s="751"/>
      <c r="AU537" s="751"/>
      <c r="AV537" s="751"/>
      <c r="AW537" s="751"/>
      <c r="AX537" s="752"/>
    </row>
    <row r="538" spans="2:52" s="753" customFormat="1" ht="12" customHeight="1">
      <c r="B538" s="810"/>
      <c r="C538" s="797"/>
      <c r="E538" s="809"/>
      <c r="G538" s="817"/>
      <c r="H538" s="817"/>
      <c r="I538" s="817"/>
      <c r="J538" s="817"/>
      <c r="K538" s="817"/>
      <c r="L538" s="817"/>
      <c r="M538" s="817"/>
      <c r="N538" s="817"/>
      <c r="AE538" s="750"/>
      <c r="AF538" s="751"/>
      <c r="AG538" s="751"/>
      <c r="AH538" s="751"/>
      <c r="AI538" s="751"/>
      <c r="AJ538" s="751"/>
      <c r="AK538" s="751"/>
      <c r="AL538" s="751"/>
      <c r="AM538" s="751"/>
      <c r="AN538" s="751"/>
      <c r="AO538" s="751"/>
      <c r="AP538" s="751"/>
      <c r="AQ538" s="751"/>
      <c r="AR538" s="751"/>
      <c r="AS538" s="751"/>
      <c r="AT538" s="751"/>
      <c r="AU538" s="751"/>
      <c r="AV538" s="751"/>
      <c r="AW538" s="751"/>
      <c r="AX538" s="752"/>
    </row>
    <row r="539" spans="2:52" s="753" customFormat="1" ht="12" customHeight="1">
      <c r="B539" s="810"/>
      <c r="C539" s="797"/>
      <c r="E539" s="809"/>
      <c r="G539" s="817"/>
      <c r="H539" s="817"/>
      <c r="I539" s="817"/>
      <c r="J539" s="817"/>
      <c r="K539" s="817"/>
      <c r="L539" s="817"/>
      <c r="M539" s="817"/>
      <c r="N539" s="817"/>
      <c r="AE539" s="750"/>
      <c r="AF539" s="751"/>
      <c r="AG539" s="751"/>
      <c r="AH539" s="751"/>
      <c r="AI539" s="751"/>
      <c r="AJ539" s="751"/>
      <c r="AK539" s="751"/>
      <c r="AL539" s="751"/>
      <c r="AM539" s="751"/>
      <c r="AN539" s="751"/>
      <c r="AO539" s="751"/>
      <c r="AP539" s="751"/>
      <c r="AQ539" s="751"/>
      <c r="AR539" s="751"/>
      <c r="AS539" s="751"/>
      <c r="AT539" s="751"/>
      <c r="AU539" s="751"/>
      <c r="AV539" s="751"/>
      <c r="AW539" s="751"/>
      <c r="AX539" s="752"/>
    </row>
    <row r="540" spans="2:52" s="753" customFormat="1" ht="12" customHeight="1">
      <c r="B540" s="810"/>
      <c r="C540" s="797"/>
      <c r="E540" s="809"/>
      <c r="G540" s="817"/>
      <c r="H540" s="817"/>
      <c r="I540" s="817"/>
      <c r="J540" s="817"/>
      <c r="K540" s="817"/>
      <c r="L540" s="817"/>
      <c r="M540" s="817"/>
      <c r="N540" s="817"/>
      <c r="AE540" s="750"/>
      <c r="AF540" s="751"/>
      <c r="AG540" s="751"/>
      <c r="AH540" s="751"/>
      <c r="AI540" s="751"/>
      <c r="AJ540" s="751"/>
      <c r="AK540" s="751"/>
      <c r="AL540" s="751"/>
      <c r="AM540" s="751"/>
      <c r="AN540" s="751"/>
      <c r="AO540" s="751"/>
      <c r="AP540" s="751"/>
      <c r="AQ540" s="751"/>
      <c r="AR540" s="751"/>
      <c r="AS540" s="751"/>
      <c r="AT540" s="751"/>
      <c r="AU540" s="751"/>
      <c r="AV540" s="751"/>
      <c r="AW540" s="751"/>
      <c r="AX540" s="752"/>
    </row>
    <row r="541" spans="2:52" s="753" customFormat="1" ht="12" customHeight="1">
      <c r="B541" s="810"/>
      <c r="C541" s="797"/>
      <c r="E541" s="809"/>
      <c r="G541" s="817"/>
      <c r="H541" s="817"/>
      <c r="I541" s="817"/>
      <c r="J541" s="817"/>
      <c r="K541" s="817"/>
      <c r="L541" s="817"/>
      <c r="M541" s="817"/>
      <c r="N541" s="817"/>
      <c r="AE541" s="750"/>
      <c r="AF541" s="751"/>
      <c r="AG541" s="751"/>
      <c r="AH541" s="751"/>
      <c r="AI541" s="751"/>
      <c r="AJ541" s="751"/>
      <c r="AK541" s="751"/>
      <c r="AL541" s="751"/>
      <c r="AM541" s="751"/>
      <c r="AN541" s="751"/>
      <c r="AO541" s="751"/>
      <c r="AP541" s="751"/>
      <c r="AQ541" s="751"/>
      <c r="AR541" s="751"/>
      <c r="AS541" s="751"/>
      <c r="AT541" s="751"/>
      <c r="AU541" s="751"/>
      <c r="AV541" s="751"/>
      <c r="AW541" s="751"/>
      <c r="AX541" s="752"/>
    </row>
    <row r="542" spans="2:52" s="753" customFormat="1" ht="12" customHeight="1">
      <c r="B542" s="810"/>
      <c r="C542" s="797"/>
      <c r="E542" s="809"/>
      <c r="G542" s="817"/>
      <c r="H542" s="817"/>
      <c r="I542" s="817"/>
      <c r="J542" s="817"/>
      <c r="K542" s="817"/>
      <c r="L542" s="817"/>
      <c r="M542" s="817"/>
      <c r="N542" s="817"/>
      <c r="AE542" s="750"/>
      <c r="AF542" s="751"/>
      <c r="AG542" s="751"/>
      <c r="AH542" s="751"/>
      <c r="AI542" s="751"/>
      <c r="AJ542" s="751"/>
      <c r="AK542" s="751"/>
      <c r="AL542" s="751"/>
      <c r="AM542" s="751"/>
      <c r="AN542" s="751"/>
      <c r="AO542" s="751"/>
      <c r="AP542" s="751"/>
      <c r="AQ542" s="751"/>
      <c r="AR542" s="751"/>
      <c r="AS542" s="751"/>
      <c r="AT542" s="751"/>
      <c r="AU542" s="751"/>
      <c r="AV542" s="751"/>
      <c r="AW542" s="751"/>
      <c r="AX542" s="752"/>
    </row>
    <row r="543" spans="2:52" s="753" customFormat="1" ht="12" customHeight="1">
      <c r="B543" s="810"/>
      <c r="C543" s="797"/>
      <c r="E543" s="809"/>
      <c r="G543" s="817"/>
      <c r="H543" s="817"/>
      <c r="I543" s="817"/>
      <c r="J543" s="817"/>
      <c r="K543" s="817"/>
      <c r="L543" s="817"/>
      <c r="M543" s="817"/>
      <c r="N543" s="817"/>
      <c r="AE543" s="750"/>
      <c r="AF543" s="751"/>
      <c r="AG543" s="751"/>
      <c r="AH543" s="751"/>
      <c r="AI543" s="751"/>
      <c r="AJ543" s="751"/>
      <c r="AK543" s="751"/>
      <c r="AL543" s="751"/>
      <c r="AM543" s="751"/>
      <c r="AN543" s="751"/>
      <c r="AO543" s="751"/>
      <c r="AP543" s="751"/>
      <c r="AQ543" s="751"/>
      <c r="AR543" s="751"/>
      <c r="AS543" s="751"/>
      <c r="AT543" s="751"/>
      <c r="AU543" s="751"/>
      <c r="AV543" s="751"/>
      <c r="AW543" s="751"/>
      <c r="AX543" s="752"/>
    </row>
    <row r="544" spans="2:52" s="753" customFormat="1" ht="12" customHeight="1">
      <c r="B544" s="810"/>
      <c r="C544" s="797"/>
      <c r="E544" s="809"/>
      <c r="G544" s="817"/>
      <c r="H544" s="817"/>
      <c r="I544" s="817"/>
      <c r="J544" s="817"/>
      <c r="K544" s="817"/>
      <c r="L544" s="817"/>
      <c r="M544" s="817"/>
      <c r="N544" s="817"/>
      <c r="AE544" s="750"/>
      <c r="AF544" s="751"/>
      <c r="AG544" s="751"/>
      <c r="AH544" s="751"/>
      <c r="AI544" s="751"/>
      <c r="AJ544" s="751"/>
      <c r="AK544" s="751"/>
      <c r="AL544" s="751"/>
      <c r="AM544" s="751"/>
      <c r="AN544" s="751"/>
      <c r="AO544" s="751"/>
      <c r="AP544" s="751"/>
      <c r="AQ544" s="751"/>
      <c r="AR544" s="751"/>
      <c r="AS544" s="751"/>
      <c r="AT544" s="751"/>
      <c r="AU544" s="751"/>
      <c r="AV544" s="751"/>
      <c r="AW544" s="751"/>
      <c r="AX544" s="752"/>
    </row>
    <row r="545" spans="1:52" s="753" customFormat="1" ht="12" customHeight="1">
      <c r="B545" s="810"/>
      <c r="C545" s="797"/>
      <c r="E545" s="809"/>
      <c r="G545" s="817"/>
      <c r="H545" s="817"/>
      <c r="I545" s="817"/>
      <c r="J545" s="817"/>
      <c r="K545" s="817"/>
      <c r="L545" s="817"/>
      <c r="M545" s="817"/>
      <c r="N545" s="817"/>
      <c r="AE545" s="750"/>
      <c r="AF545" s="751"/>
      <c r="AG545" s="751"/>
      <c r="AH545" s="751"/>
      <c r="AI545" s="751"/>
      <c r="AJ545" s="751"/>
      <c r="AK545" s="751"/>
      <c r="AL545" s="751"/>
      <c r="AM545" s="751"/>
      <c r="AN545" s="751"/>
      <c r="AO545" s="751"/>
      <c r="AP545" s="751"/>
      <c r="AQ545" s="751"/>
      <c r="AR545" s="751"/>
      <c r="AS545" s="751"/>
      <c r="AT545" s="751"/>
      <c r="AU545" s="751"/>
      <c r="AV545" s="751"/>
      <c r="AW545" s="751"/>
      <c r="AX545" s="752"/>
    </row>
    <row r="546" spans="1:52" s="753" customFormat="1" ht="12" customHeight="1">
      <c r="B546" s="810"/>
      <c r="C546" s="797"/>
      <c r="E546" s="809"/>
      <c r="G546" s="817"/>
      <c r="H546" s="817"/>
      <c r="I546" s="817"/>
      <c r="J546" s="817"/>
      <c r="K546" s="817"/>
      <c r="L546" s="817"/>
      <c r="M546" s="817"/>
      <c r="N546" s="817"/>
      <c r="AE546" s="750"/>
      <c r="AF546" s="751"/>
      <c r="AG546" s="751"/>
      <c r="AH546" s="751"/>
      <c r="AI546" s="751"/>
      <c r="AJ546" s="751"/>
      <c r="AK546" s="751"/>
      <c r="AL546" s="751"/>
      <c r="AM546" s="751"/>
      <c r="AN546" s="751"/>
      <c r="AO546" s="751"/>
      <c r="AP546" s="751"/>
      <c r="AQ546" s="751"/>
      <c r="AR546" s="751"/>
      <c r="AS546" s="751"/>
      <c r="AT546" s="751"/>
      <c r="AU546" s="751"/>
      <c r="AV546" s="751"/>
      <c r="AW546" s="751"/>
      <c r="AX546" s="752"/>
    </row>
    <row r="547" spans="1:52" s="753" customFormat="1" ht="12" customHeight="1">
      <c r="B547" s="810"/>
      <c r="C547" s="797"/>
      <c r="E547" s="809"/>
      <c r="G547" s="817"/>
      <c r="H547" s="817"/>
      <c r="I547" s="817"/>
      <c r="J547" s="817"/>
      <c r="K547" s="817"/>
      <c r="L547" s="817"/>
      <c r="M547" s="817"/>
      <c r="N547" s="817"/>
      <c r="AE547" s="750"/>
      <c r="AF547" s="751"/>
      <c r="AG547" s="751"/>
      <c r="AH547" s="751"/>
      <c r="AI547" s="751"/>
      <c r="AJ547" s="751"/>
      <c r="AK547" s="751"/>
      <c r="AL547" s="751"/>
      <c r="AM547" s="751"/>
      <c r="AN547" s="751"/>
      <c r="AO547" s="751"/>
      <c r="AP547" s="751"/>
      <c r="AQ547" s="751"/>
      <c r="AR547" s="751"/>
      <c r="AS547" s="751"/>
      <c r="AT547" s="751"/>
      <c r="AU547" s="751"/>
      <c r="AV547" s="751"/>
      <c r="AW547" s="751"/>
      <c r="AX547" s="752"/>
    </row>
    <row r="548" spans="1:52" s="753" customFormat="1" ht="12" customHeight="1">
      <c r="B548" s="810"/>
      <c r="C548" s="797"/>
      <c r="E548" s="809"/>
      <c r="G548" s="817"/>
      <c r="H548" s="817"/>
      <c r="I548" s="817"/>
      <c r="J548" s="817"/>
      <c r="K548" s="817"/>
      <c r="L548" s="817"/>
      <c r="M548" s="817"/>
      <c r="N548" s="817"/>
      <c r="AE548" s="750"/>
      <c r="AF548" s="751"/>
      <c r="AG548" s="751"/>
      <c r="AH548" s="751"/>
      <c r="AI548" s="751"/>
      <c r="AJ548" s="751"/>
      <c r="AK548" s="751"/>
      <c r="AL548" s="751"/>
      <c r="AM548" s="751"/>
      <c r="AN548" s="751"/>
      <c r="AO548" s="751"/>
      <c r="AP548" s="751"/>
      <c r="AQ548" s="751"/>
      <c r="AR548" s="751"/>
      <c r="AS548" s="751"/>
      <c r="AT548" s="751"/>
      <c r="AU548" s="751"/>
      <c r="AV548" s="751"/>
      <c r="AW548" s="751"/>
      <c r="AX548" s="752"/>
    </row>
    <row r="549" spans="1:52" s="753" customFormat="1" ht="12" customHeight="1">
      <c r="B549" s="810"/>
      <c r="C549" s="797"/>
      <c r="E549" s="809"/>
      <c r="G549" s="817"/>
      <c r="H549" s="817"/>
      <c r="I549" s="817"/>
      <c r="J549" s="817"/>
      <c r="K549" s="817"/>
      <c r="L549" s="817"/>
      <c r="M549" s="817"/>
      <c r="N549" s="817"/>
      <c r="AE549" s="750"/>
      <c r="AF549" s="751"/>
      <c r="AG549" s="751"/>
      <c r="AH549" s="751"/>
      <c r="AI549" s="751"/>
      <c r="AJ549" s="751"/>
      <c r="AK549" s="751"/>
      <c r="AL549" s="751"/>
      <c r="AM549" s="751"/>
      <c r="AN549" s="751"/>
      <c r="AO549" s="751"/>
      <c r="AP549" s="751"/>
      <c r="AQ549" s="751"/>
      <c r="AR549" s="751"/>
      <c r="AS549" s="751"/>
      <c r="AT549" s="751"/>
      <c r="AU549" s="751"/>
      <c r="AV549" s="751"/>
      <c r="AW549" s="751"/>
      <c r="AX549" s="752"/>
    </row>
    <row r="550" spans="1:52" s="753" customFormat="1" ht="12" customHeight="1">
      <c r="B550" s="810"/>
      <c r="C550" s="797"/>
      <c r="E550" s="809"/>
      <c r="G550" s="817"/>
      <c r="H550" s="817"/>
      <c r="I550" s="817"/>
      <c r="J550" s="817"/>
      <c r="K550" s="817"/>
      <c r="L550" s="817"/>
      <c r="M550" s="817"/>
      <c r="N550" s="817"/>
      <c r="AE550" s="750"/>
      <c r="AF550" s="751"/>
      <c r="AG550" s="751"/>
      <c r="AH550" s="751"/>
      <c r="AI550" s="751"/>
      <c r="AJ550" s="751"/>
      <c r="AK550" s="751"/>
      <c r="AL550" s="751"/>
      <c r="AM550" s="751"/>
      <c r="AN550" s="751"/>
      <c r="AO550" s="751"/>
      <c r="AP550" s="751"/>
      <c r="AQ550" s="751"/>
      <c r="AR550" s="751"/>
      <c r="AS550" s="751"/>
      <c r="AT550" s="751"/>
      <c r="AU550" s="751"/>
      <c r="AV550" s="751"/>
      <c r="AW550" s="751"/>
      <c r="AX550" s="752"/>
    </row>
    <row r="551" spans="1:52" s="753" customFormat="1" ht="12" customHeight="1">
      <c r="B551" s="810"/>
      <c r="C551" s="797"/>
      <c r="E551" s="809"/>
      <c r="G551" s="817"/>
      <c r="H551" s="817"/>
      <c r="I551" s="817"/>
      <c r="J551" s="817"/>
      <c r="K551" s="817"/>
      <c r="L551" s="817"/>
      <c r="M551" s="817"/>
      <c r="N551" s="817"/>
      <c r="AE551" s="750"/>
      <c r="AF551" s="751"/>
      <c r="AG551" s="751"/>
      <c r="AH551" s="751"/>
      <c r="AI551" s="751"/>
      <c r="AJ551" s="751"/>
      <c r="AK551" s="751"/>
      <c r="AL551" s="751"/>
      <c r="AM551" s="751"/>
      <c r="AN551" s="751"/>
      <c r="AO551" s="751"/>
      <c r="AP551" s="751"/>
      <c r="AQ551" s="751"/>
      <c r="AR551" s="751"/>
      <c r="AS551" s="751"/>
      <c r="AT551" s="751"/>
      <c r="AU551" s="751"/>
      <c r="AV551" s="751"/>
      <c r="AW551" s="751"/>
      <c r="AX551" s="752"/>
    </row>
    <row r="552" spans="1:52" s="753" customFormat="1" ht="12" customHeight="1">
      <c r="B552" s="810"/>
      <c r="C552" s="797"/>
      <c r="E552" s="809"/>
      <c r="G552" s="817"/>
      <c r="H552" s="817"/>
      <c r="I552" s="817"/>
      <c r="J552" s="817"/>
      <c r="K552" s="817"/>
      <c r="L552" s="817"/>
      <c r="M552" s="817"/>
      <c r="N552" s="817"/>
      <c r="AE552" s="750"/>
      <c r="AF552" s="751"/>
      <c r="AG552" s="751"/>
      <c r="AH552" s="751"/>
      <c r="AI552" s="751"/>
      <c r="AJ552" s="751"/>
      <c r="AK552" s="751"/>
      <c r="AL552" s="751"/>
      <c r="AM552" s="751"/>
      <c r="AN552" s="751"/>
      <c r="AO552" s="751"/>
      <c r="AP552" s="751"/>
      <c r="AQ552" s="751"/>
      <c r="AR552" s="751"/>
      <c r="AS552" s="751"/>
      <c r="AT552" s="751"/>
      <c r="AU552" s="751"/>
      <c r="AV552" s="751"/>
      <c r="AW552" s="751"/>
      <c r="AX552" s="752"/>
    </row>
    <row r="553" spans="1:52" s="753" customFormat="1" ht="12" customHeight="1">
      <c r="B553" s="810"/>
      <c r="C553" s="797"/>
      <c r="E553" s="809"/>
      <c r="G553" s="817"/>
      <c r="H553" s="817"/>
      <c r="I553" s="817"/>
      <c r="J553" s="817"/>
      <c r="K553" s="817"/>
      <c r="L553" s="817"/>
      <c r="M553" s="817"/>
      <c r="N553" s="817"/>
      <c r="AE553" s="750"/>
      <c r="AF553" s="751"/>
      <c r="AG553" s="751"/>
      <c r="AH553" s="751"/>
      <c r="AI553" s="751"/>
      <c r="AJ553" s="751"/>
      <c r="AK553" s="751"/>
      <c r="AL553" s="751"/>
      <c r="AM553" s="751"/>
      <c r="AN553" s="751"/>
      <c r="AO553" s="751"/>
      <c r="AP553" s="751"/>
      <c r="AQ553" s="751"/>
      <c r="AR553" s="751"/>
      <c r="AS553" s="751"/>
      <c r="AT553" s="751"/>
      <c r="AU553" s="751"/>
      <c r="AV553" s="751"/>
      <c r="AW553" s="751"/>
      <c r="AX553" s="752"/>
    </row>
    <row r="554" spans="1:52" s="753" customFormat="1" ht="12" customHeight="1">
      <c r="B554" s="810"/>
      <c r="C554" s="797"/>
      <c r="E554" s="809"/>
      <c r="G554" s="817"/>
      <c r="H554" s="817"/>
      <c r="I554" s="817"/>
      <c r="J554" s="817"/>
      <c r="K554" s="817"/>
      <c r="L554" s="817"/>
      <c r="M554" s="817"/>
      <c r="N554" s="817"/>
      <c r="AE554" s="750"/>
      <c r="AF554" s="751"/>
      <c r="AG554" s="751"/>
      <c r="AH554" s="751"/>
      <c r="AI554" s="751"/>
      <c r="AJ554" s="751"/>
      <c r="AK554" s="751"/>
      <c r="AL554" s="751"/>
      <c r="AM554" s="751"/>
      <c r="AN554" s="751"/>
      <c r="AO554" s="751"/>
      <c r="AP554" s="751"/>
      <c r="AQ554" s="751"/>
      <c r="AR554" s="751"/>
      <c r="AS554" s="751"/>
      <c r="AT554" s="751"/>
      <c r="AU554" s="751"/>
      <c r="AV554" s="751"/>
      <c r="AW554" s="751"/>
      <c r="AX554" s="752"/>
    </row>
    <row r="555" spans="1:52" s="753" customFormat="1" ht="12" customHeight="1">
      <c r="B555" s="796" t="s">
        <v>4027</v>
      </c>
      <c r="C555" s="797"/>
      <c r="E555" s="798"/>
      <c r="F555" s="799"/>
      <c r="AE555" s="750"/>
      <c r="AF555" s="751"/>
      <c r="AG555" s="751"/>
      <c r="AH555" s="751"/>
      <c r="AI555" s="751"/>
      <c r="AJ555" s="751"/>
      <c r="AK555" s="751"/>
      <c r="AL555" s="751"/>
      <c r="AM555" s="751"/>
      <c r="AN555" s="751"/>
      <c r="AO555" s="751"/>
      <c r="AP555" s="751"/>
      <c r="AQ555" s="751"/>
      <c r="AR555" s="752"/>
      <c r="AS555" s="752"/>
      <c r="AT555" s="752"/>
      <c r="AU555" s="752"/>
      <c r="AV555" s="752"/>
      <c r="AW555" s="752"/>
      <c r="AX555" s="752"/>
    </row>
    <row r="556" spans="1:52" s="812" customFormat="1" ht="12.9" customHeight="1">
      <c r="B556" s="800" t="s">
        <v>4068</v>
      </c>
      <c r="C556" s="801"/>
      <c r="D556" s="863"/>
      <c r="E556" s="864"/>
      <c r="F556" s="863"/>
      <c r="G556" s="865"/>
      <c r="H556" s="865"/>
      <c r="I556" s="865"/>
      <c r="J556" s="865"/>
      <c r="K556" s="865"/>
      <c r="L556" s="865"/>
      <c r="M556" s="865"/>
      <c r="N556" s="865"/>
      <c r="O556" s="865"/>
      <c r="P556" s="865"/>
      <c r="Q556" s="865"/>
      <c r="R556" s="865"/>
      <c r="S556" s="865"/>
      <c r="T556" s="865"/>
      <c r="U556" s="865"/>
      <c r="V556" s="865"/>
      <c r="W556" s="865"/>
      <c r="X556" s="865"/>
      <c r="Y556" s="865"/>
      <c r="Z556" s="865"/>
      <c r="AA556" s="865"/>
      <c r="AB556" s="865"/>
      <c r="AC556" s="865"/>
      <c r="AD556" s="806" t="s">
        <v>584</v>
      </c>
      <c r="AE556" s="750"/>
      <c r="AF556" s="751"/>
      <c r="AG556" s="751"/>
      <c r="AH556" s="751"/>
      <c r="AI556" s="751"/>
      <c r="AJ556" s="751"/>
      <c r="AK556" s="751"/>
      <c r="AL556" s="751"/>
      <c r="AM556" s="751"/>
      <c r="AN556" s="751"/>
      <c r="AO556" s="751"/>
      <c r="AP556" s="751"/>
      <c r="AQ556" s="751"/>
      <c r="AR556" s="752"/>
      <c r="AS556" s="752"/>
      <c r="AT556" s="752"/>
      <c r="AU556" s="752"/>
      <c r="AV556" s="752"/>
      <c r="AW556" s="752"/>
      <c r="AX556" s="752"/>
      <c r="AY556" s="753"/>
      <c r="AZ556" s="770"/>
    </row>
    <row r="557" spans="1:52" s="812" customFormat="1" ht="12.9" customHeight="1">
      <c r="B557" s="866"/>
      <c r="C557" s="808">
        <v>22</v>
      </c>
      <c r="D557" s="753" t="s">
        <v>4058</v>
      </c>
      <c r="E557" s="828"/>
      <c r="F557" s="828"/>
      <c r="G557" s="809"/>
      <c r="H557" s="809"/>
      <c r="I557" s="809"/>
      <c r="J557" s="809"/>
      <c r="K557" s="809"/>
      <c r="L557" s="809"/>
      <c r="M557" s="809"/>
      <c r="N557" s="828"/>
      <c r="O557" s="828"/>
      <c r="P557" s="828"/>
      <c r="Q557" s="828"/>
      <c r="Z557" s="818"/>
      <c r="AE557" s="750"/>
      <c r="AF557" s="751"/>
      <c r="AG557" s="751"/>
      <c r="AH557" s="751"/>
      <c r="AI557" s="751"/>
      <c r="AJ557" s="751"/>
      <c r="AK557" s="751"/>
      <c r="AL557" s="751"/>
      <c r="AM557" s="751"/>
      <c r="AN557" s="751"/>
      <c r="AO557" s="751"/>
      <c r="AP557" s="751"/>
      <c r="AQ557" s="751"/>
      <c r="AR557" s="751"/>
      <c r="AS557" s="751"/>
      <c r="AT557" s="751"/>
      <c r="AU557" s="751"/>
      <c r="AV557" s="751"/>
      <c r="AW557" s="751"/>
      <c r="AX557" s="752"/>
      <c r="AY557" s="753"/>
      <c r="AZ557" s="770"/>
    </row>
    <row r="558" spans="1:52" s="770" customFormat="1" ht="12" customHeight="1">
      <c r="A558" s="753"/>
      <c r="B558" s="810"/>
      <c r="C558" s="797"/>
      <c r="D558" s="922" t="s">
        <v>4043</v>
      </c>
      <c r="E558" s="809"/>
      <c r="F558" s="753"/>
      <c r="G558" s="753"/>
      <c r="H558" s="753"/>
      <c r="I558" s="753"/>
      <c r="J558" s="753"/>
      <c r="K558" s="753"/>
      <c r="L558" s="753"/>
      <c r="M558" s="753"/>
      <c r="N558" s="753"/>
      <c r="O558" s="753"/>
      <c r="P558" s="753"/>
      <c r="Q558" s="753"/>
      <c r="R558" s="753"/>
      <c r="S558" s="753"/>
      <c r="T558" s="753"/>
      <c r="U558" s="753"/>
      <c r="V558" s="753"/>
      <c r="W558" s="753"/>
      <c r="X558" s="753"/>
      <c r="Y558" s="753"/>
      <c r="Z558" s="753"/>
      <c r="AA558" s="753"/>
      <c r="AB558" s="753"/>
      <c r="AC558" s="753"/>
      <c r="AD558" s="753"/>
      <c r="AE558" s="750"/>
      <c r="AF558" s="751"/>
      <c r="AG558" s="751"/>
      <c r="AH558" s="751"/>
      <c r="AI558" s="751"/>
      <c r="AJ558" s="751"/>
      <c r="AK558" s="751"/>
      <c r="AL558" s="751"/>
      <c r="AM558" s="751"/>
      <c r="AN558" s="751"/>
      <c r="AO558" s="751"/>
      <c r="AP558" s="751"/>
      <c r="AQ558" s="751"/>
      <c r="AR558" s="751"/>
      <c r="AS558" s="751"/>
      <c r="AT558" s="751"/>
      <c r="AU558" s="751"/>
      <c r="AV558" s="751"/>
      <c r="AW558" s="751"/>
      <c r="AX558" s="752"/>
      <c r="AY558" s="753"/>
    </row>
    <row r="559" spans="1:52" s="770" customFormat="1" ht="12" customHeight="1">
      <c r="A559" s="753"/>
      <c r="B559" s="810"/>
      <c r="C559" s="797"/>
      <c r="D559" s="753"/>
      <c r="E559" s="809"/>
      <c r="F559" s="753"/>
      <c r="G559" s="817"/>
      <c r="H559" s="817"/>
      <c r="I559" s="817"/>
      <c r="J559" s="817"/>
      <c r="K559" s="817"/>
      <c r="L559" s="817"/>
      <c r="M559" s="817"/>
      <c r="N559" s="817"/>
      <c r="O559" s="753"/>
      <c r="P559" s="753"/>
      <c r="Q559" s="753"/>
      <c r="R559" s="753"/>
      <c r="S559" s="753"/>
      <c r="T559" s="753"/>
      <c r="U559" s="753"/>
      <c r="V559" s="753"/>
      <c r="W559" s="753"/>
      <c r="X559" s="753"/>
      <c r="Y559" s="753"/>
      <c r="Z559" s="753"/>
      <c r="AA559" s="753"/>
      <c r="AB559" s="753"/>
      <c r="AC559" s="753"/>
      <c r="AD559" s="753"/>
      <c r="AE559" s="750"/>
      <c r="AF559" s="751"/>
      <c r="AG559" s="751"/>
      <c r="AH559" s="751"/>
      <c r="AI559" s="751"/>
      <c r="AJ559" s="751"/>
      <c r="AK559" s="751"/>
      <c r="AL559" s="751"/>
      <c r="AM559" s="751"/>
      <c r="AN559" s="751"/>
      <c r="AO559" s="751"/>
      <c r="AP559" s="751"/>
      <c r="AQ559" s="751"/>
      <c r="AR559" s="751"/>
      <c r="AS559" s="751"/>
      <c r="AT559" s="751"/>
      <c r="AU559" s="751"/>
      <c r="AV559" s="751"/>
      <c r="AW559" s="751"/>
      <c r="AX559" s="752"/>
      <c r="AY559" s="753"/>
    </row>
    <row r="560" spans="1:52" s="770" customFormat="1" ht="12" customHeight="1">
      <c r="A560" s="753"/>
      <c r="B560" s="810"/>
      <c r="C560" s="797"/>
      <c r="D560" s="851" t="s">
        <v>4059</v>
      </c>
      <c r="E560" s="809"/>
      <c r="F560" s="753"/>
      <c r="G560" s="817"/>
      <c r="H560" s="817"/>
      <c r="I560" s="817"/>
      <c r="J560" s="817"/>
      <c r="K560" s="817"/>
      <c r="L560" s="817"/>
      <c r="M560" s="817"/>
      <c r="N560" s="817"/>
      <c r="O560" s="753"/>
      <c r="P560" s="753"/>
      <c r="Q560" s="753"/>
      <c r="R560" s="753"/>
      <c r="S560" s="753"/>
      <c r="T560" s="753"/>
      <c r="U560" s="753"/>
      <c r="V560" s="753"/>
      <c r="W560" s="753"/>
      <c r="X560" s="753"/>
      <c r="Y560" s="753"/>
      <c r="Z560" s="753"/>
      <c r="AA560" s="753"/>
      <c r="AB560" s="753"/>
      <c r="AC560" s="753"/>
      <c r="AD560" s="753"/>
      <c r="AE560" s="750"/>
      <c r="AF560" s="751"/>
      <c r="AG560" s="751"/>
      <c r="AH560" s="751"/>
      <c r="AI560" s="751"/>
      <c r="AJ560" s="751"/>
      <c r="AK560" s="751"/>
      <c r="AL560" s="751"/>
      <c r="AM560" s="751"/>
      <c r="AN560" s="751"/>
      <c r="AO560" s="751"/>
      <c r="AP560" s="751"/>
      <c r="AQ560" s="751"/>
      <c r="AR560" s="751"/>
      <c r="AS560" s="751"/>
      <c r="AT560" s="751"/>
      <c r="AU560" s="751"/>
      <c r="AV560" s="751"/>
      <c r="AW560" s="751"/>
      <c r="AX560" s="752"/>
      <c r="AY560" s="753"/>
    </row>
    <row r="561" spans="1:52" s="770" customFormat="1" ht="12" customHeight="1">
      <c r="A561" s="753"/>
      <c r="B561" s="810"/>
      <c r="C561" s="797"/>
      <c r="D561" s="851"/>
      <c r="E561" s="809"/>
      <c r="F561" s="753"/>
      <c r="G561" s="817"/>
      <c r="H561" s="817"/>
      <c r="I561" s="817"/>
      <c r="J561" s="817"/>
      <c r="K561" s="817"/>
      <c r="L561" s="817"/>
      <c r="M561" s="817"/>
      <c r="N561" s="817"/>
      <c r="O561" s="753"/>
      <c r="P561" s="753"/>
      <c r="Q561" s="753"/>
      <c r="R561" s="753"/>
      <c r="S561" s="753"/>
      <c r="T561" s="753"/>
      <c r="U561" s="753"/>
      <c r="V561" s="753"/>
      <c r="W561" s="753"/>
      <c r="X561" s="753"/>
      <c r="Y561" s="753"/>
      <c r="Z561" s="753"/>
      <c r="AA561" s="753"/>
      <c r="AB561" s="753"/>
      <c r="AC561" s="753"/>
      <c r="AD561" s="753"/>
      <c r="AE561" s="750"/>
      <c r="AF561" s="751"/>
      <c r="AG561" s="751"/>
      <c r="AH561" s="751"/>
      <c r="AI561" s="751"/>
      <c r="AJ561" s="751"/>
      <c r="AK561" s="751"/>
      <c r="AL561" s="751"/>
      <c r="AM561" s="751"/>
      <c r="AN561" s="751"/>
      <c r="AO561" s="751"/>
      <c r="AP561" s="751"/>
      <c r="AQ561" s="751"/>
      <c r="AR561" s="751"/>
      <c r="AS561" s="751"/>
      <c r="AT561" s="751"/>
      <c r="AU561" s="751"/>
      <c r="AV561" s="751"/>
      <c r="AW561" s="751"/>
      <c r="AX561" s="752"/>
      <c r="AY561" s="753"/>
    </row>
    <row r="562" spans="1:52" s="770" customFormat="1" ht="12" customHeight="1">
      <c r="A562" s="753"/>
      <c r="B562" s="810"/>
      <c r="C562" s="835"/>
      <c r="D562" s="753"/>
      <c r="E562" s="852"/>
      <c r="G562" s="853">
        <v>1</v>
      </c>
      <c r="H562" s="853">
        <v>2</v>
      </c>
      <c r="I562" s="853">
        <v>3</v>
      </c>
      <c r="J562" s="853">
        <v>4</v>
      </c>
      <c r="K562" s="853">
        <v>5</v>
      </c>
      <c r="L562" s="817"/>
      <c r="M562" s="817"/>
      <c r="N562" s="817"/>
      <c r="O562" s="825"/>
      <c r="P562" s="825"/>
      <c r="Q562" s="825"/>
      <c r="R562" s="825"/>
      <c r="S562" s="825"/>
      <c r="T562" s="825"/>
      <c r="U562" s="825"/>
      <c r="V562" s="825"/>
      <c r="W562" s="825"/>
      <c r="X562" s="825"/>
      <c r="Y562" s="825"/>
      <c r="Z562" s="825"/>
      <c r="AA562" s="825"/>
      <c r="AB562" s="825"/>
      <c r="AC562" s="825"/>
      <c r="AD562" s="799"/>
      <c r="AE562" s="750"/>
      <c r="AF562" s="751"/>
      <c r="AG562" s="751"/>
      <c r="AH562" s="751"/>
      <c r="AI562" s="751"/>
      <c r="AJ562" s="751"/>
      <c r="AK562" s="751"/>
      <c r="AL562" s="751"/>
      <c r="AM562" s="751"/>
      <c r="AN562" s="751"/>
      <c r="AO562" s="751"/>
      <c r="AP562" s="751"/>
      <c r="AQ562" s="751"/>
      <c r="AR562" s="752"/>
      <c r="AS562" s="752"/>
      <c r="AT562" s="752"/>
      <c r="AU562" s="752"/>
      <c r="AV562" s="752"/>
      <c r="AW562" s="752"/>
      <c r="AX562" s="752"/>
      <c r="AY562" s="753"/>
    </row>
    <row r="563" spans="1:52" s="770" customFormat="1" ht="78" customHeight="1">
      <c r="A563" s="753"/>
      <c r="B563" s="810"/>
      <c r="C563" s="811"/>
      <c r="D563" s="811"/>
      <c r="E563" s="852"/>
      <c r="G563" s="855" t="s">
        <v>4030</v>
      </c>
      <c r="H563" s="855" t="s">
        <v>4031</v>
      </c>
      <c r="I563" s="855" t="s">
        <v>4032</v>
      </c>
      <c r="J563" s="855" t="s">
        <v>4033</v>
      </c>
      <c r="K563" s="855" t="s">
        <v>4034</v>
      </c>
      <c r="L563" s="927"/>
      <c r="M563" s="927"/>
      <c r="N563" s="927"/>
      <c r="O563" s="825"/>
      <c r="P563" s="825"/>
      <c r="Q563" s="825"/>
      <c r="R563" s="825"/>
      <c r="S563" s="825"/>
      <c r="T563" s="825"/>
      <c r="U563" s="825"/>
      <c r="V563" s="825"/>
      <c r="W563" s="825"/>
      <c r="X563" s="825"/>
      <c r="Y563" s="825"/>
      <c r="Z563" s="825"/>
      <c r="AA563" s="825"/>
      <c r="AB563" s="825"/>
      <c r="AC563" s="825"/>
      <c r="AD563" s="799"/>
      <c r="AE563" s="750"/>
      <c r="AF563" s="751"/>
      <c r="AG563" s="856"/>
      <c r="AH563" s="856"/>
      <c r="AI563" s="751"/>
      <c r="AJ563" s="751"/>
      <c r="AK563" s="751"/>
      <c r="AL563" s="751"/>
      <c r="AM563" s="751"/>
      <c r="AN563" s="751"/>
      <c r="AO563" s="751"/>
      <c r="AP563" s="751"/>
      <c r="AQ563" s="751"/>
      <c r="AR563" s="752"/>
      <c r="AS563" s="752"/>
      <c r="AT563" s="752"/>
      <c r="AU563" s="752"/>
      <c r="AV563" s="752"/>
      <c r="AW563" s="752"/>
      <c r="AX563" s="752"/>
      <c r="AY563" s="753"/>
    </row>
    <row r="564" spans="1:52" s="770" customFormat="1" ht="19.5" customHeight="1">
      <c r="A564" s="753"/>
      <c r="B564" s="810"/>
      <c r="C564" s="859"/>
      <c r="D564" s="749"/>
      <c r="E564" s="825"/>
      <c r="F564" s="928" t="s">
        <v>4035</v>
      </c>
      <c r="G564" s="759" t="s">
        <v>4036</v>
      </c>
      <c r="H564" s="759"/>
      <c r="I564" s="759"/>
      <c r="J564" s="759"/>
      <c r="K564" s="759" t="s">
        <v>4037</v>
      </c>
      <c r="L564" s="929" t="s">
        <v>4038</v>
      </c>
      <c r="M564" s="825"/>
      <c r="N564" s="825"/>
      <c r="O564" s="825"/>
      <c r="P564" s="825"/>
      <c r="Q564" s="825"/>
      <c r="R564" s="825"/>
      <c r="S564" s="825"/>
      <c r="T564" s="825"/>
      <c r="U564" s="825"/>
      <c r="V564" s="825"/>
      <c r="W564" s="825"/>
      <c r="X564" s="825"/>
      <c r="Y564" s="825"/>
      <c r="Z564" s="825"/>
      <c r="AA564" s="825"/>
      <c r="AB564" s="825"/>
      <c r="AC564" s="825"/>
      <c r="AD564" s="799"/>
      <c r="AE564" s="750"/>
      <c r="AF564" s="751"/>
      <c r="AG564" s="751"/>
      <c r="AH564" s="751"/>
      <c r="AI564" s="751"/>
      <c r="AJ564" s="751"/>
      <c r="AK564" s="751"/>
      <c r="AL564" s="751"/>
      <c r="AM564" s="751"/>
      <c r="AN564" s="751"/>
      <c r="AO564" s="751"/>
      <c r="AP564" s="751"/>
      <c r="AQ564" s="751"/>
      <c r="AR564" s="752"/>
      <c r="AS564" s="752"/>
      <c r="AT564" s="752"/>
      <c r="AU564" s="752"/>
      <c r="AV564" s="752"/>
      <c r="AW564" s="752"/>
      <c r="AX564" s="752"/>
      <c r="AY564" s="753"/>
    </row>
    <row r="565" spans="1:52" s="770" customFormat="1" ht="33.9" customHeight="1">
      <c r="A565" s="753"/>
      <c r="B565" s="810"/>
      <c r="C565" s="859"/>
      <c r="D565" s="749"/>
      <c r="E565" s="860">
        <v>1</v>
      </c>
      <c r="F565" s="930" t="s">
        <v>4060</v>
      </c>
      <c r="G565" s="759" t="s">
        <v>3809</v>
      </c>
      <c r="H565" s="759" t="s">
        <v>3809</v>
      </c>
      <c r="I565" s="759" t="s">
        <v>3809</v>
      </c>
      <c r="J565" s="759" t="s">
        <v>3809</v>
      </c>
      <c r="K565" s="759" t="s">
        <v>3809</v>
      </c>
      <c r="L565" s="950" t="s">
        <v>4061</v>
      </c>
      <c r="M565" s="950"/>
      <c r="N565" s="950"/>
      <c r="O565" s="950"/>
      <c r="P565" s="950"/>
      <c r="Q565" s="950"/>
      <c r="R565" s="950"/>
      <c r="S565" s="950"/>
      <c r="T565" s="950"/>
      <c r="U565" s="825"/>
      <c r="V565" s="825"/>
      <c r="W565" s="825"/>
      <c r="X565" s="825"/>
      <c r="Y565" s="825"/>
      <c r="Z565" s="825"/>
      <c r="AA565" s="825"/>
      <c r="AB565" s="825"/>
      <c r="AC565" s="825"/>
      <c r="AD565" s="799"/>
      <c r="AE565" s="750"/>
      <c r="AF565" s="751"/>
      <c r="AG565" s="751"/>
      <c r="AH565" s="751"/>
      <c r="AI565" s="751"/>
      <c r="AJ565" s="751"/>
      <c r="AK565" s="751"/>
      <c r="AL565" s="751"/>
      <c r="AM565" s="751"/>
      <c r="AN565" s="751"/>
      <c r="AO565" s="751"/>
      <c r="AP565" s="751"/>
      <c r="AQ565" s="751"/>
      <c r="AR565" s="752"/>
      <c r="AS565" s="752"/>
      <c r="AT565" s="752"/>
      <c r="AU565" s="752"/>
      <c r="AV565" s="752"/>
      <c r="AW565" s="752"/>
      <c r="AX565" s="752"/>
      <c r="AY565" s="753"/>
    </row>
    <row r="566" spans="1:52" s="770" customFormat="1" ht="33.9" customHeight="1">
      <c r="A566" s="753"/>
      <c r="B566" s="810"/>
      <c r="C566" s="859"/>
      <c r="D566" s="749"/>
      <c r="E566" s="860">
        <v>2</v>
      </c>
      <c r="F566" s="930" t="s">
        <v>4079</v>
      </c>
      <c r="G566" s="759" t="s">
        <v>3809</v>
      </c>
      <c r="H566" s="759" t="s">
        <v>3809</v>
      </c>
      <c r="I566" s="759" t="s">
        <v>3809</v>
      </c>
      <c r="J566" s="759" t="s">
        <v>3809</v>
      </c>
      <c r="K566" s="759" t="s">
        <v>3809</v>
      </c>
      <c r="L566" s="950" t="s">
        <v>4080</v>
      </c>
      <c r="M566" s="950"/>
      <c r="N566" s="950"/>
      <c r="O566" s="950"/>
      <c r="P566" s="950"/>
      <c r="Q566" s="950"/>
      <c r="R566" s="950"/>
      <c r="S566" s="950"/>
      <c r="T566" s="950"/>
      <c r="U566" s="825"/>
      <c r="V566" s="825"/>
      <c r="W566" s="825"/>
      <c r="X566" s="825"/>
      <c r="Y566" s="825"/>
      <c r="Z566" s="825"/>
      <c r="AA566" s="825"/>
      <c r="AB566" s="825"/>
      <c r="AC566" s="825"/>
      <c r="AD566" s="799"/>
      <c r="AE566" s="750"/>
      <c r="AF566" s="751"/>
      <c r="AG566" s="751"/>
      <c r="AH566" s="751"/>
      <c r="AI566" s="751"/>
      <c r="AJ566" s="751"/>
      <c r="AK566" s="751"/>
      <c r="AL566" s="751"/>
      <c r="AM566" s="751"/>
      <c r="AN566" s="751"/>
      <c r="AO566" s="751"/>
      <c r="AP566" s="751"/>
      <c r="AQ566" s="751"/>
      <c r="AR566" s="752"/>
      <c r="AS566" s="752"/>
      <c r="AT566" s="752"/>
      <c r="AU566" s="752"/>
      <c r="AV566" s="752"/>
      <c r="AW566" s="752"/>
      <c r="AX566" s="752"/>
      <c r="AY566" s="753"/>
    </row>
    <row r="567" spans="1:52" s="770" customFormat="1" ht="33.9" customHeight="1">
      <c r="A567" s="753"/>
      <c r="B567" s="810"/>
      <c r="C567" s="811"/>
      <c r="D567" s="749"/>
      <c r="E567" s="860">
        <v>3</v>
      </c>
      <c r="F567" s="930" t="s">
        <v>4081</v>
      </c>
      <c r="G567" s="759" t="s">
        <v>3809</v>
      </c>
      <c r="H567" s="759" t="s">
        <v>3809</v>
      </c>
      <c r="I567" s="759" t="s">
        <v>3809</v>
      </c>
      <c r="J567" s="759" t="s">
        <v>3809</v>
      </c>
      <c r="K567" s="759" t="s">
        <v>3809</v>
      </c>
      <c r="L567" s="955" t="s">
        <v>4082</v>
      </c>
      <c r="M567" s="955"/>
      <c r="N567" s="955"/>
      <c r="O567" s="955"/>
      <c r="P567" s="955"/>
      <c r="Q567" s="955"/>
      <c r="R567" s="955"/>
      <c r="S567" s="955"/>
      <c r="T567" s="955"/>
      <c r="U567" s="825"/>
      <c r="V567" s="825"/>
      <c r="W567" s="825"/>
      <c r="X567" s="825"/>
      <c r="Y567" s="825"/>
      <c r="Z567" s="825"/>
      <c r="AA567" s="825"/>
      <c r="AB567" s="825"/>
      <c r="AC567" s="825"/>
      <c r="AD567" s="799"/>
      <c r="AE567" s="750"/>
      <c r="AF567" s="751"/>
      <c r="AG567" s="751"/>
      <c r="AH567" s="751"/>
      <c r="AI567" s="751"/>
      <c r="AJ567" s="751"/>
      <c r="AK567" s="751"/>
      <c r="AL567" s="751"/>
      <c r="AM567" s="751"/>
      <c r="AN567" s="751"/>
      <c r="AO567" s="751"/>
      <c r="AP567" s="751"/>
      <c r="AQ567" s="751"/>
      <c r="AR567" s="752"/>
      <c r="AS567" s="752"/>
      <c r="AT567" s="752"/>
      <c r="AU567" s="752"/>
      <c r="AV567" s="752"/>
      <c r="AW567" s="752"/>
      <c r="AX567" s="752"/>
      <c r="AY567" s="753"/>
    </row>
    <row r="568" spans="1:52" s="770" customFormat="1" ht="33.9" customHeight="1">
      <c r="A568" s="753"/>
      <c r="B568" s="810"/>
      <c r="C568" s="811"/>
      <c r="D568" s="749"/>
      <c r="E568" s="860">
        <v>4</v>
      </c>
      <c r="F568" s="930" t="s">
        <v>4083</v>
      </c>
      <c r="G568" s="759" t="s">
        <v>3809</v>
      </c>
      <c r="H568" s="759" t="s">
        <v>3809</v>
      </c>
      <c r="I568" s="759" t="s">
        <v>3809</v>
      </c>
      <c r="J568" s="759" t="s">
        <v>3809</v>
      </c>
      <c r="K568" s="759" t="s">
        <v>3809</v>
      </c>
      <c r="L568" s="955" t="s">
        <v>4084</v>
      </c>
      <c r="M568" s="955"/>
      <c r="N568" s="955"/>
      <c r="O568" s="955"/>
      <c r="P568" s="955"/>
      <c r="Q568" s="955"/>
      <c r="R568" s="955"/>
      <c r="S568" s="955"/>
      <c r="T568" s="955"/>
      <c r="U568" s="825"/>
      <c r="V568" s="825"/>
      <c r="W568" s="825"/>
      <c r="X568" s="825"/>
      <c r="Y568" s="825"/>
      <c r="Z568" s="825"/>
      <c r="AA568" s="825"/>
      <c r="AB568" s="825"/>
      <c r="AC568" s="825"/>
      <c r="AD568" s="799"/>
      <c r="AE568" s="750"/>
      <c r="AF568" s="751"/>
      <c r="AG568" s="751"/>
      <c r="AH568" s="751"/>
      <c r="AI568" s="751"/>
      <c r="AJ568" s="751"/>
      <c r="AK568" s="751"/>
      <c r="AL568" s="751"/>
      <c r="AM568" s="751"/>
      <c r="AN568" s="751"/>
      <c r="AO568" s="751"/>
      <c r="AP568" s="751"/>
      <c r="AQ568" s="751"/>
      <c r="AR568" s="752"/>
      <c r="AS568" s="752"/>
      <c r="AT568" s="752"/>
      <c r="AU568" s="752"/>
      <c r="AV568" s="752"/>
      <c r="AW568" s="752"/>
      <c r="AX568" s="752"/>
      <c r="AY568" s="753"/>
    </row>
    <row r="569" spans="1:52" s="869" customFormat="1" ht="12.9" customHeight="1">
      <c r="B569" s="870"/>
      <c r="C569" s="748"/>
      <c r="D569" s="759"/>
      <c r="E569" s="923"/>
      <c r="F569" s="925"/>
      <c r="G569" s="925"/>
      <c r="H569" s="873"/>
      <c r="I569" s="817"/>
      <c r="J569" s="817"/>
      <c r="K569" s="817"/>
      <c r="L569" s="817"/>
      <c r="M569" s="817"/>
      <c r="N569" s="760"/>
      <c r="O569" s="872"/>
      <c r="P569" s="872"/>
      <c r="AE569" s="750"/>
      <c r="AF569" s="751"/>
      <c r="AG569" s="751"/>
      <c r="AH569" s="751"/>
      <c r="AI569" s="751"/>
      <c r="AJ569" s="751"/>
      <c r="AK569" s="751"/>
      <c r="AL569" s="751"/>
      <c r="AM569" s="751"/>
      <c r="AN569" s="751"/>
      <c r="AO569" s="751"/>
      <c r="AP569" s="751"/>
      <c r="AQ569" s="751"/>
      <c r="AR569" s="752"/>
      <c r="AS569" s="752"/>
      <c r="AT569" s="752"/>
      <c r="AU569" s="752"/>
      <c r="AV569" s="752"/>
      <c r="AW569" s="752"/>
      <c r="AX569" s="752"/>
      <c r="AY569" s="753"/>
      <c r="AZ569" s="770"/>
    </row>
    <row r="570" spans="1:52" s="770" customFormat="1" ht="12" customHeight="1">
      <c r="A570" s="753"/>
      <c r="B570" s="810"/>
      <c r="C570" s="811"/>
      <c r="D570" s="759"/>
      <c r="E570" s="849"/>
      <c r="F570" s="926"/>
      <c r="G570" s="926"/>
      <c r="H570" s="871"/>
      <c r="I570" s="817"/>
      <c r="J570" s="817"/>
      <c r="K570" s="817"/>
      <c r="L570" s="817"/>
      <c r="M570" s="817"/>
      <c r="N570" s="753"/>
      <c r="O570" s="753"/>
      <c r="P570" s="753"/>
      <c r="Q570" s="753"/>
      <c r="R570" s="753"/>
      <c r="S570" s="753"/>
      <c r="T570" s="753"/>
      <c r="U570" s="753"/>
      <c r="V570" s="753"/>
      <c r="W570" s="753"/>
      <c r="X570" s="753"/>
      <c r="Y570" s="753"/>
      <c r="Z570" s="753"/>
      <c r="AA570" s="753"/>
      <c r="AB570" s="753"/>
      <c r="AC570" s="753"/>
      <c r="AD570" s="799"/>
      <c r="AE570" s="750"/>
      <c r="AF570" s="751"/>
      <c r="AG570" s="751"/>
      <c r="AH570" s="751"/>
      <c r="AI570" s="751"/>
      <c r="AJ570" s="751"/>
      <c r="AK570" s="751"/>
      <c r="AL570" s="751"/>
      <c r="AM570" s="751"/>
      <c r="AN570" s="751"/>
      <c r="AO570" s="751"/>
      <c r="AP570" s="751"/>
      <c r="AQ570" s="751"/>
      <c r="AR570" s="752"/>
      <c r="AS570" s="752"/>
      <c r="AT570" s="752"/>
      <c r="AU570" s="752"/>
      <c r="AV570" s="752"/>
      <c r="AW570" s="752"/>
      <c r="AX570" s="752"/>
      <c r="AY570" s="753"/>
    </row>
    <row r="571" spans="1:52" s="753" customFormat="1" ht="12" customHeight="1">
      <c r="B571" s="810"/>
      <c r="C571" s="811"/>
      <c r="D571" s="759"/>
      <c r="E571" s="849"/>
      <c r="F571" s="931"/>
      <c r="G571" s="931"/>
      <c r="H571" s="871"/>
      <c r="I571" s="817"/>
      <c r="J571" s="817"/>
      <c r="K571" s="817"/>
      <c r="L571" s="817"/>
      <c r="M571" s="817"/>
      <c r="AD571" s="799"/>
      <c r="AE571" s="750"/>
      <c r="AF571" s="751"/>
      <c r="AG571" s="751"/>
      <c r="AH571" s="751"/>
      <c r="AI571" s="751"/>
      <c r="AJ571" s="751"/>
      <c r="AK571" s="751"/>
      <c r="AL571" s="751"/>
      <c r="AM571" s="751"/>
      <c r="AN571" s="751"/>
      <c r="AO571" s="751"/>
      <c r="AP571" s="751"/>
      <c r="AQ571" s="751"/>
      <c r="AR571" s="752"/>
      <c r="AS571" s="752"/>
      <c r="AT571" s="752"/>
      <c r="AU571" s="752"/>
      <c r="AV571" s="752"/>
      <c r="AW571" s="752"/>
      <c r="AX571" s="752"/>
      <c r="AZ571" s="770"/>
    </row>
    <row r="572" spans="1:52" s="753" customFormat="1" ht="12" customHeight="1">
      <c r="B572" s="810"/>
      <c r="C572" s="811"/>
      <c r="D572" s="759"/>
      <c r="E572" s="849"/>
      <c r="F572" s="931"/>
      <c r="G572" s="931"/>
      <c r="H572" s="871"/>
      <c r="I572" s="817"/>
      <c r="J572" s="817"/>
      <c r="K572" s="817"/>
      <c r="L572" s="817"/>
      <c r="M572" s="817"/>
      <c r="AD572" s="799"/>
      <c r="AE572" s="750"/>
      <c r="AF572" s="751"/>
      <c r="AG572" s="751"/>
      <c r="AH572" s="751"/>
      <c r="AI572" s="751"/>
      <c r="AJ572" s="751"/>
      <c r="AK572" s="751"/>
      <c r="AL572" s="751"/>
      <c r="AM572" s="751"/>
      <c r="AN572" s="751"/>
      <c r="AO572" s="751"/>
      <c r="AP572" s="751"/>
      <c r="AQ572" s="751"/>
      <c r="AR572" s="752"/>
      <c r="AS572" s="752"/>
      <c r="AT572" s="752"/>
      <c r="AU572" s="752"/>
      <c r="AV572" s="752"/>
      <c r="AW572" s="752"/>
      <c r="AX572" s="752"/>
      <c r="AZ572" s="770"/>
    </row>
    <row r="573" spans="1:52" s="812" customFormat="1" ht="12.9" customHeight="1">
      <c r="B573" s="899" t="s">
        <v>4054</v>
      </c>
      <c r="C573" s="900"/>
      <c r="D573" s="901"/>
      <c r="E573" s="902"/>
      <c r="F573" s="901"/>
      <c r="G573" s="903"/>
      <c r="H573" s="903"/>
      <c r="I573" s="903"/>
      <c r="J573" s="903"/>
      <c r="K573" s="903"/>
      <c r="L573" s="903"/>
      <c r="M573" s="903"/>
      <c r="N573" s="903"/>
      <c r="O573" s="903"/>
      <c r="P573" s="903"/>
      <c r="Q573" s="903"/>
      <c r="R573" s="903"/>
      <c r="S573" s="903"/>
      <c r="T573" s="903"/>
      <c r="U573" s="903"/>
      <c r="V573" s="903"/>
      <c r="W573" s="903"/>
      <c r="X573" s="903"/>
      <c r="Y573" s="903"/>
      <c r="Z573" s="903"/>
      <c r="AA573" s="903"/>
      <c r="AB573" s="903"/>
      <c r="AC573" s="903"/>
      <c r="AD573" s="904"/>
      <c r="AE573" s="750"/>
      <c r="AF573" s="751"/>
      <c r="AG573" s="751"/>
      <c r="AH573" s="751"/>
      <c r="AI573" s="751"/>
      <c r="AJ573" s="751"/>
      <c r="AK573" s="751"/>
      <c r="AL573" s="751"/>
      <c r="AM573" s="751"/>
      <c r="AN573" s="751"/>
      <c r="AO573" s="751"/>
      <c r="AP573" s="751"/>
      <c r="AQ573" s="751"/>
      <c r="AR573" s="752"/>
      <c r="AS573" s="752"/>
      <c r="AT573" s="752"/>
      <c r="AU573" s="752"/>
      <c r="AV573" s="752"/>
      <c r="AW573" s="752"/>
      <c r="AX573" s="752"/>
      <c r="AY573" s="753"/>
      <c r="AZ573" s="770"/>
    </row>
    <row r="574" spans="1:52" s="812" customFormat="1" ht="12.9" customHeight="1">
      <c r="B574" s="901" t="s">
        <v>4018</v>
      </c>
      <c r="C574" s="900"/>
      <c r="D574" s="901"/>
      <c r="E574" s="902"/>
      <c r="F574" s="901"/>
      <c r="G574" s="903"/>
      <c r="H574" s="903"/>
      <c r="I574" s="903"/>
      <c r="J574" s="903"/>
      <c r="K574" s="903"/>
      <c r="L574" s="903"/>
      <c r="M574" s="903"/>
      <c r="N574" s="903"/>
      <c r="O574" s="903"/>
      <c r="P574" s="903"/>
      <c r="Q574" s="903"/>
      <c r="R574" s="903"/>
      <c r="S574" s="903"/>
      <c r="T574" s="903"/>
      <c r="U574" s="903"/>
      <c r="V574" s="903"/>
      <c r="W574" s="903"/>
      <c r="X574" s="903"/>
      <c r="Y574" s="903"/>
      <c r="Z574" s="903"/>
      <c r="AA574" s="903"/>
      <c r="AB574" s="903"/>
      <c r="AC574" s="903"/>
      <c r="AD574" s="904"/>
      <c r="AE574" s="750"/>
      <c r="AF574" s="751"/>
      <c r="AG574" s="751"/>
      <c r="AH574" s="751"/>
      <c r="AI574" s="751"/>
      <c r="AJ574" s="751"/>
      <c r="AK574" s="751"/>
      <c r="AL574" s="751"/>
      <c r="AM574" s="751"/>
      <c r="AN574" s="751"/>
      <c r="AO574" s="751"/>
      <c r="AP574" s="751"/>
      <c r="AQ574" s="751"/>
      <c r="AR574" s="752"/>
      <c r="AS574" s="752"/>
      <c r="AT574" s="752"/>
      <c r="AU574" s="752"/>
      <c r="AV574" s="752"/>
      <c r="AW574" s="752"/>
      <c r="AX574" s="752"/>
      <c r="AY574" s="753"/>
      <c r="AZ574" s="770"/>
    </row>
    <row r="575" spans="1:52" s="753" customFormat="1" ht="12" customHeight="1">
      <c r="B575" s="810"/>
      <c r="C575" s="797"/>
      <c r="E575" s="809"/>
      <c r="G575" s="817"/>
      <c r="H575" s="817"/>
      <c r="I575" s="817"/>
      <c r="J575" s="817"/>
      <c r="K575" s="817"/>
      <c r="L575" s="817"/>
      <c r="M575" s="817"/>
      <c r="N575" s="817"/>
      <c r="AE575" s="750"/>
      <c r="AF575" s="751"/>
      <c r="AG575" s="751"/>
      <c r="AH575" s="751"/>
      <c r="AI575" s="751"/>
      <c r="AJ575" s="751"/>
      <c r="AK575" s="751"/>
      <c r="AL575" s="751"/>
      <c r="AM575" s="751"/>
      <c r="AN575" s="751"/>
      <c r="AO575" s="751"/>
      <c r="AP575" s="751"/>
      <c r="AQ575" s="751"/>
      <c r="AR575" s="751"/>
      <c r="AS575" s="751"/>
      <c r="AT575" s="751"/>
      <c r="AU575" s="751"/>
      <c r="AV575" s="751"/>
      <c r="AW575" s="751"/>
      <c r="AX575" s="752"/>
    </row>
    <row r="576" spans="1:52" s="753" customFormat="1" ht="12" customHeight="1">
      <c r="B576" s="810"/>
      <c r="C576" s="797"/>
      <c r="E576" s="809"/>
      <c r="G576" s="817"/>
      <c r="H576" s="817"/>
      <c r="I576" s="817"/>
      <c r="J576" s="817"/>
      <c r="K576" s="817"/>
      <c r="L576" s="817"/>
      <c r="M576" s="817"/>
      <c r="N576" s="817"/>
      <c r="AE576" s="750"/>
      <c r="AF576" s="751"/>
      <c r="AG576" s="751"/>
      <c r="AH576" s="751"/>
      <c r="AI576" s="751"/>
      <c r="AJ576" s="751"/>
      <c r="AK576" s="751"/>
      <c r="AL576" s="751"/>
      <c r="AM576" s="751"/>
      <c r="AN576" s="751"/>
      <c r="AO576" s="751"/>
      <c r="AP576" s="751"/>
      <c r="AQ576" s="751"/>
      <c r="AR576" s="751"/>
      <c r="AS576" s="751"/>
      <c r="AT576" s="751"/>
      <c r="AU576" s="751"/>
      <c r="AV576" s="751"/>
      <c r="AW576" s="751"/>
      <c r="AX576" s="752"/>
    </row>
    <row r="577" spans="2:50" s="753" customFormat="1" ht="12" customHeight="1">
      <c r="B577" s="810"/>
      <c r="C577" s="797"/>
      <c r="E577" s="809"/>
      <c r="G577" s="817"/>
      <c r="H577" s="817"/>
      <c r="I577" s="817"/>
      <c r="J577" s="817"/>
      <c r="K577" s="817"/>
      <c r="L577" s="817"/>
      <c r="M577" s="817"/>
      <c r="N577" s="817"/>
      <c r="AE577" s="750"/>
      <c r="AF577" s="751"/>
      <c r="AG577" s="751"/>
      <c r="AH577" s="751"/>
      <c r="AI577" s="751"/>
      <c r="AJ577" s="751"/>
      <c r="AK577" s="751"/>
      <c r="AL577" s="751"/>
      <c r="AM577" s="751"/>
      <c r="AN577" s="751"/>
      <c r="AO577" s="751"/>
      <c r="AP577" s="751"/>
      <c r="AQ577" s="751"/>
      <c r="AR577" s="751"/>
      <c r="AS577" s="751"/>
      <c r="AT577" s="751"/>
      <c r="AU577" s="751"/>
      <c r="AV577" s="751"/>
      <c r="AW577" s="751"/>
      <c r="AX577" s="752"/>
    </row>
    <row r="578" spans="2:50" s="753" customFormat="1" ht="12" customHeight="1">
      <c r="B578" s="810"/>
      <c r="C578" s="797"/>
      <c r="E578" s="809"/>
      <c r="G578" s="817"/>
      <c r="H578" s="817"/>
      <c r="I578" s="817"/>
      <c r="J578" s="817"/>
      <c r="K578" s="817"/>
      <c r="L578" s="817"/>
      <c r="M578" s="817"/>
      <c r="N578" s="817"/>
      <c r="AE578" s="750"/>
      <c r="AF578" s="751"/>
      <c r="AG578" s="751"/>
      <c r="AH578" s="751"/>
      <c r="AI578" s="751"/>
      <c r="AJ578" s="751"/>
      <c r="AK578" s="751"/>
      <c r="AL578" s="751"/>
      <c r="AM578" s="751"/>
      <c r="AN578" s="751"/>
      <c r="AO578" s="751"/>
      <c r="AP578" s="751"/>
      <c r="AQ578" s="751"/>
      <c r="AR578" s="751"/>
      <c r="AS578" s="751"/>
      <c r="AT578" s="751"/>
      <c r="AU578" s="751"/>
      <c r="AV578" s="751"/>
      <c r="AW578" s="751"/>
      <c r="AX578" s="752"/>
    </row>
    <row r="579" spans="2:50" s="753" customFormat="1" ht="12" customHeight="1">
      <c r="B579" s="810"/>
      <c r="C579" s="797"/>
      <c r="E579" s="809"/>
      <c r="G579" s="817"/>
      <c r="H579" s="817"/>
      <c r="I579" s="817"/>
      <c r="J579" s="817"/>
      <c r="K579" s="817"/>
      <c r="L579" s="817"/>
      <c r="M579" s="817"/>
      <c r="N579" s="817"/>
      <c r="AE579" s="750"/>
      <c r="AF579" s="751"/>
      <c r="AG579" s="751"/>
      <c r="AH579" s="751"/>
      <c r="AI579" s="751"/>
      <c r="AJ579" s="751"/>
      <c r="AK579" s="751"/>
      <c r="AL579" s="751"/>
      <c r="AM579" s="751"/>
      <c r="AN579" s="751"/>
      <c r="AO579" s="751"/>
      <c r="AP579" s="751"/>
      <c r="AQ579" s="751"/>
      <c r="AR579" s="751"/>
      <c r="AS579" s="751"/>
      <c r="AT579" s="751"/>
      <c r="AU579" s="751"/>
      <c r="AV579" s="751"/>
      <c r="AW579" s="751"/>
      <c r="AX579" s="752"/>
    </row>
    <row r="580" spans="2:50" s="753" customFormat="1" ht="12" customHeight="1">
      <c r="B580" s="810"/>
      <c r="C580" s="797"/>
      <c r="E580" s="809"/>
      <c r="G580" s="817"/>
      <c r="H580" s="817"/>
      <c r="I580" s="817"/>
      <c r="J580" s="817"/>
      <c r="K580" s="817"/>
      <c r="L580" s="817"/>
      <c r="M580" s="817"/>
      <c r="N580" s="817"/>
      <c r="AE580" s="750"/>
      <c r="AF580" s="751"/>
      <c r="AG580" s="751"/>
      <c r="AH580" s="751"/>
      <c r="AI580" s="751"/>
      <c r="AJ580" s="751"/>
      <c r="AK580" s="751"/>
      <c r="AL580" s="751"/>
      <c r="AM580" s="751"/>
      <c r="AN580" s="751"/>
      <c r="AO580" s="751"/>
      <c r="AP580" s="751"/>
      <c r="AQ580" s="751"/>
      <c r="AR580" s="751"/>
      <c r="AS580" s="751"/>
      <c r="AT580" s="751"/>
      <c r="AU580" s="751"/>
      <c r="AV580" s="751"/>
      <c r="AW580" s="751"/>
      <c r="AX580" s="752"/>
    </row>
    <row r="581" spans="2:50" s="753" customFormat="1" ht="12" customHeight="1">
      <c r="B581" s="810"/>
      <c r="C581" s="797"/>
      <c r="E581" s="809"/>
      <c r="G581" s="817"/>
      <c r="H581" s="817"/>
      <c r="I581" s="817"/>
      <c r="J581" s="817"/>
      <c r="K581" s="817"/>
      <c r="L581" s="817"/>
      <c r="M581" s="817"/>
      <c r="N581" s="817"/>
      <c r="AE581" s="750"/>
      <c r="AF581" s="751"/>
      <c r="AG581" s="751"/>
      <c r="AH581" s="751"/>
      <c r="AI581" s="751"/>
      <c r="AJ581" s="751"/>
      <c r="AK581" s="751"/>
      <c r="AL581" s="751"/>
      <c r="AM581" s="751"/>
      <c r="AN581" s="751"/>
      <c r="AO581" s="751"/>
      <c r="AP581" s="751"/>
      <c r="AQ581" s="751"/>
      <c r="AR581" s="751"/>
      <c r="AS581" s="751"/>
      <c r="AT581" s="751"/>
      <c r="AU581" s="751"/>
      <c r="AV581" s="751"/>
      <c r="AW581" s="751"/>
      <c r="AX581" s="752"/>
    </row>
    <row r="582" spans="2:50" s="753" customFormat="1" ht="12" customHeight="1">
      <c r="B582" s="810"/>
      <c r="C582" s="797"/>
      <c r="E582" s="809"/>
      <c r="G582" s="817"/>
      <c r="H582" s="817"/>
      <c r="I582" s="817"/>
      <c r="J582" s="817"/>
      <c r="K582" s="817"/>
      <c r="L582" s="817"/>
      <c r="M582" s="817"/>
      <c r="N582" s="817"/>
      <c r="AE582" s="750"/>
      <c r="AF582" s="751"/>
      <c r="AG582" s="751"/>
      <c r="AH582" s="751"/>
      <c r="AI582" s="751"/>
      <c r="AJ582" s="751"/>
      <c r="AK582" s="751"/>
      <c r="AL582" s="751"/>
      <c r="AM582" s="751"/>
      <c r="AN582" s="751"/>
      <c r="AO582" s="751"/>
      <c r="AP582" s="751"/>
      <c r="AQ582" s="751"/>
      <c r="AR582" s="751"/>
      <c r="AS582" s="751"/>
      <c r="AT582" s="751"/>
      <c r="AU582" s="751"/>
      <c r="AV582" s="751"/>
      <c r="AW582" s="751"/>
      <c r="AX582" s="752"/>
    </row>
    <row r="583" spans="2:50" s="753" customFormat="1" ht="12" customHeight="1">
      <c r="B583" s="810"/>
      <c r="C583" s="797"/>
      <c r="E583" s="809"/>
      <c r="G583" s="817"/>
      <c r="H583" s="817"/>
      <c r="I583" s="817"/>
      <c r="J583" s="817"/>
      <c r="K583" s="817"/>
      <c r="L583" s="817"/>
      <c r="M583" s="817"/>
      <c r="N583" s="817"/>
      <c r="AE583" s="750"/>
      <c r="AF583" s="751"/>
      <c r="AG583" s="751"/>
      <c r="AH583" s="751"/>
      <c r="AI583" s="751"/>
      <c r="AJ583" s="751"/>
      <c r="AK583" s="751"/>
      <c r="AL583" s="751"/>
      <c r="AM583" s="751"/>
      <c r="AN583" s="751"/>
      <c r="AO583" s="751"/>
      <c r="AP583" s="751"/>
      <c r="AQ583" s="751"/>
      <c r="AR583" s="751"/>
      <c r="AS583" s="751"/>
      <c r="AT583" s="751"/>
      <c r="AU583" s="751"/>
      <c r="AV583" s="751"/>
      <c r="AW583" s="751"/>
      <c r="AX583" s="752"/>
    </row>
    <row r="584" spans="2:50" s="753" customFormat="1" ht="12" customHeight="1">
      <c r="B584" s="810"/>
      <c r="C584" s="797"/>
      <c r="E584" s="809"/>
      <c r="G584" s="817"/>
      <c r="H584" s="817"/>
      <c r="I584" s="817"/>
      <c r="J584" s="817"/>
      <c r="K584" s="817"/>
      <c r="L584" s="817"/>
      <c r="M584" s="817"/>
      <c r="N584" s="817"/>
      <c r="AE584" s="750"/>
      <c r="AF584" s="751"/>
      <c r="AG584" s="751"/>
      <c r="AH584" s="751"/>
      <c r="AI584" s="751"/>
      <c r="AJ584" s="751"/>
      <c r="AK584" s="751"/>
      <c r="AL584" s="751"/>
      <c r="AM584" s="751"/>
      <c r="AN584" s="751"/>
      <c r="AO584" s="751"/>
      <c r="AP584" s="751"/>
      <c r="AQ584" s="751"/>
      <c r="AR584" s="751"/>
      <c r="AS584" s="751"/>
      <c r="AT584" s="751"/>
      <c r="AU584" s="751"/>
      <c r="AV584" s="751"/>
      <c r="AW584" s="751"/>
      <c r="AX584" s="752"/>
    </row>
    <row r="585" spans="2:50" s="753" customFormat="1" ht="12" customHeight="1">
      <c r="B585" s="810"/>
      <c r="C585" s="797"/>
      <c r="E585" s="809"/>
      <c r="G585" s="817"/>
      <c r="H585" s="817"/>
      <c r="I585" s="817"/>
      <c r="J585" s="817"/>
      <c r="K585" s="817"/>
      <c r="L585" s="817"/>
      <c r="M585" s="817"/>
      <c r="N585" s="817"/>
      <c r="AE585" s="750"/>
      <c r="AF585" s="751"/>
      <c r="AG585" s="751"/>
      <c r="AH585" s="751"/>
      <c r="AI585" s="751"/>
      <c r="AJ585" s="751"/>
      <c r="AK585" s="751"/>
      <c r="AL585" s="751"/>
      <c r="AM585" s="751"/>
      <c r="AN585" s="751"/>
      <c r="AO585" s="751"/>
      <c r="AP585" s="751"/>
      <c r="AQ585" s="751"/>
      <c r="AR585" s="751"/>
      <c r="AS585" s="751"/>
      <c r="AT585" s="751"/>
      <c r="AU585" s="751"/>
      <c r="AV585" s="751"/>
      <c r="AW585" s="751"/>
      <c r="AX585" s="752"/>
    </row>
    <row r="586" spans="2:50" s="753" customFormat="1" ht="12" customHeight="1">
      <c r="B586" s="810"/>
      <c r="C586" s="797"/>
      <c r="E586" s="809"/>
      <c r="G586" s="817"/>
      <c r="H586" s="817"/>
      <c r="I586" s="817"/>
      <c r="J586" s="817"/>
      <c r="K586" s="817"/>
      <c r="L586" s="817"/>
      <c r="M586" s="817"/>
      <c r="N586" s="817"/>
      <c r="AE586" s="750"/>
      <c r="AF586" s="751"/>
      <c r="AG586" s="751"/>
      <c r="AH586" s="751"/>
      <c r="AI586" s="751"/>
      <c r="AJ586" s="751"/>
      <c r="AK586" s="751"/>
      <c r="AL586" s="751"/>
      <c r="AM586" s="751"/>
      <c r="AN586" s="751"/>
      <c r="AO586" s="751"/>
      <c r="AP586" s="751"/>
      <c r="AQ586" s="751"/>
      <c r="AR586" s="751"/>
      <c r="AS586" s="751"/>
      <c r="AT586" s="751"/>
      <c r="AU586" s="751"/>
      <c r="AV586" s="751"/>
      <c r="AW586" s="751"/>
      <c r="AX586" s="752"/>
    </row>
    <row r="587" spans="2:50" s="753" customFormat="1" ht="12" customHeight="1">
      <c r="B587" s="810"/>
      <c r="C587" s="797"/>
      <c r="E587" s="809"/>
      <c r="G587" s="817"/>
      <c r="H587" s="817"/>
      <c r="I587" s="817"/>
      <c r="J587" s="817"/>
      <c r="K587" s="817"/>
      <c r="L587" s="817"/>
      <c r="M587" s="817"/>
      <c r="N587" s="817"/>
      <c r="AE587" s="750"/>
      <c r="AF587" s="751"/>
      <c r="AG587" s="751"/>
      <c r="AH587" s="751"/>
      <c r="AI587" s="751"/>
      <c r="AJ587" s="751"/>
      <c r="AK587" s="751"/>
      <c r="AL587" s="751"/>
      <c r="AM587" s="751"/>
      <c r="AN587" s="751"/>
      <c r="AO587" s="751"/>
      <c r="AP587" s="751"/>
      <c r="AQ587" s="751"/>
      <c r="AR587" s="751"/>
      <c r="AS587" s="751"/>
      <c r="AT587" s="751"/>
      <c r="AU587" s="751"/>
      <c r="AV587" s="751"/>
      <c r="AW587" s="751"/>
      <c r="AX587" s="752"/>
    </row>
    <row r="588" spans="2:50" s="753" customFormat="1" ht="12" customHeight="1">
      <c r="B588" s="810"/>
      <c r="C588" s="797"/>
      <c r="E588" s="809"/>
      <c r="G588" s="817"/>
      <c r="H588" s="817"/>
      <c r="I588" s="817"/>
      <c r="J588" s="817"/>
      <c r="K588" s="817"/>
      <c r="L588" s="817"/>
      <c r="M588" s="817"/>
      <c r="N588" s="817"/>
      <c r="AE588" s="750"/>
      <c r="AF588" s="751"/>
      <c r="AG588" s="751"/>
      <c r="AH588" s="751"/>
      <c r="AI588" s="751"/>
      <c r="AJ588" s="751"/>
      <c r="AK588" s="751"/>
      <c r="AL588" s="751"/>
      <c r="AM588" s="751"/>
      <c r="AN588" s="751"/>
      <c r="AO588" s="751"/>
      <c r="AP588" s="751"/>
      <c r="AQ588" s="751"/>
      <c r="AR588" s="751"/>
      <c r="AS588" s="751"/>
      <c r="AT588" s="751"/>
      <c r="AU588" s="751"/>
      <c r="AV588" s="751"/>
      <c r="AW588" s="751"/>
      <c r="AX588" s="752"/>
    </row>
    <row r="589" spans="2:50" s="753" customFormat="1" ht="12" customHeight="1">
      <c r="B589" s="810"/>
      <c r="C589" s="797"/>
      <c r="E589" s="809"/>
      <c r="G589" s="817"/>
      <c r="H589" s="817"/>
      <c r="I589" s="817"/>
      <c r="J589" s="817"/>
      <c r="K589" s="817"/>
      <c r="L589" s="817"/>
      <c r="M589" s="817"/>
      <c r="N589" s="817"/>
      <c r="AE589" s="750"/>
      <c r="AF589" s="751"/>
      <c r="AG589" s="751"/>
      <c r="AH589" s="751"/>
      <c r="AI589" s="751"/>
      <c r="AJ589" s="751"/>
      <c r="AK589" s="751"/>
      <c r="AL589" s="751"/>
      <c r="AM589" s="751"/>
      <c r="AN589" s="751"/>
      <c r="AO589" s="751"/>
      <c r="AP589" s="751"/>
      <c r="AQ589" s="751"/>
      <c r="AR589" s="751"/>
      <c r="AS589" s="751"/>
      <c r="AT589" s="751"/>
      <c r="AU589" s="751"/>
      <c r="AV589" s="751"/>
      <c r="AW589" s="751"/>
      <c r="AX589" s="752"/>
    </row>
    <row r="590" spans="2:50" s="753" customFormat="1" ht="12" customHeight="1">
      <c r="B590" s="810"/>
      <c r="C590" s="797"/>
      <c r="E590" s="809"/>
      <c r="G590" s="817"/>
      <c r="H590" s="817"/>
      <c r="I590" s="817"/>
      <c r="J590" s="817"/>
      <c r="K590" s="817"/>
      <c r="L590" s="817"/>
      <c r="M590" s="817"/>
      <c r="N590" s="817"/>
      <c r="AE590" s="750"/>
      <c r="AF590" s="751"/>
      <c r="AG590" s="751"/>
      <c r="AH590" s="751"/>
      <c r="AI590" s="751"/>
      <c r="AJ590" s="751"/>
      <c r="AK590" s="751"/>
      <c r="AL590" s="751"/>
      <c r="AM590" s="751"/>
      <c r="AN590" s="751"/>
      <c r="AO590" s="751"/>
      <c r="AP590" s="751"/>
      <c r="AQ590" s="751"/>
      <c r="AR590" s="751"/>
      <c r="AS590" s="751"/>
      <c r="AT590" s="751"/>
      <c r="AU590" s="751"/>
      <c r="AV590" s="751"/>
      <c r="AW590" s="751"/>
      <c r="AX590" s="752"/>
    </row>
    <row r="591" spans="2:50" s="753" customFormat="1" ht="12" customHeight="1">
      <c r="B591" s="810"/>
      <c r="C591" s="797"/>
      <c r="E591" s="809"/>
      <c r="G591" s="817"/>
      <c r="H591" s="817"/>
      <c r="I591" s="817"/>
      <c r="J591" s="817"/>
      <c r="K591" s="817"/>
      <c r="L591" s="817"/>
      <c r="M591" s="817"/>
      <c r="N591" s="817"/>
      <c r="AE591" s="750"/>
      <c r="AF591" s="751"/>
      <c r="AG591" s="751"/>
      <c r="AH591" s="751"/>
      <c r="AI591" s="751"/>
      <c r="AJ591" s="751"/>
      <c r="AK591" s="751"/>
      <c r="AL591" s="751"/>
      <c r="AM591" s="751"/>
      <c r="AN591" s="751"/>
      <c r="AO591" s="751"/>
      <c r="AP591" s="751"/>
      <c r="AQ591" s="751"/>
      <c r="AR591" s="751"/>
      <c r="AS591" s="751"/>
      <c r="AT591" s="751"/>
      <c r="AU591" s="751"/>
      <c r="AV591" s="751"/>
      <c r="AW591" s="751"/>
      <c r="AX591" s="752"/>
    </row>
    <row r="592" spans="2:50" s="753" customFormat="1" ht="12" customHeight="1">
      <c r="B592" s="810"/>
      <c r="C592" s="797"/>
      <c r="E592" s="809"/>
      <c r="G592" s="817"/>
      <c r="H592" s="817"/>
      <c r="I592" s="817"/>
      <c r="J592" s="817"/>
      <c r="K592" s="817"/>
      <c r="L592" s="817"/>
      <c r="M592" s="817"/>
      <c r="N592" s="817"/>
      <c r="AE592" s="750"/>
      <c r="AF592" s="751"/>
      <c r="AG592" s="751"/>
      <c r="AH592" s="751"/>
      <c r="AI592" s="751"/>
      <c r="AJ592" s="751"/>
      <c r="AK592" s="751"/>
      <c r="AL592" s="751"/>
      <c r="AM592" s="751"/>
      <c r="AN592" s="751"/>
      <c r="AO592" s="751"/>
      <c r="AP592" s="751"/>
      <c r="AQ592" s="751"/>
      <c r="AR592" s="751"/>
      <c r="AS592" s="751"/>
      <c r="AT592" s="751"/>
      <c r="AU592" s="751"/>
      <c r="AV592" s="751"/>
      <c r="AW592" s="751"/>
      <c r="AX592" s="752"/>
    </row>
    <row r="593" spans="1:52" s="753" customFormat="1" ht="12" customHeight="1">
      <c r="B593" s="810"/>
      <c r="C593" s="797"/>
      <c r="E593" s="809"/>
      <c r="G593" s="817"/>
      <c r="H593" s="817"/>
      <c r="I593" s="817"/>
      <c r="J593" s="817"/>
      <c r="K593" s="817"/>
      <c r="L593" s="817"/>
      <c r="M593" s="817"/>
      <c r="N593" s="817"/>
      <c r="AE593" s="750"/>
      <c r="AF593" s="751"/>
      <c r="AG593" s="751"/>
      <c r="AH593" s="751"/>
      <c r="AI593" s="751"/>
      <c r="AJ593" s="751"/>
      <c r="AK593" s="751"/>
      <c r="AL593" s="751"/>
      <c r="AM593" s="751"/>
      <c r="AN593" s="751"/>
      <c r="AO593" s="751"/>
      <c r="AP593" s="751"/>
      <c r="AQ593" s="751"/>
      <c r="AR593" s="751"/>
      <c r="AS593" s="751"/>
      <c r="AT593" s="751"/>
      <c r="AU593" s="751"/>
      <c r="AV593" s="751"/>
      <c r="AW593" s="751"/>
      <c r="AX593" s="752"/>
    </row>
    <row r="594" spans="1:52" s="753" customFormat="1" ht="12" customHeight="1">
      <c r="B594" s="810"/>
      <c r="C594" s="797"/>
      <c r="E594" s="809"/>
      <c r="G594" s="817"/>
      <c r="H594" s="817"/>
      <c r="I594" s="817"/>
      <c r="J594" s="817"/>
      <c r="K594" s="817"/>
      <c r="L594" s="817"/>
      <c r="M594" s="817"/>
      <c r="N594" s="817"/>
      <c r="AE594" s="750"/>
      <c r="AF594" s="751"/>
      <c r="AG594" s="751"/>
      <c r="AH594" s="751"/>
      <c r="AI594" s="751"/>
      <c r="AJ594" s="751"/>
      <c r="AK594" s="751"/>
      <c r="AL594" s="751"/>
      <c r="AM594" s="751"/>
      <c r="AN594" s="751"/>
      <c r="AO594" s="751"/>
      <c r="AP594" s="751"/>
      <c r="AQ594" s="751"/>
      <c r="AR594" s="751"/>
      <c r="AS594" s="751"/>
      <c r="AT594" s="751"/>
      <c r="AU594" s="751"/>
      <c r="AV594" s="751"/>
      <c r="AW594" s="751"/>
      <c r="AX594" s="752"/>
    </row>
    <row r="595" spans="1:52" s="753" customFormat="1" ht="12" customHeight="1">
      <c r="B595" s="810"/>
      <c r="C595" s="797"/>
      <c r="E595" s="809"/>
      <c r="G595" s="817"/>
      <c r="H595" s="817"/>
      <c r="I595" s="817"/>
      <c r="J595" s="817"/>
      <c r="K595" s="817"/>
      <c r="L595" s="817"/>
      <c r="M595" s="817"/>
      <c r="N595" s="817"/>
      <c r="AE595" s="750"/>
      <c r="AF595" s="751"/>
      <c r="AG595" s="751"/>
      <c r="AH595" s="751"/>
      <c r="AI595" s="751"/>
      <c r="AJ595" s="751"/>
      <c r="AK595" s="751"/>
      <c r="AL595" s="751"/>
      <c r="AM595" s="751"/>
      <c r="AN595" s="751"/>
      <c r="AO595" s="751"/>
      <c r="AP595" s="751"/>
      <c r="AQ595" s="751"/>
      <c r="AR595" s="751"/>
      <c r="AS595" s="751"/>
      <c r="AT595" s="751"/>
      <c r="AU595" s="751"/>
      <c r="AV595" s="751"/>
      <c r="AW595" s="751"/>
      <c r="AX595" s="752"/>
    </row>
    <row r="596" spans="1:52" s="753" customFormat="1" ht="12" customHeight="1">
      <c r="B596" s="810"/>
      <c r="C596" s="797"/>
      <c r="E596" s="809"/>
      <c r="G596" s="817"/>
      <c r="H596" s="817"/>
      <c r="I596" s="817"/>
      <c r="J596" s="817"/>
      <c r="K596" s="817"/>
      <c r="L596" s="817"/>
      <c r="M596" s="817"/>
      <c r="N596" s="817"/>
      <c r="AE596" s="750"/>
      <c r="AF596" s="751"/>
      <c r="AG596" s="751"/>
      <c r="AH596" s="751"/>
      <c r="AI596" s="751"/>
      <c r="AJ596" s="751"/>
      <c r="AK596" s="751"/>
      <c r="AL596" s="751"/>
      <c r="AM596" s="751"/>
      <c r="AN596" s="751"/>
      <c r="AO596" s="751"/>
      <c r="AP596" s="751"/>
      <c r="AQ596" s="751"/>
      <c r="AR596" s="751"/>
      <c r="AS596" s="751"/>
      <c r="AT596" s="751"/>
      <c r="AU596" s="751"/>
      <c r="AV596" s="751"/>
      <c r="AW596" s="751"/>
      <c r="AX596" s="752"/>
    </row>
    <row r="597" spans="1:52" s="753" customFormat="1" ht="12" customHeight="1">
      <c r="B597" s="810"/>
      <c r="C597" s="797"/>
      <c r="E597" s="809"/>
      <c r="G597" s="817"/>
      <c r="H597" s="817"/>
      <c r="I597" s="817"/>
      <c r="J597" s="817"/>
      <c r="K597" s="817"/>
      <c r="L597" s="817"/>
      <c r="M597" s="817"/>
      <c r="N597" s="817"/>
      <c r="AE597" s="750"/>
      <c r="AF597" s="751"/>
      <c r="AG597" s="751"/>
      <c r="AH597" s="751"/>
      <c r="AI597" s="751"/>
      <c r="AJ597" s="751"/>
      <c r="AK597" s="751"/>
      <c r="AL597" s="751"/>
      <c r="AM597" s="751"/>
      <c r="AN597" s="751"/>
      <c r="AO597" s="751"/>
      <c r="AP597" s="751"/>
      <c r="AQ597" s="751"/>
      <c r="AR597" s="751"/>
      <c r="AS597" s="751"/>
      <c r="AT597" s="751"/>
      <c r="AU597" s="751"/>
      <c r="AV597" s="751"/>
      <c r="AW597" s="751"/>
      <c r="AX597" s="752"/>
    </row>
    <row r="598" spans="1:52" s="753" customFormat="1" ht="12" customHeight="1">
      <c r="B598" s="810"/>
      <c r="C598" s="797"/>
      <c r="E598" s="809"/>
      <c r="G598" s="817"/>
      <c r="H598" s="817"/>
      <c r="I598" s="817"/>
      <c r="J598" s="817"/>
      <c r="K598" s="817"/>
      <c r="L598" s="817"/>
      <c r="M598" s="817"/>
      <c r="N598" s="817"/>
      <c r="AE598" s="750"/>
      <c r="AF598" s="751"/>
      <c r="AG598" s="751"/>
      <c r="AH598" s="751"/>
      <c r="AI598" s="751"/>
      <c r="AJ598" s="751"/>
      <c r="AK598" s="751"/>
      <c r="AL598" s="751"/>
      <c r="AM598" s="751"/>
      <c r="AN598" s="751"/>
      <c r="AO598" s="751"/>
      <c r="AP598" s="751"/>
      <c r="AQ598" s="751"/>
      <c r="AR598" s="751"/>
      <c r="AS598" s="751"/>
      <c r="AT598" s="751"/>
      <c r="AU598" s="751"/>
      <c r="AV598" s="751"/>
      <c r="AW598" s="751"/>
      <c r="AX598" s="752"/>
    </row>
    <row r="599" spans="1:52" s="753" customFormat="1" ht="12" customHeight="1">
      <c r="B599" s="810"/>
      <c r="C599" s="797"/>
      <c r="E599" s="809"/>
      <c r="G599" s="817"/>
      <c r="H599" s="817"/>
      <c r="I599" s="817"/>
      <c r="J599" s="817"/>
      <c r="K599" s="817"/>
      <c r="L599" s="817"/>
      <c r="M599" s="817"/>
      <c r="N599" s="817"/>
      <c r="AE599" s="750"/>
      <c r="AF599" s="751"/>
      <c r="AG599" s="751"/>
      <c r="AH599" s="751"/>
      <c r="AI599" s="751"/>
      <c r="AJ599" s="751"/>
      <c r="AK599" s="751"/>
      <c r="AL599" s="751"/>
      <c r="AM599" s="751"/>
      <c r="AN599" s="751"/>
      <c r="AO599" s="751"/>
      <c r="AP599" s="751"/>
      <c r="AQ599" s="751"/>
      <c r="AR599" s="751"/>
      <c r="AS599" s="751"/>
      <c r="AT599" s="751"/>
      <c r="AU599" s="751"/>
      <c r="AV599" s="751"/>
      <c r="AW599" s="751"/>
      <c r="AX599" s="752"/>
    </row>
    <row r="600" spans="1:52" s="753" customFormat="1" ht="12" customHeight="1">
      <c r="B600" s="810"/>
      <c r="C600" s="797"/>
      <c r="E600" s="809"/>
      <c r="G600" s="817"/>
      <c r="H600" s="817"/>
      <c r="I600" s="817"/>
      <c r="J600" s="817"/>
      <c r="K600" s="817"/>
      <c r="L600" s="817"/>
      <c r="M600" s="817"/>
      <c r="N600" s="817"/>
      <c r="AE600" s="750"/>
      <c r="AF600" s="751"/>
      <c r="AG600" s="751"/>
      <c r="AH600" s="751"/>
      <c r="AI600" s="751"/>
      <c r="AJ600" s="751"/>
      <c r="AK600" s="751"/>
      <c r="AL600" s="751"/>
      <c r="AM600" s="751"/>
      <c r="AN600" s="751"/>
      <c r="AO600" s="751"/>
      <c r="AP600" s="751"/>
      <c r="AQ600" s="751"/>
      <c r="AR600" s="751"/>
      <c r="AS600" s="751"/>
      <c r="AT600" s="751"/>
      <c r="AU600" s="751"/>
      <c r="AV600" s="751"/>
      <c r="AW600" s="751"/>
      <c r="AX600" s="752"/>
    </row>
    <row r="601" spans="1:52" s="753" customFormat="1" ht="12" customHeight="1">
      <c r="B601" s="810"/>
      <c r="C601" s="797"/>
      <c r="E601" s="809"/>
      <c r="G601" s="817"/>
      <c r="H601" s="817"/>
      <c r="I601" s="817"/>
      <c r="J601" s="817"/>
      <c r="K601" s="817"/>
      <c r="L601" s="817"/>
      <c r="M601" s="817"/>
      <c r="N601" s="817"/>
      <c r="AE601" s="750"/>
      <c r="AF601" s="751"/>
      <c r="AG601" s="751"/>
      <c r="AH601" s="751"/>
      <c r="AI601" s="751"/>
      <c r="AJ601" s="751"/>
      <c r="AK601" s="751"/>
      <c r="AL601" s="751"/>
      <c r="AM601" s="751"/>
      <c r="AN601" s="751"/>
      <c r="AO601" s="751"/>
      <c r="AP601" s="751"/>
      <c r="AQ601" s="751"/>
      <c r="AR601" s="751"/>
      <c r="AS601" s="751"/>
      <c r="AT601" s="751"/>
      <c r="AU601" s="751"/>
      <c r="AV601" s="751"/>
      <c r="AW601" s="751"/>
      <c r="AX601" s="752"/>
    </row>
    <row r="602" spans="1:52" s="753" customFormat="1" ht="12" customHeight="1">
      <c r="B602" s="796" t="s">
        <v>4027</v>
      </c>
      <c r="C602" s="797"/>
      <c r="E602" s="798"/>
      <c r="F602" s="799"/>
      <c r="AE602" s="750"/>
      <c r="AF602" s="751"/>
      <c r="AG602" s="751"/>
      <c r="AH602" s="751"/>
      <c r="AI602" s="751"/>
      <c r="AJ602" s="751"/>
      <c r="AK602" s="751"/>
      <c r="AL602" s="751"/>
      <c r="AM602" s="751"/>
      <c r="AN602" s="751"/>
      <c r="AO602" s="751"/>
      <c r="AP602" s="751"/>
      <c r="AQ602" s="751"/>
      <c r="AR602" s="752"/>
      <c r="AS602" s="752"/>
      <c r="AT602" s="752"/>
      <c r="AU602" s="752"/>
      <c r="AV602" s="752"/>
      <c r="AW602" s="752"/>
      <c r="AX602" s="752"/>
    </row>
    <row r="603" spans="1:52" s="812" customFormat="1" ht="12.9" customHeight="1">
      <c r="B603" s="800" t="s">
        <v>4068</v>
      </c>
      <c r="C603" s="801"/>
      <c r="D603" s="863"/>
      <c r="E603" s="864"/>
      <c r="F603" s="863"/>
      <c r="G603" s="865"/>
      <c r="H603" s="865"/>
      <c r="I603" s="865"/>
      <c r="J603" s="865"/>
      <c r="K603" s="865"/>
      <c r="L603" s="865"/>
      <c r="M603" s="865"/>
      <c r="N603" s="865"/>
      <c r="O603" s="865"/>
      <c r="P603" s="865"/>
      <c r="Q603" s="865"/>
      <c r="R603" s="865"/>
      <c r="S603" s="865"/>
      <c r="T603" s="865"/>
      <c r="U603" s="865"/>
      <c r="V603" s="865"/>
      <c r="W603" s="865"/>
      <c r="X603" s="865"/>
      <c r="Y603" s="865"/>
      <c r="Z603" s="865"/>
      <c r="AA603" s="865"/>
      <c r="AB603" s="865"/>
      <c r="AC603" s="865"/>
      <c r="AD603" s="806" t="s">
        <v>584</v>
      </c>
      <c r="AE603" s="750"/>
      <c r="AF603" s="751"/>
      <c r="AG603" s="751"/>
      <c r="AH603" s="751"/>
      <c r="AI603" s="751"/>
      <c r="AJ603" s="751"/>
      <c r="AK603" s="751"/>
      <c r="AL603" s="751"/>
      <c r="AM603" s="751"/>
      <c r="AN603" s="751"/>
      <c r="AO603" s="751"/>
      <c r="AP603" s="751"/>
      <c r="AQ603" s="751"/>
      <c r="AR603" s="752"/>
      <c r="AS603" s="752"/>
      <c r="AT603" s="752"/>
      <c r="AU603" s="752"/>
      <c r="AV603" s="752"/>
      <c r="AW603" s="752"/>
      <c r="AX603" s="752"/>
      <c r="AY603" s="753"/>
      <c r="AZ603" s="770"/>
    </row>
    <row r="604" spans="1:52" s="812" customFormat="1" ht="12.9" customHeight="1">
      <c r="B604" s="866"/>
      <c r="C604" s="808">
        <v>23</v>
      </c>
      <c r="D604" s="753" t="s">
        <v>4058</v>
      </c>
      <c r="E604" s="828"/>
      <c r="F604" s="828"/>
      <c r="G604" s="809"/>
      <c r="H604" s="809"/>
      <c r="I604" s="809"/>
      <c r="J604" s="809"/>
      <c r="K604" s="809"/>
      <c r="L604" s="809"/>
      <c r="M604" s="809"/>
      <c r="N604" s="828"/>
      <c r="O604" s="828"/>
      <c r="P604" s="828"/>
      <c r="Q604" s="828"/>
      <c r="Z604" s="818"/>
      <c r="AE604" s="750"/>
      <c r="AF604" s="751"/>
      <c r="AG604" s="751"/>
      <c r="AH604" s="751"/>
      <c r="AI604" s="751"/>
      <c r="AJ604" s="751"/>
      <c r="AK604" s="751"/>
      <c r="AL604" s="751"/>
      <c r="AM604" s="751"/>
      <c r="AN604" s="751"/>
      <c r="AO604" s="751"/>
      <c r="AP604" s="751"/>
      <c r="AQ604" s="751"/>
      <c r="AR604" s="751"/>
      <c r="AS604" s="751"/>
      <c r="AT604" s="751"/>
      <c r="AU604" s="751"/>
      <c r="AV604" s="751"/>
      <c r="AW604" s="751"/>
      <c r="AX604" s="752"/>
      <c r="AY604" s="753"/>
      <c r="AZ604" s="770"/>
    </row>
    <row r="605" spans="1:52" s="770" customFormat="1" ht="12" customHeight="1">
      <c r="A605" s="753"/>
      <c r="B605" s="810"/>
      <c r="C605" s="797"/>
      <c r="D605" s="922" t="s">
        <v>4043</v>
      </c>
      <c r="E605" s="809"/>
      <c r="F605" s="753"/>
      <c r="G605" s="753"/>
      <c r="H605" s="753"/>
      <c r="I605" s="753"/>
      <c r="J605" s="753"/>
      <c r="K605" s="753"/>
      <c r="L605" s="753"/>
      <c r="M605" s="753"/>
      <c r="N605" s="753"/>
      <c r="O605" s="753"/>
      <c r="P605" s="753"/>
      <c r="Q605" s="753"/>
      <c r="R605" s="753"/>
      <c r="S605" s="753"/>
      <c r="T605" s="753"/>
      <c r="U605" s="753"/>
      <c r="V605" s="753"/>
      <c r="W605" s="753"/>
      <c r="X605" s="753"/>
      <c r="Y605" s="753"/>
      <c r="Z605" s="753"/>
      <c r="AA605" s="753"/>
      <c r="AB605" s="753"/>
      <c r="AC605" s="753"/>
      <c r="AD605" s="753"/>
      <c r="AE605" s="750"/>
      <c r="AF605" s="751"/>
      <c r="AG605" s="751"/>
      <c r="AH605" s="751"/>
      <c r="AI605" s="751"/>
      <c r="AJ605" s="751"/>
      <c r="AK605" s="751"/>
      <c r="AL605" s="751"/>
      <c r="AM605" s="751"/>
      <c r="AN605" s="751"/>
      <c r="AO605" s="751"/>
      <c r="AP605" s="751"/>
      <c r="AQ605" s="751"/>
      <c r="AR605" s="751"/>
      <c r="AS605" s="751"/>
      <c r="AT605" s="751"/>
      <c r="AU605" s="751"/>
      <c r="AV605" s="751"/>
      <c r="AW605" s="751"/>
      <c r="AX605" s="752"/>
      <c r="AY605" s="753"/>
    </row>
    <row r="606" spans="1:52" s="770" customFormat="1" ht="12" customHeight="1">
      <c r="A606" s="753"/>
      <c r="B606" s="810"/>
      <c r="C606" s="797"/>
      <c r="D606" s="753"/>
      <c r="E606" s="809"/>
      <c r="F606" s="753"/>
      <c r="G606" s="817"/>
      <c r="H606" s="817"/>
      <c r="I606" s="817"/>
      <c r="J606" s="817"/>
      <c r="K606" s="817"/>
      <c r="L606" s="817"/>
      <c r="M606" s="817"/>
      <c r="N606" s="817"/>
      <c r="O606" s="753"/>
      <c r="P606" s="753"/>
      <c r="Q606" s="753"/>
      <c r="R606" s="753"/>
      <c r="S606" s="753"/>
      <c r="T606" s="753"/>
      <c r="U606" s="753"/>
      <c r="V606" s="753"/>
      <c r="W606" s="753"/>
      <c r="X606" s="753"/>
      <c r="Y606" s="753"/>
      <c r="Z606" s="753"/>
      <c r="AA606" s="753"/>
      <c r="AB606" s="753"/>
      <c r="AC606" s="753"/>
      <c r="AD606" s="753"/>
      <c r="AE606" s="750"/>
      <c r="AF606" s="751"/>
      <c r="AG606" s="751"/>
      <c r="AH606" s="751"/>
      <c r="AI606" s="751"/>
      <c r="AJ606" s="751"/>
      <c r="AK606" s="751"/>
      <c r="AL606" s="751"/>
      <c r="AM606" s="751"/>
      <c r="AN606" s="751"/>
      <c r="AO606" s="751"/>
      <c r="AP606" s="751"/>
      <c r="AQ606" s="751"/>
      <c r="AR606" s="751"/>
      <c r="AS606" s="751"/>
      <c r="AT606" s="751"/>
      <c r="AU606" s="751"/>
      <c r="AV606" s="751"/>
      <c r="AW606" s="751"/>
      <c r="AX606" s="752"/>
      <c r="AY606" s="753"/>
    </row>
    <row r="607" spans="1:52" s="770" customFormat="1" ht="12" customHeight="1">
      <c r="A607" s="753"/>
      <c r="B607" s="810"/>
      <c r="C607" s="797"/>
      <c r="D607" s="851" t="s">
        <v>4059</v>
      </c>
      <c r="E607" s="809"/>
      <c r="F607" s="753"/>
      <c r="G607" s="817"/>
      <c r="H607" s="817"/>
      <c r="I607" s="817"/>
      <c r="J607" s="817"/>
      <c r="K607" s="817"/>
      <c r="L607" s="817"/>
      <c r="M607" s="817"/>
      <c r="N607" s="817"/>
      <c r="O607" s="753"/>
      <c r="P607" s="753"/>
      <c r="Q607" s="753"/>
      <c r="R607" s="753"/>
      <c r="S607" s="753"/>
      <c r="T607" s="753"/>
      <c r="U607" s="753"/>
      <c r="V607" s="753"/>
      <c r="W607" s="753"/>
      <c r="X607" s="753"/>
      <c r="Y607" s="753"/>
      <c r="Z607" s="753"/>
      <c r="AA607" s="753"/>
      <c r="AB607" s="753"/>
      <c r="AC607" s="753"/>
      <c r="AD607" s="753"/>
      <c r="AE607" s="750"/>
      <c r="AF607" s="751"/>
      <c r="AG607" s="751"/>
      <c r="AH607" s="751"/>
      <c r="AI607" s="751"/>
      <c r="AJ607" s="751"/>
      <c r="AK607" s="751"/>
      <c r="AL607" s="751"/>
      <c r="AM607" s="751"/>
      <c r="AN607" s="751"/>
      <c r="AO607" s="751"/>
      <c r="AP607" s="751"/>
      <c r="AQ607" s="751"/>
      <c r="AR607" s="751"/>
      <c r="AS607" s="751"/>
      <c r="AT607" s="751"/>
      <c r="AU607" s="751"/>
      <c r="AV607" s="751"/>
      <c r="AW607" s="751"/>
      <c r="AX607" s="752"/>
      <c r="AY607" s="753"/>
    </row>
    <row r="608" spans="1:52" s="770" customFormat="1" ht="12" customHeight="1">
      <c r="A608" s="753"/>
      <c r="B608" s="810"/>
      <c r="C608" s="797"/>
      <c r="D608" s="851"/>
      <c r="E608" s="809"/>
      <c r="F608" s="753"/>
      <c r="G608" s="817"/>
      <c r="H608" s="817"/>
      <c r="I608" s="817"/>
      <c r="J608" s="817"/>
      <c r="K608" s="817"/>
      <c r="L608" s="817"/>
      <c r="M608" s="817"/>
      <c r="N608" s="817"/>
      <c r="O608" s="753"/>
      <c r="P608" s="753"/>
      <c r="Q608" s="753"/>
      <c r="R608" s="753"/>
      <c r="S608" s="753"/>
      <c r="T608" s="753"/>
      <c r="U608" s="753"/>
      <c r="V608" s="753"/>
      <c r="W608" s="753"/>
      <c r="X608" s="753"/>
      <c r="Y608" s="753"/>
      <c r="Z608" s="753"/>
      <c r="AA608" s="753"/>
      <c r="AB608" s="753"/>
      <c r="AC608" s="753"/>
      <c r="AD608" s="753"/>
      <c r="AE608" s="750"/>
      <c r="AF608" s="751"/>
      <c r="AG608" s="751"/>
      <c r="AH608" s="751"/>
      <c r="AI608" s="751"/>
      <c r="AJ608" s="751"/>
      <c r="AK608" s="751"/>
      <c r="AL608" s="751"/>
      <c r="AM608" s="751"/>
      <c r="AN608" s="751"/>
      <c r="AO608" s="751"/>
      <c r="AP608" s="751"/>
      <c r="AQ608" s="751"/>
      <c r="AR608" s="751"/>
      <c r="AS608" s="751"/>
      <c r="AT608" s="751"/>
      <c r="AU608" s="751"/>
      <c r="AV608" s="751"/>
      <c r="AW608" s="751"/>
      <c r="AX608" s="752"/>
      <c r="AY608" s="753"/>
    </row>
    <row r="609" spans="1:52" s="770" customFormat="1" ht="12" customHeight="1">
      <c r="A609" s="753"/>
      <c r="B609" s="810"/>
      <c r="C609" s="835"/>
      <c r="D609" s="753"/>
      <c r="E609" s="852"/>
      <c r="G609" s="853">
        <v>1</v>
      </c>
      <c r="H609" s="853">
        <v>2</v>
      </c>
      <c r="I609" s="853">
        <v>3</v>
      </c>
      <c r="J609" s="853">
        <v>4</v>
      </c>
      <c r="K609" s="853">
        <v>5</v>
      </c>
      <c r="L609" s="817"/>
      <c r="M609" s="817"/>
      <c r="N609" s="817"/>
      <c r="O609" s="825"/>
      <c r="P609" s="825"/>
      <c r="Q609" s="825"/>
      <c r="R609" s="825"/>
      <c r="S609" s="825"/>
      <c r="T609" s="825"/>
      <c r="U609" s="825"/>
      <c r="V609" s="825"/>
      <c r="W609" s="825"/>
      <c r="X609" s="825"/>
      <c r="Y609" s="825"/>
      <c r="Z609" s="825"/>
      <c r="AA609" s="825"/>
      <c r="AB609" s="825"/>
      <c r="AC609" s="825"/>
      <c r="AD609" s="799"/>
      <c r="AE609" s="750"/>
      <c r="AF609" s="751"/>
      <c r="AG609" s="751"/>
      <c r="AH609" s="751"/>
      <c r="AI609" s="751"/>
      <c r="AJ609" s="751"/>
      <c r="AK609" s="751"/>
      <c r="AL609" s="751"/>
      <c r="AM609" s="751"/>
      <c r="AN609" s="751"/>
      <c r="AO609" s="751"/>
      <c r="AP609" s="751"/>
      <c r="AQ609" s="751"/>
      <c r="AR609" s="752"/>
      <c r="AS609" s="752"/>
      <c r="AT609" s="752"/>
      <c r="AU609" s="752"/>
      <c r="AV609" s="752"/>
      <c r="AW609" s="752"/>
      <c r="AX609" s="752"/>
      <c r="AY609" s="753"/>
    </row>
    <row r="610" spans="1:52" s="770" customFormat="1" ht="78" customHeight="1">
      <c r="A610" s="753"/>
      <c r="B610" s="810"/>
      <c r="C610" s="811"/>
      <c r="D610" s="811"/>
      <c r="E610" s="852"/>
      <c r="G610" s="855" t="s">
        <v>4030</v>
      </c>
      <c r="H610" s="855" t="s">
        <v>4031</v>
      </c>
      <c r="I610" s="855" t="s">
        <v>4032</v>
      </c>
      <c r="J610" s="855" t="s">
        <v>4033</v>
      </c>
      <c r="K610" s="855" t="s">
        <v>4034</v>
      </c>
      <c r="L610" s="927"/>
      <c r="M610" s="927"/>
      <c r="N610" s="927"/>
      <c r="O610" s="825"/>
      <c r="P610" s="825"/>
      <c r="Q610" s="825"/>
      <c r="R610" s="825"/>
      <c r="S610" s="825"/>
      <c r="T610" s="825"/>
      <c r="U610" s="825"/>
      <c r="V610" s="825"/>
      <c r="W610" s="825"/>
      <c r="X610" s="825"/>
      <c r="Y610" s="825"/>
      <c r="Z610" s="825"/>
      <c r="AA610" s="825"/>
      <c r="AB610" s="825"/>
      <c r="AC610" s="825"/>
      <c r="AD610" s="799"/>
      <c r="AE610" s="750"/>
      <c r="AF610" s="751"/>
      <c r="AG610" s="856"/>
      <c r="AH610" s="856"/>
      <c r="AI610" s="751"/>
      <c r="AJ610" s="751"/>
      <c r="AK610" s="751"/>
      <c r="AL610" s="751"/>
      <c r="AM610" s="751"/>
      <c r="AN610" s="751"/>
      <c r="AO610" s="751"/>
      <c r="AP610" s="751"/>
      <c r="AQ610" s="751"/>
      <c r="AR610" s="752"/>
      <c r="AS610" s="752"/>
      <c r="AT610" s="752"/>
      <c r="AU610" s="752"/>
      <c r="AV610" s="752"/>
      <c r="AW610" s="752"/>
      <c r="AX610" s="752"/>
      <c r="AY610" s="753"/>
    </row>
    <row r="611" spans="1:52" s="770" customFormat="1" ht="19.5" customHeight="1">
      <c r="A611" s="753"/>
      <c r="B611" s="810"/>
      <c r="C611" s="859"/>
      <c r="D611" s="749"/>
      <c r="E611" s="825"/>
      <c r="F611" s="928" t="s">
        <v>4035</v>
      </c>
      <c r="G611" s="759" t="s">
        <v>4036</v>
      </c>
      <c r="H611" s="759"/>
      <c r="I611" s="759"/>
      <c r="J611" s="759"/>
      <c r="K611" s="759" t="s">
        <v>4037</v>
      </c>
      <c r="L611" s="929" t="s">
        <v>4038</v>
      </c>
      <c r="M611" s="825"/>
      <c r="N611" s="825"/>
      <c r="O611" s="825"/>
      <c r="P611" s="825"/>
      <c r="Q611" s="825"/>
      <c r="R611" s="825"/>
      <c r="S611" s="825"/>
      <c r="T611" s="825"/>
      <c r="U611" s="825"/>
      <c r="V611" s="825"/>
      <c r="W611" s="825"/>
      <c r="X611" s="825"/>
      <c r="Y611" s="825"/>
      <c r="Z611" s="825"/>
      <c r="AA611" s="825"/>
      <c r="AB611" s="825"/>
      <c r="AC611" s="825"/>
      <c r="AD611" s="799"/>
      <c r="AE611" s="750"/>
      <c r="AF611" s="751"/>
      <c r="AG611" s="751"/>
      <c r="AH611" s="751"/>
      <c r="AI611" s="751"/>
      <c r="AJ611" s="751"/>
      <c r="AK611" s="751"/>
      <c r="AL611" s="751"/>
      <c r="AM611" s="751"/>
      <c r="AN611" s="751"/>
      <c r="AO611" s="751"/>
      <c r="AP611" s="751"/>
      <c r="AQ611" s="751"/>
      <c r="AR611" s="752"/>
      <c r="AS611" s="752"/>
      <c r="AT611" s="752"/>
      <c r="AU611" s="752"/>
      <c r="AV611" s="752"/>
      <c r="AW611" s="752"/>
      <c r="AX611" s="752"/>
      <c r="AY611" s="753"/>
    </row>
    <row r="612" spans="1:52" s="770" customFormat="1" ht="33.9" customHeight="1">
      <c r="A612" s="753"/>
      <c r="B612" s="810"/>
      <c r="C612" s="859"/>
      <c r="D612" s="749"/>
      <c r="E612" s="860">
        <v>1</v>
      </c>
      <c r="F612" s="930" t="s">
        <v>4060</v>
      </c>
      <c r="G612" s="759" t="s">
        <v>3809</v>
      </c>
      <c r="H612" s="759" t="s">
        <v>3809</v>
      </c>
      <c r="I612" s="759" t="s">
        <v>3809</v>
      </c>
      <c r="J612" s="759" t="s">
        <v>3809</v>
      </c>
      <c r="K612" s="759" t="s">
        <v>3809</v>
      </c>
      <c r="L612" s="950" t="s">
        <v>4061</v>
      </c>
      <c r="M612" s="950"/>
      <c r="N612" s="950"/>
      <c r="O612" s="950"/>
      <c r="P612" s="950"/>
      <c r="Q612" s="950"/>
      <c r="R612" s="950"/>
      <c r="S612" s="950"/>
      <c r="T612" s="950"/>
      <c r="U612" s="825"/>
      <c r="V612" s="825"/>
      <c r="W612" s="825"/>
      <c r="X612" s="825"/>
      <c r="Y612" s="825"/>
      <c r="Z612" s="825"/>
      <c r="AA612" s="825"/>
      <c r="AB612" s="825"/>
      <c r="AC612" s="825"/>
      <c r="AD612" s="799"/>
      <c r="AE612" s="750"/>
      <c r="AF612" s="751"/>
      <c r="AG612" s="751"/>
      <c r="AH612" s="751"/>
      <c r="AI612" s="751"/>
      <c r="AJ612" s="751"/>
      <c r="AK612" s="751"/>
      <c r="AL612" s="751"/>
      <c r="AM612" s="751"/>
      <c r="AN612" s="751"/>
      <c r="AO612" s="751"/>
      <c r="AP612" s="751"/>
      <c r="AQ612" s="751"/>
      <c r="AR612" s="752"/>
      <c r="AS612" s="752"/>
      <c r="AT612" s="752"/>
      <c r="AU612" s="752"/>
      <c r="AV612" s="752"/>
      <c r="AW612" s="752"/>
      <c r="AX612" s="752"/>
      <c r="AY612" s="753"/>
    </row>
    <row r="613" spans="1:52" s="770" customFormat="1" ht="33.9" customHeight="1">
      <c r="A613" s="753"/>
      <c r="B613" s="810"/>
      <c r="C613" s="859"/>
      <c r="D613" s="749"/>
      <c r="E613" s="860">
        <v>2</v>
      </c>
      <c r="F613" s="930" t="s">
        <v>4085</v>
      </c>
      <c r="G613" s="759" t="s">
        <v>3809</v>
      </c>
      <c r="H613" s="759" t="s">
        <v>3809</v>
      </c>
      <c r="I613" s="759" t="s">
        <v>3809</v>
      </c>
      <c r="J613" s="759" t="s">
        <v>3809</v>
      </c>
      <c r="K613" s="759" t="s">
        <v>3809</v>
      </c>
      <c r="L613" s="950" t="s">
        <v>4086</v>
      </c>
      <c r="M613" s="950"/>
      <c r="N613" s="950"/>
      <c r="O613" s="950"/>
      <c r="P613" s="950"/>
      <c r="Q613" s="950"/>
      <c r="R613" s="950"/>
      <c r="S613" s="950"/>
      <c r="T613" s="950"/>
      <c r="U613" s="825"/>
      <c r="V613" s="825"/>
      <c r="W613" s="825"/>
      <c r="X613" s="825"/>
      <c r="Y613" s="825"/>
      <c r="Z613" s="825"/>
      <c r="AA613" s="825"/>
      <c r="AB613" s="825"/>
      <c r="AC613" s="825"/>
      <c r="AD613" s="799"/>
      <c r="AE613" s="750"/>
      <c r="AF613" s="751"/>
      <c r="AG613" s="751"/>
      <c r="AH613" s="751"/>
      <c r="AI613" s="751"/>
      <c r="AJ613" s="751"/>
      <c r="AK613" s="751"/>
      <c r="AL613" s="751"/>
      <c r="AM613" s="751"/>
      <c r="AN613" s="751"/>
      <c r="AO613" s="751"/>
      <c r="AP613" s="751"/>
      <c r="AQ613" s="751"/>
      <c r="AR613" s="752"/>
      <c r="AS613" s="752"/>
      <c r="AT613" s="752"/>
      <c r="AU613" s="752"/>
      <c r="AV613" s="752"/>
      <c r="AW613" s="752"/>
      <c r="AX613" s="752"/>
      <c r="AY613" s="753"/>
    </row>
    <row r="614" spans="1:52" s="770" customFormat="1" ht="33.9" customHeight="1">
      <c r="A614" s="753"/>
      <c r="B614" s="810"/>
      <c r="C614" s="811"/>
      <c r="D614" s="749"/>
      <c r="E614" s="860">
        <v>3</v>
      </c>
      <c r="F614" s="930" t="s">
        <v>4087</v>
      </c>
      <c r="G614" s="759" t="s">
        <v>3809</v>
      </c>
      <c r="H614" s="759" t="s">
        <v>3809</v>
      </c>
      <c r="I614" s="759" t="s">
        <v>3809</v>
      </c>
      <c r="J614" s="759" t="s">
        <v>3809</v>
      </c>
      <c r="K614" s="759" t="s">
        <v>3809</v>
      </c>
      <c r="L614" s="950" t="s">
        <v>4088</v>
      </c>
      <c r="M614" s="950"/>
      <c r="N614" s="950"/>
      <c r="O614" s="950"/>
      <c r="P614" s="950"/>
      <c r="Q614" s="950"/>
      <c r="R614" s="950"/>
      <c r="S614" s="950"/>
      <c r="T614" s="950"/>
      <c r="U614" s="825"/>
      <c r="V614" s="825"/>
      <c r="W614" s="825"/>
      <c r="X614" s="825"/>
      <c r="Y614" s="825"/>
      <c r="Z614" s="825"/>
      <c r="AA614" s="825"/>
      <c r="AB614" s="825"/>
      <c r="AC614" s="825"/>
      <c r="AD614" s="799"/>
      <c r="AE614" s="750"/>
      <c r="AF614" s="751"/>
      <c r="AG614" s="751"/>
      <c r="AH614" s="751"/>
      <c r="AI614" s="751"/>
      <c r="AJ614" s="751"/>
      <c r="AK614" s="751"/>
      <c r="AL614" s="751"/>
      <c r="AM614" s="751"/>
      <c r="AN614" s="751"/>
      <c r="AO614" s="751"/>
      <c r="AP614" s="751"/>
      <c r="AQ614" s="751"/>
      <c r="AR614" s="752"/>
      <c r="AS614" s="752"/>
      <c r="AT614" s="752"/>
      <c r="AU614" s="752"/>
      <c r="AV614" s="752"/>
      <c r="AW614" s="752"/>
      <c r="AX614" s="752"/>
      <c r="AY614" s="753"/>
    </row>
    <row r="615" spans="1:52" s="770" customFormat="1" ht="33.9" customHeight="1">
      <c r="A615" s="753"/>
      <c r="B615" s="810"/>
      <c r="C615" s="811"/>
      <c r="D615" s="749"/>
      <c r="E615" s="860">
        <v>4</v>
      </c>
      <c r="F615" s="930" t="s">
        <v>4083</v>
      </c>
      <c r="G615" s="759" t="s">
        <v>3809</v>
      </c>
      <c r="H615" s="759" t="s">
        <v>3809</v>
      </c>
      <c r="I615" s="759" t="s">
        <v>3809</v>
      </c>
      <c r="J615" s="759" t="s">
        <v>3809</v>
      </c>
      <c r="K615" s="759" t="s">
        <v>3809</v>
      </c>
      <c r="L615" s="955" t="s">
        <v>4084</v>
      </c>
      <c r="M615" s="955"/>
      <c r="N615" s="955"/>
      <c r="O615" s="955"/>
      <c r="P615" s="955"/>
      <c r="Q615" s="955"/>
      <c r="R615" s="955"/>
      <c r="S615" s="955"/>
      <c r="T615" s="955"/>
      <c r="U615" s="825"/>
      <c r="V615" s="825"/>
      <c r="W615" s="825"/>
      <c r="X615" s="825"/>
      <c r="Y615" s="825"/>
      <c r="Z615" s="825"/>
      <c r="AA615" s="825"/>
      <c r="AB615" s="825"/>
      <c r="AC615" s="825"/>
      <c r="AD615" s="799"/>
      <c r="AE615" s="750"/>
      <c r="AF615" s="751"/>
      <c r="AG615" s="751"/>
      <c r="AH615" s="751"/>
      <c r="AI615" s="751"/>
      <c r="AJ615" s="751"/>
      <c r="AK615" s="751"/>
      <c r="AL615" s="751"/>
      <c r="AM615" s="751"/>
      <c r="AN615" s="751"/>
      <c r="AO615" s="751"/>
      <c r="AP615" s="751"/>
      <c r="AQ615" s="751"/>
      <c r="AR615" s="752"/>
      <c r="AS615" s="752"/>
      <c r="AT615" s="752"/>
      <c r="AU615" s="752"/>
      <c r="AV615" s="752"/>
      <c r="AW615" s="752"/>
      <c r="AX615" s="752"/>
      <c r="AY615" s="753"/>
    </row>
    <row r="616" spans="1:52" s="869" customFormat="1" ht="12.9" customHeight="1">
      <c r="B616" s="870"/>
      <c r="C616" s="748"/>
      <c r="D616" s="759"/>
      <c r="E616" s="923"/>
      <c r="F616" s="925"/>
      <c r="G616" s="925"/>
      <c r="H616" s="873"/>
      <c r="I616" s="817"/>
      <c r="J616" s="817"/>
      <c r="K616" s="817"/>
      <c r="L616" s="817"/>
      <c r="M616" s="817"/>
      <c r="N616" s="760"/>
      <c r="O616" s="872"/>
      <c r="P616" s="872"/>
      <c r="AE616" s="750"/>
      <c r="AF616" s="751"/>
      <c r="AG616" s="751"/>
      <c r="AH616" s="751"/>
      <c r="AI616" s="751"/>
      <c r="AJ616" s="751"/>
      <c r="AK616" s="751"/>
      <c r="AL616" s="751"/>
      <c r="AM616" s="751"/>
      <c r="AN616" s="751"/>
      <c r="AO616" s="751"/>
      <c r="AP616" s="751"/>
      <c r="AQ616" s="751"/>
      <c r="AR616" s="752"/>
      <c r="AS616" s="752"/>
      <c r="AT616" s="752"/>
      <c r="AU616" s="752"/>
      <c r="AV616" s="752"/>
      <c r="AW616" s="752"/>
      <c r="AX616" s="752"/>
      <c r="AY616" s="753"/>
      <c r="AZ616" s="770"/>
    </row>
    <row r="617" spans="1:52" s="770" customFormat="1" ht="12" customHeight="1">
      <c r="A617" s="753"/>
      <c r="B617" s="810"/>
      <c r="C617" s="811"/>
      <c r="D617" s="759"/>
      <c r="E617" s="849"/>
      <c r="F617" s="926"/>
      <c r="G617" s="926"/>
      <c r="H617" s="871"/>
      <c r="I617" s="817"/>
      <c r="J617" s="817"/>
      <c r="K617" s="817"/>
      <c r="L617" s="817"/>
      <c r="M617" s="817"/>
      <c r="N617" s="753"/>
      <c r="O617" s="753"/>
      <c r="P617" s="753"/>
      <c r="Q617" s="753"/>
      <c r="R617" s="753"/>
      <c r="S617" s="753"/>
      <c r="T617" s="753"/>
      <c r="U617" s="753"/>
      <c r="V617" s="753"/>
      <c r="W617" s="753"/>
      <c r="X617" s="753"/>
      <c r="Y617" s="753"/>
      <c r="Z617" s="753"/>
      <c r="AA617" s="753"/>
      <c r="AB617" s="753"/>
      <c r="AC617" s="753"/>
      <c r="AD617" s="799"/>
      <c r="AE617" s="750"/>
      <c r="AF617" s="751"/>
      <c r="AG617" s="751"/>
      <c r="AH617" s="751"/>
      <c r="AI617" s="751"/>
      <c r="AJ617" s="751"/>
      <c r="AK617" s="751"/>
      <c r="AL617" s="751"/>
      <c r="AM617" s="751"/>
      <c r="AN617" s="751"/>
      <c r="AO617" s="751"/>
      <c r="AP617" s="751"/>
      <c r="AQ617" s="751"/>
      <c r="AR617" s="752"/>
      <c r="AS617" s="752"/>
      <c r="AT617" s="752"/>
      <c r="AU617" s="752"/>
      <c r="AV617" s="752"/>
      <c r="AW617" s="752"/>
      <c r="AX617" s="752"/>
      <c r="AY617" s="753"/>
    </row>
    <row r="618" spans="1:52" s="753" customFormat="1" ht="12" customHeight="1">
      <c r="B618" s="810"/>
      <c r="C618" s="811"/>
      <c r="D618" s="759"/>
      <c r="E618" s="849"/>
      <c r="F618" s="931"/>
      <c r="G618" s="931"/>
      <c r="H618" s="871"/>
      <c r="I618" s="817"/>
      <c r="J618" s="817"/>
      <c r="K618" s="817"/>
      <c r="L618" s="817"/>
      <c r="M618" s="817"/>
      <c r="AD618" s="799"/>
      <c r="AE618" s="750"/>
      <c r="AF618" s="751"/>
      <c r="AG618" s="751"/>
      <c r="AH618" s="751"/>
      <c r="AI618" s="751"/>
      <c r="AJ618" s="751"/>
      <c r="AK618" s="751"/>
      <c r="AL618" s="751"/>
      <c r="AM618" s="751"/>
      <c r="AN618" s="751"/>
      <c r="AO618" s="751"/>
      <c r="AP618" s="751"/>
      <c r="AQ618" s="751"/>
      <c r="AR618" s="752"/>
      <c r="AS618" s="752"/>
      <c r="AT618" s="752"/>
      <c r="AU618" s="752"/>
      <c r="AV618" s="752"/>
      <c r="AW618" s="752"/>
      <c r="AX618" s="752"/>
      <c r="AZ618" s="770"/>
    </row>
    <row r="619" spans="1:52" s="753" customFormat="1" ht="12" customHeight="1">
      <c r="B619" s="810"/>
      <c r="C619" s="811"/>
      <c r="D619" s="759"/>
      <c r="E619" s="849"/>
      <c r="F619" s="931"/>
      <c r="G619" s="931"/>
      <c r="H619" s="871"/>
      <c r="I619" s="817"/>
      <c r="J619" s="817"/>
      <c r="K619" s="817"/>
      <c r="L619" s="817"/>
      <c r="M619" s="817"/>
      <c r="AD619" s="799"/>
      <c r="AE619" s="750"/>
      <c r="AF619" s="751"/>
      <c r="AG619" s="751"/>
      <c r="AH619" s="751"/>
      <c r="AI619" s="751"/>
      <c r="AJ619" s="751"/>
      <c r="AK619" s="751"/>
      <c r="AL619" s="751"/>
      <c r="AM619" s="751"/>
      <c r="AN619" s="751"/>
      <c r="AO619" s="751"/>
      <c r="AP619" s="751"/>
      <c r="AQ619" s="751"/>
      <c r="AR619" s="752"/>
      <c r="AS619" s="752"/>
      <c r="AT619" s="752"/>
      <c r="AU619" s="752"/>
      <c r="AV619" s="752"/>
      <c r="AW619" s="752"/>
      <c r="AX619" s="752"/>
      <c r="AZ619" s="770"/>
    </row>
    <row r="620" spans="1:52" s="812" customFormat="1" ht="12.9" customHeight="1">
      <c r="B620" s="899" t="s">
        <v>4054</v>
      </c>
      <c r="C620" s="900"/>
      <c r="D620" s="901"/>
      <c r="E620" s="902"/>
      <c r="F620" s="901"/>
      <c r="G620" s="903"/>
      <c r="H620" s="903"/>
      <c r="I620" s="903"/>
      <c r="J620" s="903"/>
      <c r="K620" s="903"/>
      <c r="L620" s="903"/>
      <c r="M620" s="903"/>
      <c r="N620" s="903"/>
      <c r="O620" s="903"/>
      <c r="P620" s="903"/>
      <c r="Q620" s="903"/>
      <c r="R620" s="903"/>
      <c r="S620" s="903"/>
      <c r="T620" s="903"/>
      <c r="U620" s="903"/>
      <c r="V620" s="903"/>
      <c r="W620" s="903"/>
      <c r="X620" s="903"/>
      <c r="Y620" s="903"/>
      <c r="Z620" s="903"/>
      <c r="AA620" s="903"/>
      <c r="AB620" s="903"/>
      <c r="AC620" s="903"/>
      <c r="AD620" s="904"/>
      <c r="AE620" s="750"/>
      <c r="AF620" s="751"/>
      <c r="AG620" s="751"/>
      <c r="AH620" s="751"/>
      <c r="AI620" s="751"/>
      <c r="AJ620" s="751"/>
      <c r="AK620" s="751"/>
      <c r="AL620" s="751"/>
      <c r="AM620" s="751"/>
      <c r="AN620" s="751"/>
      <c r="AO620" s="751"/>
      <c r="AP620" s="751"/>
      <c r="AQ620" s="751"/>
      <c r="AR620" s="752"/>
      <c r="AS620" s="752"/>
      <c r="AT620" s="752"/>
      <c r="AU620" s="752"/>
      <c r="AV620" s="752"/>
      <c r="AW620" s="752"/>
      <c r="AX620" s="752"/>
      <c r="AY620" s="753"/>
      <c r="AZ620" s="770"/>
    </row>
    <row r="621" spans="1:52" s="812" customFormat="1" ht="12.9" customHeight="1">
      <c r="B621" s="901" t="s">
        <v>4018</v>
      </c>
      <c r="C621" s="900"/>
      <c r="D621" s="901"/>
      <c r="E621" s="902"/>
      <c r="F621" s="901"/>
      <c r="G621" s="903"/>
      <c r="H621" s="903"/>
      <c r="I621" s="903"/>
      <c r="J621" s="903"/>
      <c r="K621" s="903"/>
      <c r="L621" s="903"/>
      <c r="M621" s="903"/>
      <c r="N621" s="903"/>
      <c r="O621" s="903"/>
      <c r="P621" s="903"/>
      <c r="Q621" s="903"/>
      <c r="R621" s="903"/>
      <c r="S621" s="903"/>
      <c r="T621" s="903"/>
      <c r="U621" s="903"/>
      <c r="V621" s="903"/>
      <c r="W621" s="903"/>
      <c r="X621" s="903"/>
      <c r="Y621" s="903"/>
      <c r="Z621" s="903"/>
      <c r="AA621" s="903"/>
      <c r="AB621" s="903"/>
      <c r="AC621" s="903"/>
      <c r="AD621" s="904"/>
      <c r="AE621" s="750"/>
      <c r="AF621" s="751"/>
      <c r="AG621" s="751"/>
      <c r="AH621" s="751"/>
      <c r="AI621" s="751"/>
      <c r="AJ621" s="751"/>
      <c r="AK621" s="751"/>
      <c r="AL621" s="751"/>
      <c r="AM621" s="751"/>
      <c r="AN621" s="751"/>
      <c r="AO621" s="751"/>
      <c r="AP621" s="751"/>
      <c r="AQ621" s="751"/>
      <c r="AR621" s="752"/>
      <c r="AS621" s="752"/>
      <c r="AT621" s="752"/>
      <c r="AU621" s="752"/>
      <c r="AV621" s="752"/>
      <c r="AW621" s="752"/>
      <c r="AX621" s="752"/>
      <c r="AY621" s="753"/>
      <c r="AZ621" s="770"/>
    </row>
    <row r="622" spans="1:52" s="753" customFormat="1" ht="12" customHeight="1">
      <c r="B622" s="810"/>
      <c r="C622" s="797"/>
      <c r="E622" s="809"/>
      <c r="G622" s="817"/>
      <c r="H622" s="817"/>
      <c r="I622" s="817"/>
      <c r="J622" s="817"/>
      <c r="K622" s="817"/>
      <c r="L622" s="817"/>
      <c r="M622" s="817"/>
      <c r="N622" s="817"/>
      <c r="AE622" s="750"/>
      <c r="AF622" s="751"/>
      <c r="AG622" s="751"/>
      <c r="AH622" s="751"/>
      <c r="AI622" s="751"/>
      <c r="AJ622" s="751"/>
      <c r="AK622" s="751"/>
      <c r="AL622" s="751"/>
      <c r="AM622" s="751"/>
      <c r="AN622" s="751"/>
      <c r="AO622" s="751"/>
      <c r="AP622" s="751"/>
      <c r="AQ622" s="751"/>
      <c r="AR622" s="751"/>
      <c r="AS622" s="751"/>
      <c r="AT622" s="751"/>
      <c r="AU622" s="751"/>
      <c r="AV622" s="751"/>
      <c r="AW622" s="751"/>
      <c r="AX622" s="752"/>
    </row>
    <row r="623" spans="1:52" s="753" customFormat="1" ht="12" customHeight="1">
      <c r="B623" s="810"/>
      <c r="C623" s="797"/>
      <c r="E623" s="809"/>
      <c r="G623" s="817"/>
      <c r="H623" s="817"/>
      <c r="I623" s="817"/>
      <c r="J623" s="817"/>
      <c r="K623" s="817"/>
      <c r="L623" s="817"/>
      <c r="M623" s="817"/>
      <c r="N623" s="817"/>
      <c r="AE623" s="750"/>
      <c r="AF623" s="751"/>
      <c r="AG623" s="751"/>
      <c r="AH623" s="751"/>
      <c r="AI623" s="751"/>
      <c r="AJ623" s="751"/>
      <c r="AK623" s="751"/>
      <c r="AL623" s="751"/>
      <c r="AM623" s="751"/>
      <c r="AN623" s="751"/>
      <c r="AO623" s="751"/>
      <c r="AP623" s="751"/>
      <c r="AQ623" s="751"/>
      <c r="AR623" s="751"/>
      <c r="AS623" s="751"/>
      <c r="AT623" s="751"/>
      <c r="AU623" s="751"/>
      <c r="AV623" s="751"/>
      <c r="AW623" s="751"/>
      <c r="AX623" s="752"/>
    </row>
    <row r="624" spans="1:52" s="753" customFormat="1" ht="12" customHeight="1">
      <c r="B624" s="810"/>
      <c r="C624" s="797"/>
      <c r="E624" s="809"/>
      <c r="G624" s="817"/>
      <c r="H624" s="817"/>
      <c r="I624" s="817"/>
      <c r="J624" s="817"/>
      <c r="K624" s="817"/>
      <c r="L624" s="817"/>
      <c r="M624" s="817"/>
      <c r="N624" s="817"/>
      <c r="AE624" s="750"/>
      <c r="AF624" s="751"/>
      <c r="AG624" s="751"/>
      <c r="AH624" s="751"/>
      <c r="AI624" s="751"/>
      <c r="AJ624" s="751"/>
      <c r="AK624" s="751"/>
      <c r="AL624" s="751"/>
      <c r="AM624" s="751"/>
      <c r="AN624" s="751"/>
      <c r="AO624" s="751"/>
      <c r="AP624" s="751"/>
      <c r="AQ624" s="751"/>
      <c r="AR624" s="751"/>
      <c r="AS624" s="751"/>
      <c r="AT624" s="751"/>
      <c r="AU624" s="751"/>
      <c r="AV624" s="751"/>
      <c r="AW624" s="751"/>
      <c r="AX624" s="752"/>
    </row>
    <row r="625" spans="2:50" s="753" customFormat="1" ht="12" customHeight="1">
      <c r="B625" s="810"/>
      <c r="C625" s="797"/>
      <c r="E625" s="809"/>
      <c r="G625" s="817"/>
      <c r="H625" s="817"/>
      <c r="I625" s="817"/>
      <c r="J625" s="817"/>
      <c r="K625" s="817"/>
      <c r="L625" s="817"/>
      <c r="M625" s="817"/>
      <c r="N625" s="817"/>
      <c r="AE625" s="750"/>
      <c r="AF625" s="751"/>
      <c r="AG625" s="751"/>
      <c r="AH625" s="751"/>
      <c r="AI625" s="751"/>
      <c r="AJ625" s="751"/>
      <c r="AK625" s="751"/>
      <c r="AL625" s="751"/>
      <c r="AM625" s="751"/>
      <c r="AN625" s="751"/>
      <c r="AO625" s="751"/>
      <c r="AP625" s="751"/>
      <c r="AQ625" s="751"/>
      <c r="AR625" s="751"/>
      <c r="AS625" s="751"/>
      <c r="AT625" s="751"/>
      <c r="AU625" s="751"/>
      <c r="AV625" s="751"/>
      <c r="AW625" s="751"/>
      <c r="AX625" s="752"/>
    </row>
    <row r="626" spans="2:50" s="753" customFormat="1" ht="12" customHeight="1">
      <c r="B626" s="810"/>
      <c r="C626" s="797"/>
      <c r="E626" s="809"/>
      <c r="G626" s="817"/>
      <c r="H626" s="817"/>
      <c r="I626" s="817"/>
      <c r="J626" s="817"/>
      <c r="K626" s="817"/>
      <c r="L626" s="817"/>
      <c r="M626" s="817"/>
      <c r="N626" s="817"/>
      <c r="AE626" s="750"/>
      <c r="AF626" s="751"/>
      <c r="AG626" s="751"/>
      <c r="AH626" s="751"/>
      <c r="AI626" s="751"/>
      <c r="AJ626" s="751"/>
      <c r="AK626" s="751"/>
      <c r="AL626" s="751"/>
      <c r="AM626" s="751"/>
      <c r="AN626" s="751"/>
      <c r="AO626" s="751"/>
      <c r="AP626" s="751"/>
      <c r="AQ626" s="751"/>
      <c r="AR626" s="751"/>
      <c r="AS626" s="751"/>
      <c r="AT626" s="751"/>
      <c r="AU626" s="751"/>
      <c r="AV626" s="751"/>
      <c r="AW626" s="751"/>
      <c r="AX626" s="752"/>
    </row>
    <row r="627" spans="2:50" s="753" customFormat="1" ht="12" customHeight="1">
      <c r="B627" s="810"/>
      <c r="C627" s="797"/>
      <c r="E627" s="809"/>
      <c r="G627" s="817"/>
      <c r="H627" s="817"/>
      <c r="I627" s="817"/>
      <c r="J627" s="817"/>
      <c r="K627" s="817"/>
      <c r="L627" s="817"/>
      <c r="M627" s="817"/>
      <c r="N627" s="817"/>
      <c r="AE627" s="750"/>
      <c r="AF627" s="751"/>
      <c r="AG627" s="751"/>
      <c r="AH627" s="751"/>
      <c r="AI627" s="751"/>
      <c r="AJ627" s="751"/>
      <c r="AK627" s="751"/>
      <c r="AL627" s="751"/>
      <c r="AM627" s="751"/>
      <c r="AN627" s="751"/>
      <c r="AO627" s="751"/>
      <c r="AP627" s="751"/>
      <c r="AQ627" s="751"/>
      <c r="AR627" s="751"/>
      <c r="AS627" s="751"/>
      <c r="AT627" s="751"/>
      <c r="AU627" s="751"/>
      <c r="AV627" s="751"/>
      <c r="AW627" s="751"/>
      <c r="AX627" s="752"/>
    </row>
    <row r="628" spans="2:50" s="753" customFormat="1" ht="12" customHeight="1">
      <c r="B628" s="810"/>
      <c r="C628" s="797"/>
      <c r="E628" s="809"/>
      <c r="G628" s="817"/>
      <c r="H628" s="817"/>
      <c r="I628" s="817"/>
      <c r="J628" s="817"/>
      <c r="K628" s="817"/>
      <c r="L628" s="817"/>
      <c r="M628" s="817"/>
      <c r="N628" s="817"/>
      <c r="AE628" s="750"/>
      <c r="AF628" s="751"/>
      <c r="AG628" s="751"/>
      <c r="AH628" s="751"/>
      <c r="AI628" s="751"/>
      <c r="AJ628" s="751"/>
      <c r="AK628" s="751"/>
      <c r="AL628" s="751"/>
      <c r="AM628" s="751"/>
      <c r="AN628" s="751"/>
      <c r="AO628" s="751"/>
      <c r="AP628" s="751"/>
      <c r="AQ628" s="751"/>
      <c r="AR628" s="751"/>
      <c r="AS628" s="751"/>
      <c r="AT628" s="751"/>
      <c r="AU628" s="751"/>
      <c r="AV628" s="751"/>
      <c r="AW628" s="751"/>
      <c r="AX628" s="752"/>
    </row>
    <row r="629" spans="2:50" s="753" customFormat="1" ht="12" customHeight="1">
      <c r="B629" s="810"/>
      <c r="C629" s="797"/>
      <c r="E629" s="809"/>
      <c r="G629" s="817"/>
      <c r="H629" s="817"/>
      <c r="I629" s="817"/>
      <c r="J629" s="817"/>
      <c r="K629" s="817"/>
      <c r="L629" s="817"/>
      <c r="M629" s="817"/>
      <c r="N629" s="817"/>
      <c r="AE629" s="750"/>
      <c r="AF629" s="751"/>
      <c r="AG629" s="751"/>
      <c r="AH629" s="751"/>
      <c r="AI629" s="751"/>
      <c r="AJ629" s="751"/>
      <c r="AK629" s="751"/>
      <c r="AL629" s="751"/>
      <c r="AM629" s="751"/>
      <c r="AN629" s="751"/>
      <c r="AO629" s="751"/>
      <c r="AP629" s="751"/>
      <c r="AQ629" s="751"/>
      <c r="AR629" s="751"/>
      <c r="AS629" s="751"/>
      <c r="AT629" s="751"/>
      <c r="AU629" s="751"/>
      <c r="AV629" s="751"/>
      <c r="AW629" s="751"/>
      <c r="AX629" s="752"/>
    </row>
    <row r="630" spans="2:50" s="753" customFormat="1" ht="12" customHeight="1">
      <c r="B630" s="810"/>
      <c r="C630" s="797"/>
      <c r="E630" s="809"/>
      <c r="G630" s="817"/>
      <c r="H630" s="817"/>
      <c r="I630" s="817"/>
      <c r="J630" s="817"/>
      <c r="K630" s="817"/>
      <c r="L630" s="817"/>
      <c r="M630" s="817"/>
      <c r="N630" s="817"/>
      <c r="AE630" s="750"/>
      <c r="AF630" s="751"/>
      <c r="AG630" s="751"/>
      <c r="AH630" s="751"/>
      <c r="AI630" s="751"/>
      <c r="AJ630" s="751"/>
      <c r="AK630" s="751"/>
      <c r="AL630" s="751"/>
      <c r="AM630" s="751"/>
      <c r="AN630" s="751"/>
      <c r="AO630" s="751"/>
      <c r="AP630" s="751"/>
      <c r="AQ630" s="751"/>
      <c r="AR630" s="751"/>
      <c r="AS630" s="751"/>
      <c r="AT630" s="751"/>
      <c r="AU630" s="751"/>
      <c r="AV630" s="751"/>
      <c r="AW630" s="751"/>
      <c r="AX630" s="752"/>
    </row>
    <row r="631" spans="2:50" s="753" customFormat="1" ht="12" customHeight="1">
      <c r="B631" s="810"/>
      <c r="C631" s="797"/>
      <c r="E631" s="809"/>
      <c r="G631" s="817"/>
      <c r="H631" s="817"/>
      <c r="I631" s="817"/>
      <c r="J631" s="817"/>
      <c r="K631" s="817"/>
      <c r="L631" s="817"/>
      <c r="M631" s="817"/>
      <c r="N631" s="817"/>
      <c r="AE631" s="750"/>
      <c r="AF631" s="751"/>
      <c r="AG631" s="751"/>
      <c r="AH631" s="751"/>
      <c r="AI631" s="751"/>
      <c r="AJ631" s="751"/>
      <c r="AK631" s="751"/>
      <c r="AL631" s="751"/>
      <c r="AM631" s="751"/>
      <c r="AN631" s="751"/>
      <c r="AO631" s="751"/>
      <c r="AP631" s="751"/>
      <c r="AQ631" s="751"/>
      <c r="AR631" s="751"/>
      <c r="AS631" s="751"/>
      <c r="AT631" s="751"/>
      <c r="AU631" s="751"/>
      <c r="AV631" s="751"/>
      <c r="AW631" s="751"/>
      <c r="AX631" s="752"/>
    </row>
    <row r="632" spans="2:50" s="753" customFormat="1" ht="12" customHeight="1">
      <c r="B632" s="810"/>
      <c r="C632" s="797"/>
      <c r="E632" s="809"/>
      <c r="G632" s="817"/>
      <c r="H632" s="817"/>
      <c r="I632" s="817"/>
      <c r="J632" s="817"/>
      <c r="K632" s="817"/>
      <c r="L632" s="817"/>
      <c r="M632" s="817"/>
      <c r="N632" s="817"/>
      <c r="AE632" s="750"/>
      <c r="AF632" s="751"/>
      <c r="AG632" s="751"/>
      <c r="AH632" s="751"/>
      <c r="AI632" s="751"/>
      <c r="AJ632" s="751"/>
      <c r="AK632" s="751"/>
      <c r="AL632" s="751"/>
      <c r="AM632" s="751"/>
      <c r="AN632" s="751"/>
      <c r="AO632" s="751"/>
      <c r="AP632" s="751"/>
      <c r="AQ632" s="751"/>
      <c r="AR632" s="751"/>
      <c r="AS632" s="751"/>
      <c r="AT632" s="751"/>
      <c r="AU632" s="751"/>
      <c r="AV632" s="751"/>
      <c r="AW632" s="751"/>
      <c r="AX632" s="752"/>
    </row>
    <row r="633" spans="2:50" s="753" customFormat="1" ht="12" customHeight="1">
      <c r="B633" s="810"/>
      <c r="C633" s="797"/>
      <c r="E633" s="809"/>
      <c r="G633" s="817"/>
      <c r="H633" s="817"/>
      <c r="I633" s="817"/>
      <c r="J633" s="817"/>
      <c r="K633" s="817"/>
      <c r="L633" s="817"/>
      <c r="M633" s="817"/>
      <c r="N633" s="817"/>
      <c r="AE633" s="750"/>
      <c r="AF633" s="751"/>
      <c r="AG633" s="751"/>
      <c r="AH633" s="751"/>
      <c r="AI633" s="751"/>
      <c r="AJ633" s="751"/>
      <c r="AK633" s="751"/>
      <c r="AL633" s="751"/>
      <c r="AM633" s="751"/>
      <c r="AN633" s="751"/>
      <c r="AO633" s="751"/>
      <c r="AP633" s="751"/>
      <c r="AQ633" s="751"/>
      <c r="AR633" s="751"/>
      <c r="AS633" s="751"/>
      <c r="AT633" s="751"/>
      <c r="AU633" s="751"/>
      <c r="AV633" s="751"/>
      <c r="AW633" s="751"/>
      <c r="AX633" s="752"/>
    </row>
    <row r="634" spans="2:50" s="753" customFormat="1" ht="12" customHeight="1">
      <c r="B634" s="810"/>
      <c r="C634" s="797"/>
      <c r="E634" s="809"/>
      <c r="G634" s="817"/>
      <c r="H634" s="817"/>
      <c r="I634" s="817"/>
      <c r="J634" s="817"/>
      <c r="K634" s="817"/>
      <c r="L634" s="817"/>
      <c r="M634" s="817"/>
      <c r="N634" s="817"/>
      <c r="AE634" s="750"/>
      <c r="AF634" s="751"/>
      <c r="AG634" s="751"/>
      <c r="AH634" s="751"/>
      <c r="AI634" s="751"/>
      <c r="AJ634" s="751"/>
      <c r="AK634" s="751"/>
      <c r="AL634" s="751"/>
      <c r="AM634" s="751"/>
      <c r="AN634" s="751"/>
      <c r="AO634" s="751"/>
      <c r="AP634" s="751"/>
      <c r="AQ634" s="751"/>
      <c r="AR634" s="751"/>
      <c r="AS634" s="751"/>
      <c r="AT634" s="751"/>
      <c r="AU634" s="751"/>
      <c r="AV634" s="751"/>
      <c r="AW634" s="751"/>
      <c r="AX634" s="752"/>
    </row>
    <row r="635" spans="2:50" s="753" customFormat="1" ht="12" customHeight="1">
      <c r="B635" s="810"/>
      <c r="C635" s="797"/>
      <c r="E635" s="809"/>
      <c r="G635" s="817"/>
      <c r="H635" s="817"/>
      <c r="I635" s="817"/>
      <c r="J635" s="817"/>
      <c r="K635" s="817"/>
      <c r="L635" s="817"/>
      <c r="M635" s="817"/>
      <c r="N635" s="817"/>
      <c r="AE635" s="750"/>
      <c r="AF635" s="751"/>
      <c r="AG635" s="751"/>
      <c r="AH635" s="751"/>
      <c r="AI635" s="751"/>
      <c r="AJ635" s="751"/>
      <c r="AK635" s="751"/>
      <c r="AL635" s="751"/>
      <c r="AM635" s="751"/>
      <c r="AN635" s="751"/>
      <c r="AO635" s="751"/>
      <c r="AP635" s="751"/>
      <c r="AQ635" s="751"/>
      <c r="AR635" s="751"/>
      <c r="AS635" s="751"/>
      <c r="AT635" s="751"/>
      <c r="AU635" s="751"/>
      <c r="AV635" s="751"/>
      <c r="AW635" s="751"/>
      <c r="AX635" s="752"/>
    </row>
    <row r="636" spans="2:50" s="753" customFormat="1" ht="12" customHeight="1">
      <c r="B636" s="810"/>
      <c r="C636" s="797"/>
      <c r="E636" s="809"/>
      <c r="G636" s="817"/>
      <c r="H636" s="817"/>
      <c r="I636" s="817"/>
      <c r="J636" s="817"/>
      <c r="K636" s="817"/>
      <c r="L636" s="817"/>
      <c r="M636" s="817"/>
      <c r="N636" s="817"/>
      <c r="AE636" s="750"/>
      <c r="AF636" s="751"/>
      <c r="AG636" s="751"/>
      <c r="AH636" s="751"/>
      <c r="AI636" s="751"/>
      <c r="AJ636" s="751"/>
      <c r="AK636" s="751"/>
      <c r="AL636" s="751"/>
      <c r="AM636" s="751"/>
      <c r="AN636" s="751"/>
      <c r="AO636" s="751"/>
      <c r="AP636" s="751"/>
      <c r="AQ636" s="751"/>
      <c r="AR636" s="751"/>
      <c r="AS636" s="751"/>
      <c r="AT636" s="751"/>
      <c r="AU636" s="751"/>
      <c r="AV636" s="751"/>
      <c r="AW636" s="751"/>
      <c r="AX636" s="752"/>
    </row>
    <row r="637" spans="2:50" s="753" customFormat="1" ht="12" customHeight="1">
      <c r="B637" s="810"/>
      <c r="C637" s="797"/>
      <c r="E637" s="809"/>
      <c r="G637" s="817"/>
      <c r="H637" s="817"/>
      <c r="I637" s="817"/>
      <c r="J637" s="817"/>
      <c r="K637" s="817"/>
      <c r="L637" s="817"/>
      <c r="M637" s="817"/>
      <c r="N637" s="817"/>
      <c r="AE637" s="750"/>
      <c r="AF637" s="751"/>
      <c r="AG637" s="751"/>
      <c r="AH637" s="751"/>
      <c r="AI637" s="751"/>
      <c r="AJ637" s="751"/>
      <c r="AK637" s="751"/>
      <c r="AL637" s="751"/>
      <c r="AM637" s="751"/>
      <c r="AN637" s="751"/>
      <c r="AO637" s="751"/>
      <c r="AP637" s="751"/>
      <c r="AQ637" s="751"/>
      <c r="AR637" s="751"/>
      <c r="AS637" s="751"/>
      <c r="AT637" s="751"/>
      <c r="AU637" s="751"/>
      <c r="AV637" s="751"/>
      <c r="AW637" s="751"/>
      <c r="AX637" s="752"/>
    </row>
    <row r="638" spans="2:50" s="753" customFormat="1" ht="12" customHeight="1">
      <c r="B638" s="810"/>
      <c r="C638" s="797"/>
      <c r="E638" s="809"/>
      <c r="G638" s="817"/>
      <c r="H638" s="817"/>
      <c r="I638" s="817"/>
      <c r="J638" s="817"/>
      <c r="K638" s="817"/>
      <c r="L638" s="817"/>
      <c r="M638" s="817"/>
      <c r="N638" s="817"/>
      <c r="AE638" s="750"/>
      <c r="AF638" s="751"/>
      <c r="AG638" s="751"/>
      <c r="AH638" s="751"/>
      <c r="AI638" s="751"/>
      <c r="AJ638" s="751"/>
      <c r="AK638" s="751"/>
      <c r="AL638" s="751"/>
      <c r="AM638" s="751"/>
      <c r="AN638" s="751"/>
      <c r="AO638" s="751"/>
      <c r="AP638" s="751"/>
      <c r="AQ638" s="751"/>
      <c r="AR638" s="751"/>
      <c r="AS638" s="751"/>
      <c r="AT638" s="751"/>
      <c r="AU638" s="751"/>
      <c r="AV638" s="751"/>
      <c r="AW638" s="751"/>
      <c r="AX638" s="752"/>
    </row>
    <row r="639" spans="2:50" s="753" customFormat="1" ht="12" customHeight="1">
      <c r="B639" s="810"/>
      <c r="C639" s="797"/>
      <c r="E639" s="809"/>
      <c r="G639" s="817"/>
      <c r="H639" s="817"/>
      <c r="I639" s="817"/>
      <c r="J639" s="817"/>
      <c r="K639" s="817"/>
      <c r="L639" s="817"/>
      <c r="M639" s="817"/>
      <c r="N639" s="817"/>
      <c r="AE639" s="750"/>
      <c r="AF639" s="751"/>
      <c r="AG639" s="751"/>
      <c r="AH639" s="751"/>
      <c r="AI639" s="751"/>
      <c r="AJ639" s="751"/>
      <c r="AK639" s="751"/>
      <c r="AL639" s="751"/>
      <c r="AM639" s="751"/>
      <c r="AN639" s="751"/>
      <c r="AO639" s="751"/>
      <c r="AP639" s="751"/>
      <c r="AQ639" s="751"/>
      <c r="AR639" s="751"/>
      <c r="AS639" s="751"/>
      <c r="AT639" s="751"/>
      <c r="AU639" s="751"/>
      <c r="AV639" s="751"/>
      <c r="AW639" s="751"/>
      <c r="AX639" s="752"/>
    </row>
    <row r="640" spans="2:50" s="753" customFormat="1" ht="12" customHeight="1">
      <c r="B640" s="810"/>
      <c r="C640" s="797"/>
      <c r="E640" s="809"/>
      <c r="G640" s="817"/>
      <c r="H640" s="817"/>
      <c r="I640" s="817"/>
      <c r="J640" s="817"/>
      <c r="K640" s="817"/>
      <c r="L640" s="817"/>
      <c r="M640" s="817"/>
      <c r="N640" s="817"/>
      <c r="AE640" s="750"/>
      <c r="AF640" s="751"/>
      <c r="AG640" s="751"/>
      <c r="AH640" s="751"/>
      <c r="AI640" s="751"/>
      <c r="AJ640" s="751"/>
      <c r="AK640" s="751"/>
      <c r="AL640" s="751"/>
      <c r="AM640" s="751"/>
      <c r="AN640" s="751"/>
      <c r="AO640" s="751"/>
      <c r="AP640" s="751"/>
      <c r="AQ640" s="751"/>
      <c r="AR640" s="751"/>
      <c r="AS640" s="751"/>
      <c r="AT640" s="751"/>
      <c r="AU640" s="751"/>
      <c r="AV640" s="751"/>
      <c r="AW640" s="751"/>
      <c r="AX640" s="752"/>
    </row>
    <row r="641" spans="1:52" s="753" customFormat="1" ht="12" customHeight="1">
      <c r="B641" s="810"/>
      <c r="C641" s="797"/>
      <c r="E641" s="809"/>
      <c r="G641" s="817"/>
      <c r="H641" s="817"/>
      <c r="I641" s="817"/>
      <c r="J641" s="817"/>
      <c r="K641" s="817"/>
      <c r="L641" s="817"/>
      <c r="M641" s="817"/>
      <c r="N641" s="817"/>
      <c r="AE641" s="750"/>
      <c r="AF641" s="751"/>
      <c r="AG641" s="751"/>
      <c r="AH641" s="751"/>
      <c r="AI641" s="751"/>
      <c r="AJ641" s="751"/>
      <c r="AK641" s="751"/>
      <c r="AL641" s="751"/>
      <c r="AM641" s="751"/>
      <c r="AN641" s="751"/>
      <c r="AO641" s="751"/>
      <c r="AP641" s="751"/>
      <c r="AQ641" s="751"/>
      <c r="AR641" s="751"/>
      <c r="AS641" s="751"/>
      <c r="AT641" s="751"/>
      <c r="AU641" s="751"/>
      <c r="AV641" s="751"/>
      <c r="AW641" s="751"/>
      <c r="AX641" s="752"/>
    </row>
    <row r="642" spans="1:52" s="753" customFormat="1" ht="12" customHeight="1">
      <c r="B642" s="810"/>
      <c r="C642" s="797"/>
      <c r="E642" s="809"/>
      <c r="G642" s="817"/>
      <c r="H642" s="817"/>
      <c r="I642" s="817"/>
      <c r="J642" s="817"/>
      <c r="K642" s="817"/>
      <c r="L642" s="817"/>
      <c r="M642" s="817"/>
      <c r="N642" s="817"/>
      <c r="AE642" s="750"/>
      <c r="AF642" s="751"/>
      <c r="AG642" s="751"/>
      <c r="AH642" s="751"/>
      <c r="AI642" s="751"/>
      <c r="AJ642" s="751"/>
      <c r="AK642" s="751"/>
      <c r="AL642" s="751"/>
      <c r="AM642" s="751"/>
      <c r="AN642" s="751"/>
      <c r="AO642" s="751"/>
      <c r="AP642" s="751"/>
      <c r="AQ642" s="751"/>
      <c r="AR642" s="751"/>
      <c r="AS642" s="751"/>
      <c r="AT642" s="751"/>
      <c r="AU642" s="751"/>
      <c r="AV642" s="751"/>
      <c r="AW642" s="751"/>
      <c r="AX642" s="752"/>
    </row>
    <row r="643" spans="1:52" s="753" customFormat="1" ht="12" customHeight="1">
      <c r="B643" s="810"/>
      <c r="C643" s="797"/>
      <c r="E643" s="809"/>
      <c r="G643" s="817"/>
      <c r="H643" s="817"/>
      <c r="I643" s="817"/>
      <c r="J643" s="817"/>
      <c r="K643" s="817"/>
      <c r="L643" s="817"/>
      <c r="M643" s="817"/>
      <c r="N643" s="817"/>
      <c r="AE643" s="750"/>
      <c r="AF643" s="751"/>
      <c r="AG643" s="751"/>
      <c r="AH643" s="751"/>
      <c r="AI643" s="751"/>
      <c r="AJ643" s="751"/>
      <c r="AK643" s="751"/>
      <c r="AL643" s="751"/>
      <c r="AM643" s="751"/>
      <c r="AN643" s="751"/>
      <c r="AO643" s="751"/>
      <c r="AP643" s="751"/>
      <c r="AQ643" s="751"/>
      <c r="AR643" s="751"/>
      <c r="AS643" s="751"/>
      <c r="AT643" s="751"/>
      <c r="AU643" s="751"/>
      <c r="AV643" s="751"/>
      <c r="AW643" s="751"/>
      <c r="AX643" s="752"/>
    </row>
    <row r="644" spans="1:52" s="753" customFormat="1" ht="12" customHeight="1">
      <c r="B644" s="810"/>
      <c r="C644" s="797"/>
      <c r="E644" s="809"/>
      <c r="G644" s="817"/>
      <c r="H644" s="817"/>
      <c r="I644" s="817"/>
      <c r="J644" s="817"/>
      <c r="K644" s="817"/>
      <c r="L644" s="817"/>
      <c r="M644" s="817"/>
      <c r="N644" s="817"/>
      <c r="AE644" s="750"/>
      <c r="AF644" s="751"/>
      <c r="AG644" s="751"/>
      <c r="AH644" s="751"/>
      <c r="AI644" s="751"/>
      <c r="AJ644" s="751"/>
      <c r="AK644" s="751"/>
      <c r="AL644" s="751"/>
      <c r="AM644" s="751"/>
      <c r="AN644" s="751"/>
      <c r="AO644" s="751"/>
      <c r="AP644" s="751"/>
      <c r="AQ644" s="751"/>
      <c r="AR644" s="751"/>
      <c r="AS644" s="751"/>
      <c r="AT644" s="751"/>
      <c r="AU644" s="751"/>
      <c r="AV644" s="751"/>
      <c r="AW644" s="751"/>
      <c r="AX644" s="752"/>
    </row>
    <row r="645" spans="1:52" s="753" customFormat="1" ht="12" customHeight="1">
      <c r="B645" s="810"/>
      <c r="C645" s="797"/>
      <c r="E645" s="809"/>
      <c r="G645" s="817"/>
      <c r="H645" s="817"/>
      <c r="I645" s="817"/>
      <c r="J645" s="817"/>
      <c r="K645" s="817"/>
      <c r="L645" s="817"/>
      <c r="M645" s="817"/>
      <c r="N645" s="817"/>
      <c r="AE645" s="750"/>
      <c r="AF645" s="751"/>
      <c r="AG645" s="751"/>
      <c r="AH645" s="751"/>
      <c r="AI645" s="751"/>
      <c r="AJ645" s="751"/>
      <c r="AK645" s="751"/>
      <c r="AL645" s="751"/>
      <c r="AM645" s="751"/>
      <c r="AN645" s="751"/>
      <c r="AO645" s="751"/>
      <c r="AP645" s="751"/>
      <c r="AQ645" s="751"/>
      <c r="AR645" s="751"/>
      <c r="AS645" s="751"/>
      <c r="AT645" s="751"/>
      <c r="AU645" s="751"/>
      <c r="AV645" s="751"/>
      <c r="AW645" s="751"/>
      <c r="AX645" s="752"/>
    </row>
    <row r="646" spans="1:52" s="753" customFormat="1" ht="12" customHeight="1">
      <c r="B646" s="810"/>
      <c r="C646" s="797"/>
      <c r="E646" s="809"/>
      <c r="G646" s="817"/>
      <c r="H646" s="817"/>
      <c r="I646" s="817"/>
      <c r="J646" s="817"/>
      <c r="K646" s="817"/>
      <c r="L646" s="817"/>
      <c r="M646" s="817"/>
      <c r="N646" s="817"/>
      <c r="AE646" s="750"/>
      <c r="AF646" s="751"/>
      <c r="AG646" s="751"/>
      <c r="AH646" s="751"/>
      <c r="AI646" s="751"/>
      <c r="AJ646" s="751"/>
      <c r="AK646" s="751"/>
      <c r="AL646" s="751"/>
      <c r="AM646" s="751"/>
      <c r="AN646" s="751"/>
      <c r="AO646" s="751"/>
      <c r="AP646" s="751"/>
      <c r="AQ646" s="751"/>
      <c r="AR646" s="751"/>
      <c r="AS646" s="751"/>
      <c r="AT646" s="751"/>
      <c r="AU646" s="751"/>
      <c r="AV646" s="751"/>
      <c r="AW646" s="751"/>
      <c r="AX646" s="752"/>
    </row>
    <row r="647" spans="1:52" s="753" customFormat="1" ht="12" customHeight="1">
      <c r="B647" s="796" t="s">
        <v>4027</v>
      </c>
      <c r="C647" s="797"/>
      <c r="E647" s="798"/>
      <c r="F647" s="799"/>
      <c r="AE647" s="750"/>
      <c r="AF647" s="751"/>
      <c r="AG647" s="751"/>
      <c r="AH647" s="751"/>
      <c r="AI647" s="751"/>
      <c r="AJ647" s="751"/>
      <c r="AK647" s="751"/>
      <c r="AL647" s="751"/>
      <c r="AM647" s="751"/>
      <c r="AN647" s="751"/>
      <c r="AO647" s="751"/>
      <c r="AP647" s="751"/>
      <c r="AQ647" s="751"/>
      <c r="AR647" s="752"/>
      <c r="AS647" s="752"/>
      <c r="AT647" s="752"/>
      <c r="AU647" s="752"/>
      <c r="AV647" s="752"/>
      <c r="AW647" s="752"/>
      <c r="AX647" s="752"/>
    </row>
    <row r="648" spans="1:52" s="812" customFormat="1" ht="12.9" customHeight="1">
      <c r="B648" s="800" t="s">
        <v>4068</v>
      </c>
      <c r="C648" s="801"/>
      <c r="D648" s="863"/>
      <c r="E648" s="864"/>
      <c r="F648" s="863"/>
      <c r="G648" s="865"/>
      <c r="H648" s="865"/>
      <c r="I648" s="865"/>
      <c r="J648" s="865"/>
      <c r="K648" s="865"/>
      <c r="L648" s="865"/>
      <c r="M648" s="865"/>
      <c r="N648" s="865"/>
      <c r="O648" s="865"/>
      <c r="P648" s="865"/>
      <c r="Q648" s="865"/>
      <c r="R648" s="865"/>
      <c r="S648" s="865"/>
      <c r="T648" s="865"/>
      <c r="U648" s="865"/>
      <c r="V648" s="865"/>
      <c r="W648" s="865"/>
      <c r="X648" s="865"/>
      <c r="Y648" s="865"/>
      <c r="Z648" s="865"/>
      <c r="AA648" s="865"/>
      <c r="AB648" s="865"/>
      <c r="AC648" s="865"/>
      <c r="AD648" s="806" t="s">
        <v>584</v>
      </c>
      <c r="AE648" s="750"/>
      <c r="AF648" s="751"/>
      <c r="AG648" s="751"/>
      <c r="AH648" s="751"/>
      <c r="AI648" s="751"/>
      <c r="AJ648" s="751"/>
      <c r="AK648" s="751"/>
      <c r="AL648" s="751"/>
      <c r="AM648" s="751"/>
      <c r="AN648" s="751"/>
      <c r="AO648" s="751"/>
      <c r="AP648" s="751"/>
      <c r="AQ648" s="751"/>
      <c r="AR648" s="752"/>
      <c r="AS648" s="752"/>
      <c r="AT648" s="752"/>
      <c r="AU648" s="752"/>
      <c r="AV648" s="752"/>
      <c r="AW648" s="752"/>
      <c r="AX648" s="752"/>
      <c r="AY648" s="753"/>
      <c r="AZ648" s="770"/>
    </row>
    <row r="649" spans="1:52" s="812" customFormat="1" ht="12.9" customHeight="1">
      <c r="B649" s="866"/>
      <c r="C649" s="808">
        <v>24</v>
      </c>
      <c r="D649" s="753" t="s">
        <v>4058</v>
      </c>
      <c r="E649" s="828"/>
      <c r="F649" s="828"/>
      <c r="G649" s="809"/>
      <c r="H649" s="809"/>
      <c r="I649" s="809"/>
      <c r="J649" s="809"/>
      <c r="K649" s="809"/>
      <c r="L649" s="809"/>
      <c r="M649" s="809"/>
      <c r="N649" s="828"/>
      <c r="O649" s="828"/>
      <c r="P649" s="828"/>
      <c r="Q649" s="828"/>
      <c r="Z649" s="818"/>
      <c r="AE649" s="750"/>
      <c r="AF649" s="751"/>
      <c r="AG649" s="751"/>
      <c r="AH649" s="751"/>
      <c r="AI649" s="751"/>
      <c r="AJ649" s="751"/>
      <c r="AK649" s="751"/>
      <c r="AL649" s="751"/>
      <c r="AM649" s="751"/>
      <c r="AN649" s="751"/>
      <c r="AO649" s="751"/>
      <c r="AP649" s="751"/>
      <c r="AQ649" s="751"/>
      <c r="AR649" s="751"/>
      <c r="AS649" s="751"/>
      <c r="AT649" s="751"/>
      <c r="AU649" s="751"/>
      <c r="AV649" s="751"/>
      <c r="AW649" s="751"/>
      <c r="AX649" s="752"/>
      <c r="AY649" s="753"/>
      <c r="AZ649" s="770"/>
    </row>
    <row r="650" spans="1:52" s="770" customFormat="1" ht="12" customHeight="1">
      <c r="A650" s="753"/>
      <c r="B650" s="810"/>
      <c r="C650" s="797"/>
      <c r="D650" s="922" t="s">
        <v>4043</v>
      </c>
      <c r="E650" s="809"/>
      <c r="F650" s="753"/>
      <c r="G650" s="753"/>
      <c r="H650" s="753"/>
      <c r="I650" s="753"/>
      <c r="J650" s="753"/>
      <c r="K650" s="753"/>
      <c r="L650" s="753"/>
      <c r="M650" s="753"/>
      <c r="N650" s="753"/>
      <c r="O650" s="753"/>
      <c r="P650" s="753"/>
      <c r="Q650" s="753"/>
      <c r="R650" s="753"/>
      <c r="S650" s="753"/>
      <c r="T650" s="753"/>
      <c r="U650" s="753"/>
      <c r="V650" s="753"/>
      <c r="W650" s="753"/>
      <c r="X650" s="753"/>
      <c r="Y650" s="753"/>
      <c r="Z650" s="753"/>
      <c r="AA650" s="753"/>
      <c r="AB650" s="753"/>
      <c r="AC650" s="753"/>
      <c r="AD650" s="753"/>
      <c r="AE650" s="750"/>
      <c r="AF650" s="751"/>
      <c r="AG650" s="751"/>
      <c r="AH650" s="751"/>
      <c r="AI650" s="751"/>
      <c r="AJ650" s="751"/>
      <c r="AK650" s="751"/>
      <c r="AL650" s="751"/>
      <c r="AM650" s="751"/>
      <c r="AN650" s="751"/>
      <c r="AO650" s="751"/>
      <c r="AP650" s="751"/>
      <c r="AQ650" s="751"/>
      <c r="AR650" s="751"/>
      <c r="AS650" s="751"/>
      <c r="AT650" s="751"/>
      <c r="AU650" s="751"/>
      <c r="AV650" s="751"/>
      <c r="AW650" s="751"/>
      <c r="AX650" s="752"/>
      <c r="AY650" s="753"/>
    </row>
    <row r="651" spans="1:52" s="770" customFormat="1" ht="12" customHeight="1">
      <c r="A651" s="753"/>
      <c r="B651" s="810"/>
      <c r="C651" s="797"/>
      <c r="D651" s="753"/>
      <c r="E651" s="809"/>
      <c r="F651" s="753"/>
      <c r="G651" s="817"/>
      <c r="H651" s="817"/>
      <c r="I651" s="817"/>
      <c r="J651" s="817"/>
      <c r="K651" s="817"/>
      <c r="L651" s="817"/>
      <c r="M651" s="817"/>
      <c r="N651" s="817"/>
      <c r="O651" s="753"/>
      <c r="P651" s="753"/>
      <c r="Q651" s="753"/>
      <c r="R651" s="753"/>
      <c r="S651" s="753"/>
      <c r="T651" s="753"/>
      <c r="U651" s="753"/>
      <c r="V651" s="753"/>
      <c r="W651" s="753"/>
      <c r="X651" s="753"/>
      <c r="Y651" s="753"/>
      <c r="Z651" s="753"/>
      <c r="AA651" s="753"/>
      <c r="AB651" s="753"/>
      <c r="AC651" s="753"/>
      <c r="AD651" s="753"/>
      <c r="AE651" s="750"/>
      <c r="AF651" s="751"/>
      <c r="AG651" s="751"/>
      <c r="AH651" s="751"/>
      <c r="AI651" s="751"/>
      <c r="AJ651" s="751"/>
      <c r="AK651" s="751"/>
      <c r="AL651" s="751"/>
      <c r="AM651" s="751"/>
      <c r="AN651" s="751"/>
      <c r="AO651" s="751"/>
      <c r="AP651" s="751"/>
      <c r="AQ651" s="751"/>
      <c r="AR651" s="751"/>
      <c r="AS651" s="751"/>
      <c r="AT651" s="751"/>
      <c r="AU651" s="751"/>
      <c r="AV651" s="751"/>
      <c r="AW651" s="751"/>
      <c r="AX651" s="752"/>
      <c r="AY651" s="753"/>
    </row>
    <row r="652" spans="1:52" s="770" customFormat="1" ht="12" customHeight="1">
      <c r="A652" s="753"/>
      <c r="B652" s="810"/>
      <c r="C652" s="797"/>
      <c r="D652" s="851" t="s">
        <v>4059</v>
      </c>
      <c r="E652" s="809"/>
      <c r="F652" s="753"/>
      <c r="G652" s="817"/>
      <c r="H652" s="817"/>
      <c r="I652" s="817"/>
      <c r="J652" s="817"/>
      <c r="K652" s="817"/>
      <c r="L652" s="817"/>
      <c r="M652" s="817"/>
      <c r="N652" s="817"/>
      <c r="O652" s="753"/>
      <c r="P652" s="753"/>
      <c r="Q652" s="753"/>
      <c r="R652" s="753"/>
      <c r="S652" s="753"/>
      <c r="T652" s="753"/>
      <c r="U652" s="753"/>
      <c r="V652" s="753"/>
      <c r="W652" s="753"/>
      <c r="X652" s="753"/>
      <c r="Y652" s="753"/>
      <c r="Z652" s="753"/>
      <c r="AA652" s="753"/>
      <c r="AB652" s="753"/>
      <c r="AC652" s="753"/>
      <c r="AD652" s="753"/>
      <c r="AE652" s="750"/>
      <c r="AF652" s="751"/>
      <c r="AG652" s="751"/>
      <c r="AH652" s="751"/>
      <c r="AI652" s="751"/>
      <c r="AJ652" s="751"/>
      <c r="AK652" s="751"/>
      <c r="AL652" s="751"/>
      <c r="AM652" s="751"/>
      <c r="AN652" s="751"/>
      <c r="AO652" s="751"/>
      <c r="AP652" s="751"/>
      <c r="AQ652" s="751"/>
      <c r="AR652" s="751"/>
      <c r="AS652" s="751"/>
      <c r="AT652" s="751"/>
      <c r="AU652" s="751"/>
      <c r="AV652" s="751"/>
      <c r="AW652" s="751"/>
      <c r="AX652" s="752"/>
      <c r="AY652" s="753"/>
    </row>
    <row r="653" spans="1:52" s="770" customFormat="1" ht="12" customHeight="1">
      <c r="A653" s="753"/>
      <c r="B653" s="810"/>
      <c r="C653" s="797"/>
      <c r="D653" s="851"/>
      <c r="E653" s="809"/>
      <c r="F653" s="753"/>
      <c r="G653" s="817"/>
      <c r="H653" s="817"/>
      <c r="I653" s="817"/>
      <c r="J653" s="817"/>
      <c r="K653" s="817"/>
      <c r="L653" s="817"/>
      <c r="M653" s="817"/>
      <c r="N653" s="817"/>
      <c r="O653" s="753"/>
      <c r="P653" s="753"/>
      <c r="Q653" s="753"/>
      <c r="R653" s="753"/>
      <c r="S653" s="753"/>
      <c r="T653" s="753"/>
      <c r="U653" s="753"/>
      <c r="V653" s="753"/>
      <c r="W653" s="753"/>
      <c r="X653" s="753"/>
      <c r="Y653" s="753"/>
      <c r="Z653" s="753"/>
      <c r="AA653" s="753"/>
      <c r="AB653" s="753"/>
      <c r="AC653" s="753"/>
      <c r="AD653" s="753"/>
      <c r="AE653" s="750"/>
      <c r="AF653" s="751"/>
      <c r="AG653" s="751"/>
      <c r="AH653" s="751"/>
      <c r="AI653" s="751"/>
      <c r="AJ653" s="751"/>
      <c r="AK653" s="751"/>
      <c r="AL653" s="751"/>
      <c r="AM653" s="751"/>
      <c r="AN653" s="751"/>
      <c r="AO653" s="751"/>
      <c r="AP653" s="751"/>
      <c r="AQ653" s="751"/>
      <c r="AR653" s="751"/>
      <c r="AS653" s="751"/>
      <c r="AT653" s="751"/>
      <c r="AU653" s="751"/>
      <c r="AV653" s="751"/>
      <c r="AW653" s="751"/>
      <c r="AX653" s="752"/>
      <c r="AY653" s="753"/>
    </row>
    <row r="654" spans="1:52" s="770" customFormat="1" ht="12" customHeight="1">
      <c r="A654" s="753"/>
      <c r="B654" s="810"/>
      <c r="C654" s="835"/>
      <c r="D654" s="753"/>
      <c r="E654" s="852"/>
      <c r="G654" s="853">
        <v>1</v>
      </c>
      <c r="H654" s="853">
        <v>2</v>
      </c>
      <c r="I654" s="853">
        <v>3</v>
      </c>
      <c r="J654" s="853">
        <v>4</v>
      </c>
      <c r="K654" s="853">
        <v>5</v>
      </c>
      <c r="L654" s="817"/>
      <c r="M654" s="817"/>
      <c r="N654" s="817"/>
      <c r="O654" s="825"/>
      <c r="P654" s="825"/>
      <c r="Q654" s="825"/>
      <c r="R654" s="825"/>
      <c r="S654" s="825"/>
      <c r="T654" s="825"/>
      <c r="U654" s="825"/>
      <c r="V654" s="825"/>
      <c r="W654" s="825"/>
      <c r="X654" s="825"/>
      <c r="Y654" s="825"/>
      <c r="Z654" s="825"/>
      <c r="AA654" s="825"/>
      <c r="AB654" s="825"/>
      <c r="AC654" s="825"/>
      <c r="AD654" s="799"/>
      <c r="AE654" s="750"/>
      <c r="AF654" s="751"/>
      <c r="AG654" s="751"/>
      <c r="AH654" s="751"/>
      <c r="AI654" s="751"/>
      <c r="AJ654" s="751"/>
      <c r="AK654" s="751"/>
      <c r="AL654" s="751"/>
      <c r="AM654" s="751"/>
      <c r="AN654" s="751"/>
      <c r="AO654" s="751"/>
      <c r="AP654" s="751"/>
      <c r="AQ654" s="751"/>
      <c r="AR654" s="752"/>
      <c r="AS654" s="752"/>
      <c r="AT654" s="752"/>
      <c r="AU654" s="752"/>
      <c r="AV654" s="752"/>
      <c r="AW654" s="752"/>
      <c r="AX654" s="752"/>
      <c r="AY654" s="753"/>
    </row>
    <row r="655" spans="1:52" s="770" customFormat="1" ht="78" customHeight="1">
      <c r="A655" s="753"/>
      <c r="B655" s="810"/>
      <c r="C655" s="811"/>
      <c r="D655" s="811"/>
      <c r="E655" s="852"/>
      <c r="G655" s="855" t="s">
        <v>4030</v>
      </c>
      <c r="H655" s="855" t="s">
        <v>4031</v>
      </c>
      <c r="I655" s="855" t="s">
        <v>4032</v>
      </c>
      <c r="J655" s="855" t="s">
        <v>4033</v>
      </c>
      <c r="K655" s="855" t="s">
        <v>4034</v>
      </c>
      <c r="L655" s="927"/>
      <c r="M655" s="927"/>
      <c r="N655" s="927"/>
      <c r="O655" s="825"/>
      <c r="P655" s="825"/>
      <c r="Q655" s="825"/>
      <c r="R655" s="825"/>
      <c r="S655" s="825"/>
      <c r="T655" s="825"/>
      <c r="U655" s="825"/>
      <c r="V655" s="825"/>
      <c r="W655" s="825"/>
      <c r="X655" s="825"/>
      <c r="Y655" s="825"/>
      <c r="Z655" s="825"/>
      <c r="AA655" s="825"/>
      <c r="AB655" s="825"/>
      <c r="AC655" s="825"/>
      <c r="AD655" s="799"/>
      <c r="AE655" s="750"/>
      <c r="AF655" s="751"/>
      <c r="AG655" s="856"/>
      <c r="AH655" s="856"/>
      <c r="AI655" s="751"/>
      <c r="AJ655" s="751"/>
      <c r="AK655" s="751"/>
      <c r="AL655" s="751"/>
      <c r="AM655" s="751"/>
      <c r="AN655" s="751"/>
      <c r="AO655" s="751"/>
      <c r="AP655" s="751"/>
      <c r="AQ655" s="751"/>
      <c r="AR655" s="752"/>
      <c r="AS655" s="752"/>
      <c r="AT655" s="752"/>
      <c r="AU655" s="752"/>
      <c r="AV655" s="752"/>
      <c r="AW655" s="752"/>
      <c r="AX655" s="752"/>
      <c r="AY655" s="753"/>
    </row>
    <row r="656" spans="1:52" s="770" customFormat="1" ht="19.5" customHeight="1">
      <c r="A656" s="753"/>
      <c r="B656" s="810"/>
      <c r="C656" s="859"/>
      <c r="D656" s="749"/>
      <c r="E656" s="825"/>
      <c r="F656" s="928" t="s">
        <v>4035</v>
      </c>
      <c r="G656" s="759" t="s">
        <v>4036</v>
      </c>
      <c r="H656" s="759"/>
      <c r="I656" s="759"/>
      <c r="J656" s="759"/>
      <c r="K656" s="759" t="s">
        <v>4037</v>
      </c>
      <c r="L656" s="929" t="s">
        <v>4038</v>
      </c>
      <c r="M656" s="825"/>
      <c r="N656" s="825"/>
      <c r="O656" s="825"/>
      <c r="P656" s="825"/>
      <c r="Q656" s="825"/>
      <c r="R656" s="825"/>
      <c r="S656" s="825"/>
      <c r="T656" s="825"/>
      <c r="U656" s="825"/>
      <c r="V656" s="825"/>
      <c r="W656" s="825"/>
      <c r="X656" s="825"/>
      <c r="Y656" s="825"/>
      <c r="Z656" s="825"/>
      <c r="AA656" s="825"/>
      <c r="AB656" s="825"/>
      <c r="AC656" s="825"/>
      <c r="AD656" s="799"/>
      <c r="AE656" s="750"/>
      <c r="AF656" s="751"/>
      <c r="AG656" s="751"/>
      <c r="AH656" s="751"/>
      <c r="AI656" s="751"/>
      <c r="AJ656" s="751"/>
      <c r="AK656" s="751"/>
      <c r="AL656" s="751"/>
      <c r="AM656" s="751"/>
      <c r="AN656" s="751"/>
      <c r="AO656" s="751"/>
      <c r="AP656" s="751"/>
      <c r="AQ656" s="751"/>
      <c r="AR656" s="752"/>
      <c r="AS656" s="752"/>
      <c r="AT656" s="752"/>
      <c r="AU656" s="752"/>
      <c r="AV656" s="752"/>
      <c r="AW656" s="752"/>
      <c r="AX656" s="752"/>
      <c r="AY656" s="753"/>
    </row>
    <row r="657" spans="1:52" s="770" customFormat="1" ht="33.9" customHeight="1">
      <c r="A657" s="753"/>
      <c r="B657" s="810"/>
      <c r="C657" s="859"/>
      <c r="D657" s="749"/>
      <c r="E657" s="860">
        <v>1</v>
      </c>
      <c r="F657" s="930" t="s">
        <v>4060</v>
      </c>
      <c r="G657" s="759" t="s">
        <v>3809</v>
      </c>
      <c r="H657" s="759" t="s">
        <v>3809</v>
      </c>
      <c r="I657" s="759" t="s">
        <v>3809</v>
      </c>
      <c r="J657" s="759" t="s">
        <v>3809</v>
      </c>
      <c r="K657" s="759" t="s">
        <v>3809</v>
      </c>
      <c r="L657" s="950" t="s">
        <v>4061</v>
      </c>
      <c r="M657" s="950"/>
      <c r="N657" s="950"/>
      <c r="O657" s="950"/>
      <c r="P657" s="950"/>
      <c r="Q657" s="950"/>
      <c r="R657" s="950"/>
      <c r="S657" s="950"/>
      <c r="T657" s="950"/>
      <c r="U657" s="825"/>
      <c r="V657" s="825"/>
      <c r="W657" s="825"/>
      <c r="X657" s="825"/>
      <c r="Y657" s="825"/>
      <c r="Z657" s="825"/>
      <c r="AA657" s="825"/>
      <c r="AB657" s="825"/>
      <c r="AC657" s="825"/>
      <c r="AD657" s="799"/>
      <c r="AE657" s="750"/>
      <c r="AF657" s="751"/>
      <c r="AG657" s="751"/>
      <c r="AH657" s="751"/>
      <c r="AI657" s="751"/>
      <c r="AJ657" s="751"/>
      <c r="AK657" s="751"/>
      <c r="AL657" s="751"/>
      <c r="AM657" s="751"/>
      <c r="AN657" s="751"/>
      <c r="AO657" s="751"/>
      <c r="AP657" s="751"/>
      <c r="AQ657" s="751"/>
      <c r="AR657" s="752"/>
      <c r="AS657" s="752"/>
      <c r="AT657" s="752"/>
      <c r="AU657" s="752"/>
      <c r="AV657" s="752"/>
      <c r="AW657" s="752"/>
      <c r="AX657" s="752"/>
      <c r="AY657" s="753"/>
    </row>
    <row r="658" spans="1:52" s="770" customFormat="1" ht="33.9" customHeight="1">
      <c r="A658" s="753"/>
      <c r="B658" s="810"/>
      <c r="C658" s="859"/>
      <c r="D658" s="749"/>
      <c r="E658" s="860">
        <v>1</v>
      </c>
      <c r="F658" s="930" t="s">
        <v>4085</v>
      </c>
      <c r="G658" s="759" t="s">
        <v>3809</v>
      </c>
      <c r="H658" s="759" t="s">
        <v>3809</v>
      </c>
      <c r="I658" s="759" t="s">
        <v>3809</v>
      </c>
      <c r="J658" s="759" t="s">
        <v>3809</v>
      </c>
      <c r="K658" s="759" t="s">
        <v>3809</v>
      </c>
      <c r="L658" s="950" t="s">
        <v>4086</v>
      </c>
      <c r="M658" s="950"/>
      <c r="N658" s="950"/>
      <c r="O658" s="950"/>
      <c r="P658" s="950"/>
      <c r="Q658" s="950"/>
      <c r="R658" s="950"/>
      <c r="S658" s="950"/>
      <c r="T658" s="950"/>
      <c r="U658" s="825"/>
      <c r="V658" s="825"/>
      <c r="W658" s="825"/>
      <c r="X658" s="825"/>
      <c r="Y658" s="825"/>
      <c r="Z658" s="825"/>
      <c r="AA658" s="825"/>
      <c r="AB658" s="825"/>
      <c r="AC658" s="825"/>
      <c r="AD658" s="799"/>
      <c r="AE658" s="750"/>
      <c r="AF658" s="751"/>
      <c r="AG658" s="751"/>
      <c r="AH658" s="751"/>
      <c r="AI658" s="751"/>
      <c r="AJ658" s="751"/>
      <c r="AK658" s="751"/>
      <c r="AL658" s="751"/>
      <c r="AM658" s="751"/>
      <c r="AN658" s="751"/>
      <c r="AO658" s="751"/>
      <c r="AP658" s="751"/>
      <c r="AQ658" s="751"/>
      <c r="AR658" s="752"/>
      <c r="AS658" s="752"/>
      <c r="AT658" s="752"/>
      <c r="AU658" s="752"/>
      <c r="AV658" s="752"/>
      <c r="AW658" s="752"/>
      <c r="AX658" s="752"/>
      <c r="AY658" s="753"/>
    </row>
    <row r="659" spans="1:52" s="869" customFormat="1" ht="12.9" customHeight="1">
      <c r="B659" s="870"/>
      <c r="C659" s="748"/>
      <c r="D659" s="759"/>
      <c r="E659" s="923"/>
      <c r="F659" s="925"/>
      <c r="G659" s="925"/>
      <c r="H659" s="873"/>
      <c r="I659" s="817"/>
      <c r="J659" s="817"/>
      <c r="K659" s="817"/>
      <c r="L659" s="817"/>
      <c r="M659" s="817"/>
      <c r="N659" s="760"/>
      <c r="O659" s="872"/>
      <c r="P659" s="872"/>
      <c r="AE659" s="750"/>
      <c r="AF659" s="751"/>
      <c r="AG659" s="751"/>
      <c r="AH659" s="751"/>
      <c r="AI659" s="751"/>
      <c r="AJ659" s="751"/>
      <c r="AK659" s="751"/>
      <c r="AL659" s="751"/>
      <c r="AM659" s="751"/>
      <c r="AN659" s="751"/>
      <c r="AO659" s="751"/>
      <c r="AP659" s="751"/>
      <c r="AQ659" s="751"/>
      <c r="AR659" s="752"/>
      <c r="AS659" s="752"/>
      <c r="AT659" s="752"/>
      <c r="AU659" s="752"/>
      <c r="AV659" s="752"/>
      <c r="AW659" s="752"/>
      <c r="AX659" s="752"/>
      <c r="AY659" s="753"/>
      <c r="AZ659" s="770"/>
    </row>
    <row r="660" spans="1:52" s="770" customFormat="1" ht="12" customHeight="1">
      <c r="A660" s="753"/>
      <c r="B660" s="810"/>
      <c r="C660" s="811"/>
      <c r="D660" s="759"/>
      <c r="E660" s="849"/>
      <c r="F660" s="926"/>
      <c r="G660" s="926"/>
      <c r="H660" s="871"/>
      <c r="I660" s="817"/>
      <c r="J660" s="817"/>
      <c r="K660" s="817"/>
      <c r="L660" s="817"/>
      <c r="M660" s="817"/>
      <c r="N660" s="753"/>
      <c r="O660" s="753"/>
      <c r="P660" s="753"/>
      <c r="Q660" s="753"/>
      <c r="R660" s="753"/>
      <c r="S660" s="753"/>
      <c r="T660" s="753"/>
      <c r="U660" s="753"/>
      <c r="V660" s="753"/>
      <c r="W660" s="753"/>
      <c r="X660" s="753"/>
      <c r="Y660" s="753"/>
      <c r="Z660" s="753"/>
      <c r="AA660" s="753"/>
      <c r="AB660" s="753"/>
      <c r="AC660" s="753"/>
      <c r="AD660" s="799"/>
      <c r="AE660" s="750"/>
      <c r="AF660" s="751"/>
      <c r="AG660" s="751"/>
      <c r="AH660" s="751"/>
      <c r="AI660" s="751"/>
      <c r="AJ660" s="751"/>
      <c r="AK660" s="751"/>
      <c r="AL660" s="751"/>
      <c r="AM660" s="751"/>
      <c r="AN660" s="751"/>
      <c r="AO660" s="751"/>
      <c r="AP660" s="751"/>
      <c r="AQ660" s="751"/>
      <c r="AR660" s="752"/>
      <c r="AS660" s="752"/>
      <c r="AT660" s="752"/>
      <c r="AU660" s="752"/>
      <c r="AV660" s="752"/>
      <c r="AW660" s="752"/>
      <c r="AX660" s="752"/>
      <c r="AY660" s="753"/>
    </row>
    <row r="661" spans="1:52" s="753" customFormat="1" ht="12" customHeight="1">
      <c r="B661" s="810"/>
      <c r="C661" s="811"/>
      <c r="D661" s="759"/>
      <c r="E661" s="849"/>
      <c r="F661" s="931"/>
      <c r="G661" s="931"/>
      <c r="H661" s="871"/>
      <c r="I661" s="817"/>
      <c r="J661" s="817"/>
      <c r="K661" s="817"/>
      <c r="L661" s="817"/>
      <c r="M661" s="817"/>
      <c r="AD661" s="799"/>
      <c r="AE661" s="750"/>
      <c r="AF661" s="751"/>
      <c r="AG661" s="751"/>
      <c r="AH661" s="751"/>
      <c r="AI661" s="751"/>
      <c r="AJ661" s="751"/>
      <c r="AK661" s="751"/>
      <c r="AL661" s="751"/>
      <c r="AM661" s="751"/>
      <c r="AN661" s="751"/>
      <c r="AO661" s="751"/>
      <c r="AP661" s="751"/>
      <c r="AQ661" s="751"/>
      <c r="AR661" s="752"/>
      <c r="AS661" s="752"/>
      <c r="AT661" s="752"/>
      <c r="AU661" s="752"/>
      <c r="AV661" s="752"/>
      <c r="AW661" s="752"/>
      <c r="AX661" s="752"/>
      <c r="AZ661" s="770"/>
    </row>
    <row r="662" spans="1:52" s="753" customFormat="1" ht="12" customHeight="1">
      <c r="B662" s="810"/>
      <c r="C662" s="811"/>
      <c r="D662" s="759"/>
      <c r="E662" s="849"/>
      <c r="F662" s="931"/>
      <c r="G662" s="931"/>
      <c r="H662" s="871"/>
      <c r="I662" s="817"/>
      <c r="J662" s="817"/>
      <c r="K662" s="817"/>
      <c r="L662" s="817"/>
      <c r="M662" s="817"/>
      <c r="AD662" s="799"/>
      <c r="AE662" s="750"/>
      <c r="AF662" s="751"/>
      <c r="AG662" s="751"/>
      <c r="AH662" s="751"/>
      <c r="AI662" s="751"/>
      <c r="AJ662" s="751"/>
      <c r="AK662" s="751"/>
      <c r="AL662" s="751"/>
      <c r="AM662" s="751"/>
      <c r="AN662" s="751"/>
      <c r="AO662" s="751"/>
      <c r="AP662" s="751"/>
      <c r="AQ662" s="751"/>
      <c r="AR662" s="752"/>
      <c r="AS662" s="752"/>
      <c r="AT662" s="752"/>
      <c r="AU662" s="752"/>
      <c r="AV662" s="752"/>
      <c r="AW662" s="752"/>
      <c r="AX662" s="752"/>
      <c r="AZ662" s="770"/>
    </row>
    <row r="663" spans="1:52" s="812" customFormat="1" ht="12.9" customHeight="1">
      <c r="B663" s="899" t="s">
        <v>4054</v>
      </c>
      <c r="C663" s="900"/>
      <c r="D663" s="901"/>
      <c r="E663" s="902"/>
      <c r="F663" s="901"/>
      <c r="G663" s="903"/>
      <c r="H663" s="903"/>
      <c r="I663" s="903"/>
      <c r="J663" s="903"/>
      <c r="K663" s="903"/>
      <c r="L663" s="903"/>
      <c r="M663" s="903"/>
      <c r="N663" s="903"/>
      <c r="O663" s="903"/>
      <c r="P663" s="903"/>
      <c r="Q663" s="903"/>
      <c r="R663" s="903"/>
      <c r="S663" s="903"/>
      <c r="T663" s="903"/>
      <c r="U663" s="903"/>
      <c r="V663" s="903"/>
      <c r="W663" s="903"/>
      <c r="X663" s="903"/>
      <c r="Y663" s="903"/>
      <c r="Z663" s="903"/>
      <c r="AA663" s="903"/>
      <c r="AB663" s="903"/>
      <c r="AC663" s="903"/>
      <c r="AD663" s="904"/>
      <c r="AE663" s="750"/>
      <c r="AF663" s="751"/>
      <c r="AG663" s="751"/>
      <c r="AH663" s="751"/>
      <c r="AI663" s="751"/>
      <c r="AJ663" s="751"/>
      <c r="AK663" s="751"/>
      <c r="AL663" s="751"/>
      <c r="AM663" s="751"/>
      <c r="AN663" s="751"/>
      <c r="AO663" s="751"/>
      <c r="AP663" s="751"/>
      <c r="AQ663" s="751"/>
      <c r="AR663" s="752"/>
      <c r="AS663" s="752"/>
      <c r="AT663" s="752"/>
      <c r="AU663" s="752"/>
      <c r="AV663" s="752"/>
      <c r="AW663" s="752"/>
      <c r="AX663" s="752"/>
      <c r="AY663" s="753"/>
      <c r="AZ663" s="770"/>
    </row>
    <row r="664" spans="1:52" s="812" customFormat="1" ht="12.9" customHeight="1">
      <c r="B664" s="901" t="s">
        <v>4018</v>
      </c>
      <c r="C664" s="900"/>
      <c r="D664" s="901"/>
      <c r="E664" s="902"/>
      <c r="F664" s="901"/>
      <c r="G664" s="903"/>
      <c r="H664" s="903"/>
      <c r="I664" s="903"/>
      <c r="J664" s="903"/>
      <c r="K664" s="903"/>
      <c r="L664" s="903"/>
      <c r="M664" s="903"/>
      <c r="N664" s="903"/>
      <c r="O664" s="903"/>
      <c r="P664" s="903"/>
      <c r="Q664" s="903"/>
      <c r="R664" s="903"/>
      <c r="S664" s="903"/>
      <c r="T664" s="903"/>
      <c r="U664" s="903"/>
      <c r="V664" s="903"/>
      <c r="W664" s="903"/>
      <c r="X664" s="903"/>
      <c r="Y664" s="903"/>
      <c r="Z664" s="903"/>
      <c r="AA664" s="903"/>
      <c r="AB664" s="903"/>
      <c r="AC664" s="903"/>
      <c r="AD664" s="904"/>
      <c r="AE664" s="750"/>
      <c r="AF664" s="751"/>
      <c r="AG664" s="751"/>
      <c r="AH664" s="751"/>
      <c r="AI664" s="751"/>
      <c r="AJ664" s="751"/>
      <c r="AK664" s="751"/>
      <c r="AL664" s="751"/>
      <c r="AM664" s="751"/>
      <c r="AN664" s="751"/>
      <c r="AO664" s="751"/>
      <c r="AP664" s="751"/>
      <c r="AQ664" s="751"/>
      <c r="AR664" s="752"/>
      <c r="AS664" s="752"/>
      <c r="AT664" s="752"/>
      <c r="AU664" s="752"/>
      <c r="AV664" s="752"/>
      <c r="AW664" s="752"/>
      <c r="AX664" s="752"/>
      <c r="AY664" s="753"/>
      <c r="AZ664" s="770"/>
    </row>
    <row r="665" spans="1:52" s="753" customFormat="1" ht="12" customHeight="1">
      <c r="B665" s="810"/>
      <c r="C665" s="797"/>
      <c r="E665" s="809"/>
      <c r="G665" s="817"/>
      <c r="H665" s="817"/>
      <c r="I665" s="817"/>
      <c r="J665" s="817"/>
      <c r="K665" s="817"/>
      <c r="L665" s="817"/>
      <c r="M665" s="817"/>
      <c r="N665" s="817"/>
      <c r="AE665" s="750"/>
      <c r="AF665" s="751"/>
      <c r="AG665" s="751"/>
      <c r="AH665" s="751"/>
      <c r="AI665" s="751"/>
      <c r="AJ665" s="751"/>
      <c r="AK665" s="751"/>
      <c r="AL665" s="751"/>
      <c r="AM665" s="751"/>
      <c r="AN665" s="751"/>
      <c r="AO665" s="751"/>
      <c r="AP665" s="751"/>
      <c r="AQ665" s="751"/>
      <c r="AR665" s="751"/>
      <c r="AS665" s="751"/>
      <c r="AT665" s="751"/>
      <c r="AU665" s="751"/>
      <c r="AV665" s="751"/>
      <c r="AW665" s="751"/>
      <c r="AX665" s="752"/>
    </row>
    <row r="666" spans="1:52" s="753" customFormat="1" ht="12" customHeight="1">
      <c r="B666" s="810"/>
      <c r="C666" s="797"/>
      <c r="E666" s="809"/>
      <c r="G666" s="817"/>
      <c r="H666" s="817"/>
      <c r="I666" s="817"/>
      <c r="J666" s="817"/>
      <c r="K666" s="817"/>
      <c r="L666" s="817"/>
      <c r="M666" s="817"/>
      <c r="N666" s="817"/>
      <c r="AE666" s="750"/>
      <c r="AF666" s="751"/>
      <c r="AG666" s="751"/>
      <c r="AH666" s="751"/>
      <c r="AI666" s="751"/>
      <c r="AJ666" s="751"/>
      <c r="AK666" s="751"/>
      <c r="AL666" s="751"/>
      <c r="AM666" s="751"/>
      <c r="AN666" s="751"/>
      <c r="AO666" s="751"/>
      <c r="AP666" s="751"/>
      <c r="AQ666" s="751"/>
      <c r="AR666" s="751"/>
      <c r="AS666" s="751"/>
      <c r="AT666" s="751"/>
      <c r="AU666" s="751"/>
      <c r="AV666" s="751"/>
      <c r="AW666" s="751"/>
      <c r="AX666" s="752"/>
    </row>
    <row r="667" spans="1:52" s="753" customFormat="1" ht="12" customHeight="1">
      <c r="B667" s="810"/>
      <c r="C667" s="797"/>
      <c r="E667" s="809"/>
      <c r="G667" s="817"/>
      <c r="H667" s="817"/>
      <c r="I667" s="817"/>
      <c r="J667" s="817"/>
      <c r="K667" s="817"/>
      <c r="L667" s="817"/>
      <c r="M667" s="817"/>
      <c r="N667" s="817"/>
      <c r="AE667" s="750"/>
      <c r="AF667" s="751"/>
      <c r="AG667" s="751"/>
      <c r="AH667" s="751"/>
      <c r="AI667" s="751"/>
      <c r="AJ667" s="751"/>
      <c r="AK667" s="751"/>
      <c r="AL667" s="751"/>
      <c r="AM667" s="751"/>
      <c r="AN667" s="751"/>
      <c r="AO667" s="751"/>
      <c r="AP667" s="751"/>
      <c r="AQ667" s="751"/>
      <c r="AR667" s="751"/>
      <c r="AS667" s="751"/>
      <c r="AT667" s="751"/>
      <c r="AU667" s="751"/>
      <c r="AV667" s="751"/>
      <c r="AW667" s="751"/>
      <c r="AX667" s="752"/>
    </row>
    <row r="668" spans="1:52" s="753" customFormat="1" ht="12" customHeight="1">
      <c r="B668" s="810"/>
      <c r="C668" s="797"/>
      <c r="E668" s="809"/>
      <c r="G668" s="817"/>
      <c r="H668" s="817"/>
      <c r="I668" s="817"/>
      <c r="J668" s="817"/>
      <c r="K668" s="817"/>
      <c r="L668" s="817"/>
      <c r="M668" s="817"/>
      <c r="N668" s="817"/>
      <c r="AE668" s="750"/>
      <c r="AF668" s="751"/>
      <c r="AG668" s="751"/>
      <c r="AH668" s="751"/>
      <c r="AI668" s="751"/>
      <c r="AJ668" s="751"/>
      <c r="AK668" s="751"/>
      <c r="AL668" s="751"/>
      <c r="AM668" s="751"/>
      <c r="AN668" s="751"/>
      <c r="AO668" s="751"/>
      <c r="AP668" s="751"/>
      <c r="AQ668" s="751"/>
      <c r="AR668" s="751"/>
      <c r="AS668" s="751"/>
      <c r="AT668" s="751"/>
      <c r="AU668" s="751"/>
      <c r="AV668" s="751"/>
      <c r="AW668" s="751"/>
      <c r="AX668" s="752"/>
    </row>
    <row r="669" spans="1:52" s="753" customFormat="1" ht="12" customHeight="1">
      <c r="B669" s="810"/>
      <c r="C669" s="797"/>
      <c r="E669" s="809"/>
      <c r="G669" s="817"/>
      <c r="H669" s="817"/>
      <c r="I669" s="817"/>
      <c r="J669" s="817"/>
      <c r="K669" s="817"/>
      <c r="L669" s="817"/>
      <c r="M669" s="817"/>
      <c r="N669" s="817"/>
      <c r="AE669" s="750"/>
      <c r="AF669" s="751"/>
      <c r="AG669" s="751"/>
      <c r="AH669" s="751"/>
      <c r="AI669" s="751"/>
      <c r="AJ669" s="751"/>
      <c r="AK669" s="751"/>
      <c r="AL669" s="751"/>
      <c r="AM669" s="751"/>
      <c r="AN669" s="751"/>
      <c r="AO669" s="751"/>
      <c r="AP669" s="751"/>
      <c r="AQ669" s="751"/>
      <c r="AR669" s="751"/>
      <c r="AS669" s="751"/>
      <c r="AT669" s="751"/>
      <c r="AU669" s="751"/>
      <c r="AV669" s="751"/>
      <c r="AW669" s="751"/>
      <c r="AX669" s="752"/>
    </row>
    <row r="670" spans="1:52" s="753" customFormat="1" ht="12" customHeight="1">
      <c r="B670" s="810"/>
      <c r="C670" s="797"/>
      <c r="E670" s="809"/>
      <c r="G670" s="817"/>
      <c r="H670" s="817"/>
      <c r="I670" s="817"/>
      <c r="J670" s="817"/>
      <c r="K670" s="817"/>
      <c r="L670" s="817"/>
      <c r="M670" s="817"/>
      <c r="N670" s="817"/>
      <c r="AE670" s="750"/>
      <c r="AF670" s="751"/>
      <c r="AG670" s="751"/>
      <c r="AH670" s="751"/>
      <c r="AI670" s="751"/>
      <c r="AJ670" s="751"/>
      <c r="AK670" s="751"/>
      <c r="AL670" s="751"/>
      <c r="AM670" s="751"/>
      <c r="AN670" s="751"/>
      <c r="AO670" s="751"/>
      <c r="AP670" s="751"/>
      <c r="AQ670" s="751"/>
      <c r="AR670" s="751"/>
      <c r="AS670" s="751"/>
      <c r="AT670" s="751"/>
      <c r="AU670" s="751"/>
      <c r="AV670" s="751"/>
      <c r="AW670" s="751"/>
      <c r="AX670" s="752"/>
    </row>
    <row r="671" spans="1:52" s="753" customFormat="1" ht="12" customHeight="1">
      <c r="B671" s="810"/>
      <c r="C671" s="797"/>
      <c r="E671" s="809"/>
      <c r="G671" s="817"/>
      <c r="H671" s="817"/>
      <c r="I671" s="817"/>
      <c r="J671" s="817"/>
      <c r="K671" s="817"/>
      <c r="L671" s="817"/>
      <c r="M671" s="817"/>
      <c r="N671" s="817"/>
      <c r="AE671" s="750"/>
      <c r="AF671" s="751"/>
      <c r="AG671" s="751"/>
      <c r="AH671" s="751"/>
      <c r="AI671" s="751"/>
      <c r="AJ671" s="751"/>
      <c r="AK671" s="751"/>
      <c r="AL671" s="751"/>
      <c r="AM671" s="751"/>
      <c r="AN671" s="751"/>
      <c r="AO671" s="751"/>
      <c r="AP671" s="751"/>
      <c r="AQ671" s="751"/>
      <c r="AR671" s="751"/>
      <c r="AS671" s="751"/>
      <c r="AT671" s="751"/>
      <c r="AU671" s="751"/>
      <c r="AV671" s="751"/>
      <c r="AW671" s="751"/>
      <c r="AX671" s="752"/>
    </row>
    <row r="672" spans="1:52" s="753" customFormat="1" ht="12" customHeight="1">
      <c r="B672" s="810"/>
      <c r="C672" s="797"/>
      <c r="E672" s="809"/>
      <c r="G672" s="817"/>
      <c r="H672" s="817"/>
      <c r="I672" s="817"/>
      <c r="J672" s="817"/>
      <c r="K672" s="817"/>
      <c r="L672" s="817"/>
      <c r="M672" s="817"/>
      <c r="N672" s="817"/>
      <c r="AE672" s="750"/>
      <c r="AF672" s="751"/>
      <c r="AG672" s="751"/>
      <c r="AH672" s="751"/>
      <c r="AI672" s="751"/>
      <c r="AJ672" s="751"/>
      <c r="AK672" s="751"/>
      <c r="AL672" s="751"/>
      <c r="AM672" s="751"/>
      <c r="AN672" s="751"/>
      <c r="AO672" s="751"/>
      <c r="AP672" s="751"/>
      <c r="AQ672" s="751"/>
      <c r="AR672" s="751"/>
      <c r="AS672" s="751"/>
      <c r="AT672" s="751"/>
      <c r="AU672" s="751"/>
      <c r="AV672" s="751"/>
      <c r="AW672" s="751"/>
      <c r="AX672" s="752"/>
    </row>
    <row r="673" spans="2:50" s="753" customFormat="1" ht="12" customHeight="1">
      <c r="B673" s="810"/>
      <c r="C673" s="797"/>
      <c r="E673" s="809"/>
      <c r="G673" s="817"/>
      <c r="H673" s="817"/>
      <c r="I673" s="817"/>
      <c r="J673" s="817"/>
      <c r="K673" s="817"/>
      <c r="L673" s="817"/>
      <c r="M673" s="817"/>
      <c r="N673" s="817"/>
      <c r="AE673" s="750"/>
      <c r="AF673" s="751"/>
      <c r="AG673" s="751"/>
      <c r="AH673" s="751"/>
      <c r="AI673" s="751"/>
      <c r="AJ673" s="751"/>
      <c r="AK673" s="751"/>
      <c r="AL673" s="751"/>
      <c r="AM673" s="751"/>
      <c r="AN673" s="751"/>
      <c r="AO673" s="751"/>
      <c r="AP673" s="751"/>
      <c r="AQ673" s="751"/>
      <c r="AR673" s="751"/>
      <c r="AS673" s="751"/>
      <c r="AT673" s="751"/>
      <c r="AU673" s="751"/>
      <c r="AV673" s="751"/>
      <c r="AW673" s="751"/>
      <c r="AX673" s="752"/>
    </row>
    <row r="674" spans="2:50" s="753" customFormat="1" ht="12" customHeight="1">
      <c r="B674" s="810"/>
      <c r="C674" s="797"/>
      <c r="E674" s="809"/>
      <c r="G674" s="817"/>
      <c r="H674" s="817"/>
      <c r="I674" s="817"/>
      <c r="J674" s="817"/>
      <c r="K674" s="817"/>
      <c r="L674" s="817"/>
      <c r="M674" s="817"/>
      <c r="N674" s="817"/>
      <c r="AE674" s="750"/>
      <c r="AF674" s="751"/>
      <c r="AG674" s="751"/>
      <c r="AH674" s="751"/>
      <c r="AI674" s="751"/>
      <c r="AJ674" s="751"/>
      <c r="AK674" s="751"/>
      <c r="AL674" s="751"/>
      <c r="AM674" s="751"/>
      <c r="AN674" s="751"/>
      <c r="AO674" s="751"/>
      <c r="AP674" s="751"/>
      <c r="AQ674" s="751"/>
      <c r="AR674" s="751"/>
      <c r="AS674" s="751"/>
      <c r="AT674" s="751"/>
      <c r="AU674" s="751"/>
      <c r="AV674" s="751"/>
      <c r="AW674" s="751"/>
      <c r="AX674" s="752"/>
    </row>
    <row r="675" spans="2:50" s="753" customFormat="1" ht="12" customHeight="1">
      <c r="B675" s="810"/>
      <c r="C675" s="797"/>
      <c r="E675" s="809"/>
      <c r="G675" s="817"/>
      <c r="H675" s="817"/>
      <c r="I675" s="817"/>
      <c r="J675" s="817"/>
      <c r="K675" s="817"/>
      <c r="L675" s="817"/>
      <c r="M675" s="817"/>
      <c r="N675" s="817"/>
      <c r="AE675" s="750"/>
      <c r="AF675" s="751"/>
      <c r="AG675" s="751"/>
      <c r="AH675" s="751"/>
      <c r="AI675" s="751"/>
      <c r="AJ675" s="751"/>
      <c r="AK675" s="751"/>
      <c r="AL675" s="751"/>
      <c r="AM675" s="751"/>
      <c r="AN675" s="751"/>
      <c r="AO675" s="751"/>
      <c r="AP675" s="751"/>
      <c r="AQ675" s="751"/>
      <c r="AR675" s="751"/>
      <c r="AS675" s="751"/>
      <c r="AT675" s="751"/>
      <c r="AU675" s="751"/>
      <c r="AV675" s="751"/>
      <c r="AW675" s="751"/>
      <c r="AX675" s="752"/>
    </row>
    <row r="676" spans="2:50" s="753" customFormat="1" ht="12" customHeight="1">
      <c r="B676" s="810"/>
      <c r="C676" s="797"/>
      <c r="E676" s="809"/>
      <c r="G676" s="817"/>
      <c r="H676" s="817"/>
      <c r="I676" s="817"/>
      <c r="J676" s="817"/>
      <c r="K676" s="817"/>
      <c r="L676" s="817"/>
      <c r="M676" s="817"/>
      <c r="N676" s="817"/>
      <c r="AE676" s="750"/>
      <c r="AF676" s="751"/>
      <c r="AG676" s="751"/>
      <c r="AH676" s="751"/>
      <c r="AI676" s="751"/>
      <c r="AJ676" s="751"/>
      <c r="AK676" s="751"/>
      <c r="AL676" s="751"/>
      <c r="AM676" s="751"/>
      <c r="AN676" s="751"/>
      <c r="AO676" s="751"/>
      <c r="AP676" s="751"/>
      <c r="AQ676" s="751"/>
      <c r="AR676" s="751"/>
      <c r="AS676" s="751"/>
      <c r="AT676" s="751"/>
      <c r="AU676" s="751"/>
      <c r="AV676" s="751"/>
      <c r="AW676" s="751"/>
      <c r="AX676" s="752"/>
    </row>
    <row r="677" spans="2:50" s="753" customFormat="1" ht="12" customHeight="1">
      <c r="B677" s="810"/>
      <c r="C677" s="797"/>
      <c r="E677" s="809"/>
      <c r="G677" s="817"/>
      <c r="H677" s="817"/>
      <c r="I677" s="817"/>
      <c r="J677" s="817"/>
      <c r="K677" s="817"/>
      <c r="L677" s="817"/>
      <c r="M677" s="817"/>
      <c r="N677" s="817"/>
      <c r="AE677" s="750"/>
      <c r="AF677" s="751"/>
      <c r="AG677" s="751"/>
      <c r="AH677" s="751"/>
      <c r="AI677" s="751"/>
      <c r="AJ677" s="751"/>
      <c r="AK677" s="751"/>
      <c r="AL677" s="751"/>
      <c r="AM677" s="751"/>
      <c r="AN677" s="751"/>
      <c r="AO677" s="751"/>
      <c r="AP677" s="751"/>
      <c r="AQ677" s="751"/>
      <c r="AR677" s="751"/>
      <c r="AS677" s="751"/>
      <c r="AT677" s="751"/>
      <c r="AU677" s="751"/>
      <c r="AV677" s="751"/>
      <c r="AW677" s="751"/>
      <c r="AX677" s="752"/>
    </row>
    <row r="678" spans="2:50" s="753" customFormat="1" ht="12" customHeight="1">
      <c r="B678" s="810"/>
      <c r="C678" s="797"/>
      <c r="E678" s="809"/>
      <c r="G678" s="817"/>
      <c r="H678" s="817"/>
      <c r="I678" s="817"/>
      <c r="J678" s="817"/>
      <c r="K678" s="817"/>
      <c r="L678" s="817"/>
      <c r="M678" s="817"/>
      <c r="N678" s="817"/>
      <c r="AE678" s="750"/>
      <c r="AF678" s="751"/>
      <c r="AG678" s="751"/>
      <c r="AH678" s="751"/>
      <c r="AI678" s="751"/>
      <c r="AJ678" s="751"/>
      <c r="AK678" s="751"/>
      <c r="AL678" s="751"/>
      <c r="AM678" s="751"/>
      <c r="AN678" s="751"/>
      <c r="AO678" s="751"/>
      <c r="AP678" s="751"/>
      <c r="AQ678" s="751"/>
      <c r="AR678" s="751"/>
      <c r="AS678" s="751"/>
      <c r="AT678" s="751"/>
      <c r="AU678" s="751"/>
      <c r="AV678" s="751"/>
      <c r="AW678" s="751"/>
      <c r="AX678" s="752"/>
    </row>
    <row r="679" spans="2:50" s="753" customFormat="1" ht="12" customHeight="1">
      <c r="B679" s="810"/>
      <c r="C679" s="797"/>
      <c r="E679" s="809"/>
      <c r="G679" s="817"/>
      <c r="H679" s="817"/>
      <c r="I679" s="817"/>
      <c r="J679" s="817"/>
      <c r="K679" s="817"/>
      <c r="L679" s="817"/>
      <c r="M679" s="817"/>
      <c r="N679" s="817"/>
      <c r="AE679" s="750"/>
      <c r="AF679" s="751"/>
      <c r="AG679" s="751"/>
      <c r="AH679" s="751"/>
      <c r="AI679" s="751"/>
      <c r="AJ679" s="751"/>
      <c r="AK679" s="751"/>
      <c r="AL679" s="751"/>
      <c r="AM679" s="751"/>
      <c r="AN679" s="751"/>
      <c r="AO679" s="751"/>
      <c r="AP679" s="751"/>
      <c r="AQ679" s="751"/>
      <c r="AR679" s="751"/>
      <c r="AS679" s="751"/>
      <c r="AT679" s="751"/>
      <c r="AU679" s="751"/>
      <c r="AV679" s="751"/>
      <c r="AW679" s="751"/>
      <c r="AX679" s="752"/>
    </row>
    <row r="680" spans="2:50" s="753" customFormat="1" ht="12" customHeight="1">
      <c r="B680" s="810"/>
      <c r="C680" s="797"/>
      <c r="E680" s="809"/>
      <c r="G680" s="817"/>
      <c r="H680" s="817"/>
      <c r="I680" s="817"/>
      <c r="J680" s="817"/>
      <c r="K680" s="817"/>
      <c r="L680" s="817"/>
      <c r="M680" s="817"/>
      <c r="N680" s="817"/>
      <c r="AE680" s="750"/>
      <c r="AF680" s="751"/>
      <c r="AG680" s="751"/>
      <c r="AH680" s="751"/>
      <c r="AI680" s="751"/>
      <c r="AJ680" s="751"/>
      <c r="AK680" s="751"/>
      <c r="AL680" s="751"/>
      <c r="AM680" s="751"/>
      <c r="AN680" s="751"/>
      <c r="AO680" s="751"/>
      <c r="AP680" s="751"/>
      <c r="AQ680" s="751"/>
      <c r="AR680" s="751"/>
      <c r="AS680" s="751"/>
      <c r="AT680" s="751"/>
      <c r="AU680" s="751"/>
      <c r="AV680" s="751"/>
      <c r="AW680" s="751"/>
      <c r="AX680" s="752"/>
    </row>
    <row r="681" spans="2:50" s="753" customFormat="1" ht="12" customHeight="1">
      <c r="B681" s="810"/>
      <c r="C681" s="797"/>
      <c r="E681" s="809"/>
      <c r="G681" s="817"/>
      <c r="H681" s="817"/>
      <c r="I681" s="817"/>
      <c r="J681" s="817"/>
      <c r="K681" s="817"/>
      <c r="L681" s="817"/>
      <c r="M681" s="817"/>
      <c r="N681" s="817"/>
      <c r="AE681" s="750"/>
      <c r="AF681" s="751"/>
      <c r="AG681" s="751"/>
      <c r="AH681" s="751"/>
      <c r="AI681" s="751"/>
      <c r="AJ681" s="751"/>
      <c r="AK681" s="751"/>
      <c r="AL681" s="751"/>
      <c r="AM681" s="751"/>
      <c r="AN681" s="751"/>
      <c r="AO681" s="751"/>
      <c r="AP681" s="751"/>
      <c r="AQ681" s="751"/>
      <c r="AR681" s="751"/>
      <c r="AS681" s="751"/>
      <c r="AT681" s="751"/>
      <c r="AU681" s="751"/>
      <c r="AV681" s="751"/>
      <c r="AW681" s="751"/>
      <c r="AX681" s="752"/>
    </row>
    <row r="682" spans="2:50" s="753" customFormat="1" ht="12" customHeight="1">
      <c r="B682" s="810"/>
      <c r="C682" s="797"/>
      <c r="E682" s="809"/>
      <c r="G682" s="817"/>
      <c r="H682" s="817"/>
      <c r="I682" s="817"/>
      <c r="J682" s="817"/>
      <c r="K682" s="817"/>
      <c r="L682" s="817"/>
      <c r="M682" s="817"/>
      <c r="N682" s="817"/>
      <c r="AE682" s="750"/>
      <c r="AF682" s="751"/>
      <c r="AG682" s="751"/>
      <c r="AH682" s="751"/>
      <c r="AI682" s="751"/>
      <c r="AJ682" s="751"/>
      <c r="AK682" s="751"/>
      <c r="AL682" s="751"/>
      <c r="AM682" s="751"/>
      <c r="AN682" s="751"/>
      <c r="AO682" s="751"/>
      <c r="AP682" s="751"/>
      <c r="AQ682" s="751"/>
      <c r="AR682" s="751"/>
      <c r="AS682" s="751"/>
      <c r="AT682" s="751"/>
      <c r="AU682" s="751"/>
      <c r="AV682" s="751"/>
      <c r="AW682" s="751"/>
      <c r="AX682" s="752"/>
    </row>
    <row r="683" spans="2:50" s="753" customFormat="1" ht="12" customHeight="1">
      <c r="B683" s="810"/>
      <c r="C683" s="797"/>
      <c r="E683" s="809"/>
      <c r="G683" s="817"/>
      <c r="H683" s="817"/>
      <c r="I683" s="817"/>
      <c r="J683" s="817"/>
      <c r="K683" s="817"/>
      <c r="L683" s="817"/>
      <c r="M683" s="817"/>
      <c r="N683" s="817"/>
      <c r="AE683" s="750"/>
      <c r="AF683" s="751"/>
      <c r="AG683" s="751"/>
      <c r="AH683" s="751"/>
      <c r="AI683" s="751"/>
      <c r="AJ683" s="751"/>
      <c r="AK683" s="751"/>
      <c r="AL683" s="751"/>
      <c r="AM683" s="751"/>
      <c r="AN683" s="751"/>
      <c r="AO683" s="751"/>
      <c r="AP683" s="751"/>
      <c r="AQ683" s="751"/>
      <c r="AR683" s="751"/>
      <c r="AS683" s="751"/>
      <c r="AT683" s="751"/>
      <c r="AU683" s="751"/>
      <c r="AV683" s="751"/>
      <c r="AW683" s="751"/>
      <c r="AX683" s="752"/>
    </row>
    <row r="684" spans="2:50" s="753" customFormat="1" ht="12" customHeight="1">
      <c r="B684" s="810"/>
      <c r="C684" s="797"/>
      <c r="E684" s="809"/>
      <c r="G684" s="817"/>
      <c r="H684" s="817"/>
      <c r="I684" s="817"/>
      <c r="J684" s="817"/>
      <c r="K684" s="817"/>
      <c r="L684" s="817"/>
      <c r="M684" s="817"/>
      <c r="N684" s="817"/>
      <c r="AE684" s="750"/>
      <c r="AF684" s="751"/>
      <c r="AG684" s="751"/>
      <c r="AH684" s="751"/>
      <c r="AI684" s="751"/>
      <c r="AJ684" s="751"/>
      <c r="AK684" s="751"/>
      <c r="AL684" s="751"/>
      <c r="AM684" s="751"/>
      <c r="AN684" s="751"/>
      <c r="AO684" s="751"/>
      <c r="AP684" s="751"/>
      <c r="AQ684" s="751"/>
      <c r="AR684" s="751"/>
      <c r="AS684" s="751"/>
      <c r="AT684" s="751"/>
      <c r="AU684" s="751"/>
      <c r="AV684" s="751"/>
      <c r="AW684" s="751"/>
      <c r="AX684" s="752"/>
    </row>
    <row r="685" spans="2:50" s="753" customFormat="1" ht="12" customHeight="1">
      <c r="B685" s="810"/>
      <c r="C685" s="797"/>
      <c r="E685" s="809"/>
      <c r="G685" s="817"/>
      <c r="H685" s="817"/>
      <c r="I685" s="817"/>
      <c r="J685" s="817"/>
      <c r="K685" s="817"/>
      <c r="L685" s="817"/>
      <c r="M685" s="817"/>
      <c r="N685" s="817"/>
      <c r="AE685" s="750"/>
      <c r="AF685" s="751"/>
      <c r="AG685" s="751"/>
      <c r="AH685" s="751"/>
      <c r="AI685" s="751"/>
      <c r="AJ685" s="751"/>
      <c r="AK685" s="751"/>
      <c r="AL685" s="751"/>
      <c r="AM685" s="751"/>
      <c r="AN685" s="751"/>
      <c r="AO685" s="751"/>
      <c r="AP685" s="751"/>
      <c r="AQ685" s="751"/>
      <c r="AR685" s="751"/>
      <c r="AS685" s="751"/>
      <c r="AT685" s="751"/>
      <c r="AU685" s="751"/>
      <c r="AV685" s="751"/>
      <c r="AW685" s="751"/>
      <c r="AX685" s="752"/>
    </row>
    <row r="686" spans="2:50" s="753" customFormat="1" ht="12" customHeight="1">
      <c r="B686" s="810"/>
      <c r="C686" s="797"/>
      <c r="E686" s="809"/>
      <c r="G686" s="817"/>
      <c r="H686" s="817"/>
      <c r="I686" s="817"/>
      <c r="J686" s="817"/>
      <c r="K686" s="817"/>
      <c r="L686" s="817"/>
      <c r="M686" s="817"/>
      <c r="N686" s="817"/>
      <c r="AE686" s="750"/>
      <c r="AF686" s="751"/>
      <c r="AG686" s="751"/>
      <c r="AH686" s="751"/>
      <c r="AI686" s="751"/>
      <c r="AJ686" s="751"/>
      <c r="AK686" s="751"/>
      <c r="AL686" s="751"/>
      <c r="AM686" s="751"/>
      <c r="AN686" s="751"/>
      <c r="AO686" s="751"/>
      <c r="AP686" s="751"/>
      <c r="AQ686" s="751"/>
      <c r="AR686" s="751"/>
      <c r="AS686" s="751"/>
      <c r="AT686" s="751"/>
      <c r="AU686" s="751"/>
      <c r="AV686" s="751"/>
      <c r="AW686" s="751"/>
      <c r="AX686" s="752"/>
    </row>
    <row r="687" spans="2:50" s="753" customFormat="1" ht="12" customHeight="1">
      <c r="B687" s="810"/>
      <c r="C687" s="797"/>
      <c r="E687" s="809"/>
      <c r="G687" s="817"/>
      <c r="H687" s="817"/>
      <c r="I687" s="817"/>
      <c r="J687" s="817"/>
      <c r="K687" s="817"/>
      <c r="L687" s="817"/>
      <c r="M687" s="817"/>
      <c r="N687" s="817"/>
      <c r="AE687" s="750"/>
      <c r="AF687" s="751"/>
      <c r="AG687" s="751"/>
      <c r="AH687" s="751"/>
      <c r="AI687" s="751"/>
      <c r="AJ687" s="751"/>
      <c r="AK687" s="751"/>
      <c r="AL687" s="751"/>
      <c r="AM687" s="751"/>
      <c r="AN687" s="751"/>
      <c r="AO687" s="751"/>
      <c r="AP687" s="751"/>
      <c r="AQ687" s="751"/>
      <c r="AR687" s="751"/>
      <c r="AS687" s="751"/>
      <c r="AT687" s="751"/>
      <c r="AU687" s="751"/>
      <c r="AV687" s="751"/>
      <c r="AW687" s="751"/>
      <c r="AX687" s="752"/>
    </row>
    <row r="688" spans="2:50" s="753" customFormat="1" ht="12" customHeight="1">
      <c r="B688" s="810"/>
      <c r="C688" s="797"/>
      <c r="E688" s="809"/>
      <c r="G688" s="817"/>
      <c r="H688" s="817"/>
      <c r="I688" s="817"/>
      <c r="J688" s="817"/>
      <c r="K688" s="817"/>
      <c r="L688" s="817"/>
      <c r="M688" s="817"/>
      <c r="N688" s="817"/>
      <c r="AE688" s="750"/>
      <c r="AF688" s="751"/>
      <c r="AG688" s="751"/>
      <c r="AH688" s="751"/>
      <c r="AI688" s="751"/>
      <c r="AJ688" s="751"/>
      <c r="AK688" s="751"/>
      <c r="AL688" s="751"/>
      <c r="AM688" s="751"/>
      <c r="AN688" s="751"/>
      <c r="AO688" s="751"/>
      <c r="AP688" s="751"/>
      <c r="AQ688" s="751"/>
      <c r="AR688" s="751"/>
      <c r="AS688" s="751"/>
      <c r="AT688" s="751"/>
      <c r="AU688" s="751"/>
      <c r="AV688" s="751"/>
      <c r="AW688" s="751"/>
      <c r="AX688" s="752"/>
    </row>
    <row r="689" spans="1:52" s="753" customFormat="1" ht="12" customHeight="1">
      <c r="B689" s="810"/>
      <c r="C689" s="797"/>
      <c r="E689" s="809"/>
      <c r="G689" s="817"/>
      <c r="H689" s="817"/>
      <c r="I689" s="817"/>
      <c r="J689" s="817"/>
      <c r="K689" s="817"/>
      <c r="L689" s="817"/>
      <c r="M689" s="817"/>
      <c r="N689" s="817"/>
      <c r="AE689" s="750"/>
      <c r="AF689" s="751"/>
      <c r="AG689" s="751"/>
      <c r="AH689" s="751"/>
      <c r="AI689" s="751"/>
      <c r="AJ689" s="751"/>
      <c r="AK689" s="751"/>
      <c r="AL689" s="751"/>
      <c r="AM689" s="751"/>
      <c r="AN689" s="751"/>
      <c r="AO689" s="751"/>
      <c r="AP689" s="751"/>
      <c r="AQ689" s="751"/>
      <c r="AR689" s="751"/>
      <c r="AS689" s="751"/>
      <c r="AT689" s="751"/>
      <c r="AU689" s="751"/>
      <c r="AV689" s="751"/>
      <c r="AW689" s="751"/>
      <c r="AX689" s="752"/>
    </row>
    <row r="690" spans="1:52" s="753" customFormat="1" ht="12" customHeight="1">
      <c r="B690" s="810"/>
      <c r="C690" s="797"/>
      <c r="E690" s="809"/>
      <c r="G690" s="817"/>
      <c r="H690" s="817"/>
      <c r="I690" s="817"/>
      <c r="J690" s="817"/>
      <c r="K690" s="817"/>
      <c r="L690" s="817"/>
      <c r="M690" s="817"/>
      <c r="N690" s="817"/>
      <c r="AE690" s="750"/>
      <c r="AF690" s="751"/>
      <c r="AG690" s="751"/>
      <c r="AH690" s="751"/>
      <c r="AI690" s="751"/>
      <c r="AJ690" s="751"/>
      <c r="AK690" s="751"/>
      <c r="AL690" s="751"/>
      <c r="AM690" s="751"/>
      <c r="AN690" s="751"/>
      <c r="AO690" s="751"/>
      <c r="AP690" s="751"/>
      <c r="AQ690" s="751"/>
      <c r="AR690" s="751"/>
      <c r="AS690" s="751"/>
      <c r="AT690" s="751"/>
      <c r="AU690" s="751"/>
      <c r="AV690" s="751"/>
      <c r="AW690" s="751"/>
      <c r="AX690" s="752"/>
    </row>
    <row r="691" spans="1:52" s="753" customFormat="1" ht="12" customHeight="1">
      <c r="B691" s="810"/>
      <c r="C691" s="797"/>
      <c r="E691" s="809"/>
      <c r="G691" s="817"/>
      <c r="H691" s="817"/>
      <c r="I691" s="817"/>
      <c r="J691" s="817"/>
      <c r="K691" s="817"/>
      <c r="L691" s="817"/>
      <c r="M691" s="817"/>
      <c r="N691" s="817"/>
      <c r="AE691" s="750"/>
      <c r="AF691" s="751"/>
      <c r="AG691" s="751"/>
      <c r="AH691" s="751"/>
      <c r="AI691" s="751"/>
      <c r="AJ691" s="751"/>
      <c r="AK691" s="751"/>
      <c r="AL691" s="751"/>
      <c r="AM691" s="751"/>
      <c r="AN691" s="751"/>
      <c r="AO691" s="751"/>
      <c r="AP691" s="751"/>
      <c r="AQ691" s="751"/>
      <c r="AR691" s="751"/>
      <c r="AS691" s="751"/>
      <c r="AT691" s="751"/>
      <c r="AU691" s="751"/>
      <c r="AV691" s="751"/>
      <c r="AW691" s="751"/>
      <c r="AX691" s="752"/>
    </row>
    <row r="692" spans="1:52" s="753" customFormat="1" ht="12" customHeight="1">
      <c r="B692" s="810"/>
      <c r="C692" s="797"/>
      <c r="E692" s="809"/>
      <c r="G692" s="817"/>
      <c r="H692" s="817"/>
      <c r="I692" s="817"/>
      <c r="J692" s="817"/>
      <c r="K692" s="817"/>
      <c r="L692" s="817"/>
      <c r="M692" s="817"/>
      <c r="N692" s="817"/>
      <c r="AE692" s="750"/>
      <c r="AF692" s="751"/>
      <c r="AG692" s="751"/>
      <c r="AH692" s="751"/>
      <c r="AI692" s="751"/>
      <c r="AJ692" s="751"/>
      <c r="AK692" s="751"/>
      <c r="AL692" s="751"/>
      <c r="AM692" s="751"/>
      <c r="AN692" s="751"/>
      <c r="AO692" s="751"/>
      <c r="AP692" s="751"/>
      <c r="AQ692" s="751"/>
      <c r="AR692" s="751"/>
      <c r="AS692" s="751"/>
      <c r="AT692" s="751"/>
      <c r="AU692" s="751"/>
      <c r="AV692" s="751"/>
      <c r="AW692" s="751"/>
      <c r="AX692" s="752"/>
    </row>
    <row r="693" spans="1:52" s="753" customFormat="1" ht="12" customHeight="1">
      <c r="B693" s="810"/>
      <c r="C693" s="797"/>
      <c r="E693" s="809"/>
      <c r="G693" s="817"/>
      <c r="H693" s="817"/>
      <c r="I693" s="817"/>
      <c r="J693" s="817"/>
      <c r="K693" s="817"/>
      <c r="L693" s="817"/>
      <c r="M693" s="817"/>
      <c r="N693" s="817"/>
      <c r="AE693" s="750"/>
      <c r="AF693" s="751"/>
      <c r="AG693" s="751"/>
      <c r="AH693" s="751"/>
      <c r="AI693" s="751"/>
      <c r="AJ693" s="751"/>
      <c r="AK693" s="751"/>
      <c r="AL693" s="751"/>
      <c r="AM693" s="751"/>
      <c r="AN693" s="751"/>
      <c r="AO693" s="751"/>
      <c r="AP693" s="751"/>
      <c r="AQ693" s="751"/>
      <c r="AR693" s="751"/>
      <c r="AS693" s="751"/>
      <c r="AT693" s="751"/>
      <c r="AU693" s="751"/>
      <c r="AV693" s="751"/>
      <c r="AW693" s="751"/>
      <c r="AX693" s="752"/>
    </row>
    <row r="694" spans="1:52" s="753" customFormat="1" ht="12" customHeight="1">
      <c r="B694" s="810"/>
      <c r="C694" s="797"/>
      <c r="E694" s="809"/>
      <c r="F694" s="753" t="s">
        <v>4055</v>
      </c>
      <c r="G694" s="817"/>
      <c r="H694" s="817"/>
      <c r="I694" s="817"/>
      <c r="J694" s="817"/>
      <c r="K694" s="817"/>
      <c r="L694" s="817"/>
      <c r="M694" s="817"/>
      <c r="N694" s="817"/>
      <c r="AE694" s="750"/>
      <c r="AF694" s="751"/>
      <c r="AG694" s="751"/>
      <c r="AH694" s="751"/>
      <c r="AI694" s="751"/>
      <c r="AJ694" s="751"/>
      <c r="AK694" s="751"/>
      <c r="AL694" s="751"/>
      <c r="AM694" s="751"/>
      <c r="AN694" s="751"/>
      <c r="AO694" s="751"/>
      <c r="AP694" s="751"/>
      <c r="AQ694" s="751"/>
      <c r="AR694" s="751"/>
      <c r="AS694" s="751"/>
      <c r="AT694" s="751"/>
      <c r="AU694" s="751"/>
      <c r="AV694" s="751"/>
      <c r="AW694" s="751"/>
      <c r="AX694" s="752"/>
    </row>
    <row r="695" spans="1:52" s="753" customFormat="1" ht="12" customHeight="1">
      <c r="B695" s="810"/>
      <c r="C695" s="797"/>
      <c r="E695" s="809"/>
      <c r="G695" s="817"/>
      <c r="H695" s="817"/>
      <c r="I695" s="817"/>
      <c r="J695" s="817"/>
      <c r="K695" s="817"/>
      <c r="L695" s="817"/>
      <c r="M695" s="817"/>
      <c r="N695" s="817"/>
      <c r="AE695" s="750"/>
      <c r="AF695" s="751"/>
      <c r="AG695" s="751"/>
      <c r="AH695" s="751"/>
      <c r="AI695" s="751"/>
      <c r="AJ695" s="751"/>
      <c r="AK695" s="751"/>
      <c r="AL695" s="751"/>
      <c r="AM695" s="751"/>
      <c r="AN695" s="751"/>
      <c r="AO695" s="751"/>
      <c r="AP695" s="751"/>
      <c r="AQ695" s="751"/>
      <c r="AR695" s="751"/>
      <c r="AS695" s="751"/>
      <c r="AT695" s="751"/>
      <c r="AU695" s="751"/>
      <c r="AV695" s="751"/>
      <c r="AW695" s="751"/>
      <c r="AX695" s="752"/>
    </row>
    <row r="696" spans="1:52" s="753" customFormat="1" ht="12" customHeight="1">
      <c r="B696" s="810"/>
      <c r="C696" s="797"/>
      <c r="E696" s="809"/>
      <c r="G696" s="817"/>
      <c r="H696" s="817"/>
      <c r="I696" s="817"/>
      <c r="J696" s="817"/>
      <c r="K696" s="817"/>
      <c r="L696" s="817"/>
      <c r="M696" s="817"/>
      <c r="N696" s="817"/>
      <c r="AE696" s="750"/>
      <c r="AF696" s="751"/>
      <c r="AG696" s="751"/>
      <c r="AH696" s="751"/>
      <c r="AI696" s="751"/>
      <c r="AJ696" s="751"/>
      <c r="AK696" s="751"/>
      <c r="AL696" s="751"/>
      <c r="AM696" s="751"/>
      <c r="AN696" s="751"/>
      <c r="AO696" s="751"/>
      <c r="AP696" s="751"/>
      <c r="AQ696" s="751"/>
      <c r="AR696" s="751"/>
      <c r="AS696" s="751"/>
      <c r="AT696" s="751"/>
      <c r="AU696" s="751"/>
      <c r="AV696" s="751"/>
      <c r="AW696" s="751"/>
      <c r="AX696" s="752"/>
    </row>
    <row r="697" spans="1:52" s="753" customFormat="1" ht="12" customHeight="1">
      <c r="B697" s="810"/>
      <c r="C697" s="797"/>
      <c r="E697" s="809"/>
      <c r="G697" s="817"/>
      <c r="H697" s="817"/>
      <c r="I697" s="817"/>
      <c r="J697" s="817"/>
      <c r="K697" s="817"/>
      <c r="L697" s="817"/>
      <c r="M697" s="817"/>
      <c r="N697" s="817"/>
      <c r="O697" s="753" t="s">
        <v>4055</v>
      </c>
      <c r="AE697" s="750"/>
      <c r="AF697" s="751"/>
      <c r="AG697" s="751"/>
      <c r="AH697" s="751"/>
      <c r="AI697" s="751"/>
      <c r="AJ697" s="751"/>
      <c r="AK697" s="751"/>
      <c r="AL697" s="751"/>
      <c r="AM697" s="751"/>
      <c r="AN697" s="751"/>
      <c r="AO697" s="751"/>
      <c r="AP697" s="751"/>
      <c r="AQ697" s="751"/>
      <c r="AR697" s="751"/>
      <c r="AS697" s="751"/>
      <c r="AT697" s="751"/>
      <c r="AU697" s="751"/>
      <c r="AV697" s="751"/>
      <c r="AW697" s="751"/>
      <c r="AX697" s="752"/>
    </row>
    <row r="698" spans="1:52" s="753" customFormat="1" ht="12" customHeight="1">
      <c r="B698" s="810"/>
      <c r="C698" s="797"/>
      <c r="E698" s="809"/>
      <c r="G698" s="817"/>
      <c r="H698" s="817"/>
      <c r="I698" s="817"/>
      <c r="J698" s="817"/>
      <c r="K698" s="817"/>
      <c r="L698" s="817"/>
      <c r="M698" s="817"/>
      <c r="N698" s="817"/>
      <c r="AE698" s="750"/>
      <c r="AF698" s="751"/>
      <c r="AG698" s="751"/>
      <c r="AH698" s="751"/>
      <c r="AI698" s="751"/>
      <c r="AJ698" s="751"/>
      <c r="AK698" s="751"/>
      <c r="AL698" s="751"/>
      <c r="AM698" s="751"/>
      <c r="AN698" s="751"/>
      <c r="AO698" s="751"/>
      <c r="AP698" s="751"/>
      <c r="AQ698" s="751"/>
      <c r="AR698" s="751"/>
      <c r="AS698" s="751"/>
      <c r="AT698" s="751"/>
      <c r="AU698" s="751"/>
      <c r="AV698" s="751"/>
      <c r="AW698" s="751"/>
      <c r="AX698" s="752"/>
    </row>
    <row r="699" spans="1:52" s="753" customFormat="1" ht="12" customHeight="1">
      <c r="B699" s="810"/>
      <c r="C699" s="797"/>
      <c r="E699" s="809"/>
      <c r="G699" s="817"/>
      <c r="H699" s="817"/>
      <c r="I699" s="817"/>
      <c r="J699" s="817"/>
      <c r="K699" s="817"/>
      <c r="L699" s="817"/>
      <c r="M699" s="817"/>
      <c r="N699" s="817"/>
      <c r="AE699" s="750"/>
      <c r="AF699" s="751"/>
      <c r="AG699" s="751"/>
      <c r="AH699" s="751"/>
      <c r="AI699" s="751"/>
      <c r="AJ699" s="751"/>
      <c r="AK699" s="751"/>
      <c r="AL699" s="751"/>
      <c r="AM699" s="751"/>
      <c r="AN699" s="751"/>
      <c r="AO699" s="751"/>
      <c r="AP699" s="751"/>
      <c r="AQ699" s="751"/>
      <c r="AR699" s="751"/>
      <c r="AS699" s="751"/>
      <c r="AT699" s="751"/>
      <c r="AU699" s="751"/>
      <c r="AV699" s="751"/>
      <c r="AW699" s="751"/>
      <c r="AX699" s="752"/>
    </row>
    <row r="700" spans="1:52" s="753" customFormat="1" ht="12" customHeight="1">
      <c r="B700" s="796" t="s">
        <v>4027</v>
      </c>
      <c r="C700" s="797"/>
      <c r="E700" s="798"/>
      <c r="F700" s="799"/>
      <c r="AE700" s="750"/>
      <c r="AF700" s="751"/>
      <c r="AG700" s="751"/>
      <c r="AH700" s="751"/>
      <c r="AI700" s="751"/>
      <c r="AJ700" s="751"/>
      <c r="AK700" s="751"/>
      <c r="AL700" s="751"/>
      <c r="AM700" s="751"/>
      <c r="AN700" s="751"/>
      <c r="AO700" s="751"/>
      <c r="AP700" s="751"/>
      <c r="AQ700" s="751"/>
      <c r="AR700" s="752"/>
      <c r="AS700" s="752"/>
      <c r="AT700" s="752"/>
      <c r="AU700" s="752"/>
      <c r="AV700" s="752"/>
      <c r="AW700" s="752"/>
      <c r="AX700" s="752"/>
    </row>
    <row r="701" spans="1:52" s="812" customFormat="1" ht="12.9" customHeight="1">
      <c r="B701" s="800" t="s">
        <v>4089</v>
      </c>
      <c r="C701" s="801"/>
      <c r="D701" s="863"/>
      <c r="E701" s="864"/>
      <c r="F701" s="863"/>
      <c r="G701" s="865"/>
      <c r="H701" s="865"/>
      <c r="I701" s="865"/>
      <c r="J701" s="865"/>
      <c r="K701" s="865"/>
      <c r="L701" s="865"/>
      <c r="M701" s="865"/>
      <c r="N701" s="865"/>
      <c r="O701" s="865"/>
      <c r="P701" s="865"/>
      <c r="Q701" s="865"/>
      <c r="R701" s="865"/>
      <c r="S701" s="865"/>
      <c r="T701" s="865"/>
      <c r="U701" s="865"/>
      <c r="V701" s="865"/>
      <c r="W701" s="865"/>
      <c r="X701" s="865"/>
      <c r="Y701" s="865"/>
      <c r="Z701" s="865"/>
      <c r="AA701" s="865"/>
      <c r="AB701" s="865"/>
      <c r="AC701" s="865"/>
      <c r="AD701" s="806" t="s">
        <v>584</v>
      </c>
      <c r="AE701" s="750"/>
      <c r="AF701" s="751"/>
      <c r="AG701" s="751"/>
      <c r="AH701" s="751"/>
      <c r="AI701" s="751"/>
      <c r="AJ701" s="751"/>
      <c r="AK701" s="751"/>
      <c r="AL701" s="751"/>
      <c r="AM701" s="751"/>
      <c r="AN701" s="751"/>
      <c r="AO701" s="751"/>
      <c r="AP701" s="751"/>
      <c r="AQ701" s="751"/>
      <c r="AR701" s="752"/>
      <c r="AS701" s="752"/>
      <c r="AT701" s="752"/>
      <c r="AU701" s="752"/>
      <c r="AV701" s="752"/>
      <c r="AW701" s="752"/>
      <c r="AX701" s="752"/>
      <c r="AY701" s="753"/>
      <c r="AZ701" s="770"/>
    </row>
    <row r="702" spans="1:52" s="812" customFormat="1" ht="12.9" customHeight="1">
      <c r="B702" s="866"/>
      <c r="C702" s="808">
        <v>25</v>
      </c>
      <c r="D702" s="753" t="s">
        <v>4058</v>
      </c>
      <c r="E702" s="828"/>
      <c r="F702" s="828"/>
      <c r="G702" s="809"/>
      <c r="H702" s="809"/>
      <c r="I702" s="809"/>
      <c r="J702" s="809"/>
      <c r="K702" s="809"/>
      <c r="L702" s="809"/>
      <c r="M702" s="809"/>
      <c r="N702" s="828"/>
      <c r="O702" s="828"/>
      <c r="P702" s="828"/>
      <c r="Q702" s="828"/>
      <c r="Z702" s="818"/>
      <c r="AE702" s="750"/>
      <c r="AF702" s="751"/>
      <c r="AG702" s="751"/>
      <c r="AH702" s="751"/>
      <c r="AI702" s="751"/>
      <c r="AJ702" s="751"/>
      <c r="AK702" s="751"/>
      <c r="AL702" s="751"/>
      <c r="AM702" s="751"/>
      <c r="AN702" s="751"/>
      <c r="AO702" s="751"/>
      <c r="AP702" s="751"/>
      <c r="AQ702" s="751"/>
      <c r="AR702" s="751"/>
      <c r="AS702" s="751"/>
      <c r="AT702" s="751"/>
      <c r="AU702" s="751"/>
      <c r="AV702" s="751"/>
      <c r="AW702" s="751"/>
      <c r="AX702" s="752"/>
      <c r="AY702" s="753"/>
      <c r="AZ702" s="770"/>
    </row>
    <row r="703" spans="1:52" s="770" customFormat="1" ht="12" customHeight="1">
      <c r="A703" s="753"/>
      <c r="B703" s="810"/>
      <c r="C703" s="797"/>
      <c r="D703" s="922" t="s">
        <v>4043</v>
      </c>
      <c r="E703" s="809"/>
      <c r="F703" s="753"/>
      <c r="G703" s="753"/>
      <c r="H703" s="753"/>
      <c r="I703" s="753"/>
      <c r="J703" s="753"/>
      <c r="K703" s="753"/>
      <c r="L703" s="753"/>
      <c r="M703" s="753"/>
      <c r="N703" s="753"/>
      <c r="O703" s="753"/>
      <c r="P703" s="753"/>
      <c r="Q703" s="753"/>
      <c r="R703" s="753"/>
      <c r="S703" s="753"/>
      <c r="T703" s="753"/>
      <c r="U703" s="753"/>
      <c r="V703" s="753"/>
      <c r="W703" s="753"/>
      <c r="X703" s="753"/>
      <c r="Y703" s="753"/>
      <c r="Z703" s="753"/>
      <c r="AA703" s="753"/>
      <c r="AB703" s="753"/>
      <c r="AC703" s="753"/>
      <c r="AD703" s="753"/>
      <c r="AE703" s="750"/>
      <c r="AF703" s="751"/>
      <c r="AG703" s="751"/>
      <c r="AH703" s="751"/>
      <c r="AI703" s="751"/>
      <c r="AJ703" s="751"/>
      <c r="AK703" s="751"/>
      <c r="AL703" s="751"/>
      <c r="AM703" s="751"/>
      <c r="AN703" s="751"/>
      <c r="AO703" s="751"/>
      <c r="AP703" s="751"/>
      <c r="AQ703" s="751"/>
      <c r="AR703" s="751"/>
      <c r="AS703" s="751"/>
      <c r="AT703" s="751"/>
      <c r="AU703" s="751"/>
      <c r="AV703" s="751"/>
      <c r="AW703" s="751"/>
      <c r="AX703" s="752"/>
      <c r="AY703" s="753"/>
    </row>
    <row r="704" spans="1:52" s="770" customFormat="1" ht="12" customHeight="1">
      <c r="A704" s="753"/>
      <c r="B704" s="810"/>
      <c r="C704" s="797"/>
      <c r="D704" s="753"/>
      <c r="E704" s="809"/>
      <c r="F704" s="753"/>
      <c r="G704" s="817"/>
      <c r="H704" s="817"/>
      <c r="I704" s="817"/>
      <c r="J704" s="817"/>
      <c r="K704" s="817"/>
      <c r="L704" s="817"/>
      <c r="M704" s="817"/>
      <c r="N704" s="817"/>
      <c r="O704" s="753"/>
      <c r="P704" s="753"/>
      <c r="Q704" s="753"/>
      <c r="R704" s="753"/>
      <c r="S704" s="753"/>
      <c r="T704" s="753"/>
      <c r="U704" s="753"/>
      <c r="V704" s="753"/>
      <c r="W704" s="753"/>
      <c r="X704" s="753"/>
      <c r="Y704" s="753"/>
      <c r="Z704" s="753"/>
      <c r="AA704" s="753"/>
      <c r="AB704" s="753"/>
      <c r="AC704" s="753"/>
      <c r="AD704" s="753"/>
      <c r="AE704" s="750"/>
      <c r="AF704" s="751"/>
      <c r="AG704" s="751"/>
      <c r="AH704" s="751"/>
      <c r="AI704" s="751"/>
      <c r="AJ704" s="751"/>
      <c r="AK704" s="751"/>
      <c r="AL704" s="751"/>
      <c r="AM704" s="751"/>
      <c r="AN704" s="751"/>
      <c r="AO704" s="751"/>
      <c r="AP704" s="751"/>
      <c r="AQ704" s="751"/>
      <c r="AR704" s="751"/>
      <c r="AS704" s="751"/>
      <c r="AT704" s="751"/>
      <c r="AU704" s="751"/>
      <c r="AV704" s="751"/>
      <c r="AW704" s="751"/>
      <c r="AX704" s="752"/>
      <c r="AY704" s="753"/>
    </row>
    <row r="705" spans="1:52" s="770" customFormat="1" ht="12" customHeight="1">
      <c r="A705" s="753"/>
      <c r="B705" s="810"/>
      <c r="C705" s="797"/>
      <c r="D705" s="851" t="s">
        <v>4059</v>
      </c>
      <c r="E705" s="809"/>
      <c r="F705" s="753"/>
      <c r="G705" s="817"/>
      <c r="H705" s="817"/>
      <c r="I705" s="817"/>
      <c r="J705" s="817"/>
      <c r="K705" s="817"/>
      <c r="L705" s="817"/>
      <c r="M705" s="817"/>
      <c r="N705" s="817"/>
      <c r="O705" s="753"/>
      <c r="P705" s="753"/>
      <c r="Q705" s="753"/>
      <c r="R705" s="753"/>
      <c r="S705" s="753"/>
      <c r="T705" s="753"/>
      <c r="U705" s="753"/>
      <c r="V705" s="753"/>
      <c r="W705" s="753"/>
      <c r="X705" s="753"/>
      <c r="Y705" s="753"/>
      <c r="Z705" s="753"/>
      <c r="AA705" s="753"/>
      <c r="AB705" s="753"/>
      <c r="AC705" s="753"/>
      <c r="AD705" s="753"/>
      <c r="AE705" s="750"/>
      <c r="AF705" s="751"/>
      <c r="AG705" s="751"/>
      <c r="AH705" s="751"/>
      <c r="AI705" s="751"/>
      <c r="AJ705" s="751"/>
      <c r="AK705" s="751"/>
      <c r="AL705" s="751"/>
      <c r="AM705" s="751"/>
      <c r="AN705" s="751"/>
      <c r="AO705" s="751"/>
      <c r="AP705" s="751"/>
      <c r="AQ705" s="751"/>
      <c r="AR705" s="751"/>
      <c r="AS705" s="751"/>
      <c r="AT705" s="751"/>
      <c r="AU705" s="751"/>
      <c r="AV705" s="751"/>
      <c r="AW705" s="751"/>
      <c r="AX705" s="752"/>
      <c r="AY705" s="753"/>
    </row>
    <row r="706" spans="1:52" s="770" customFormat="1" ht="12" customHeight="1">
      <c r="A706" s="753"/>
      <c r="B706" s="810"/>
      <c r="C706" s="797"/>
      <c r="D706" s="851"/>
      <c r="E706" s="809"/>
      <c r="F706" s="753"/>
      <c r="G706" s="817"/>
      <c r="H706" s="817"/>
      <c r="I706" s="817"/>
      <c r="J706" s="817"/>
      <c r="K706" s="817"/>
      <c r="L706" s="817"/>
      <c r="M706" s="817"/>
      <c r="N706" s="817"/>
      <c r="O706" s="753"/>
      <c r="P706" s="753"/>
      <c r="Q706" s="753"/>
      <c r="R706" s="753"/>
      <c r="S706" s="753"/>
      <c r="T706" s="753"/>
      <c r="U706" s="753"/>
      <c r="V706" s="753"/>
      <c r="W706" s="753"/>
      <c r="X706" s="753"/>
      <c r="Y706" s="753"/>
      <c r="Z706" s="753"/>
      <c r="AA706" s="753"/>
      <c r="AB706" s="753"/>
      <c r="AC706" s="753"/>
      <c r="AD706" s="753"/>
      <c r="AE706" s="750"/>
      <c r="AF706" s="751"/>
      <c r="AG706" s="751"/>
      <c r="AH706" s="751"/>
      <c r="AI706" s="751"/>
      <c r="AJ706" s="751"/>
      <c r="AK706" s="751"/>
      <c r="AL706" s="751"/>
      <c r="AM706" s="751"/>
      <c r="AN706" s="751"/>
      <c r="AO706" s="751"/>
      <c r="AP706" s="751"/>
      <c r="AQ706" s="751"/>
      <c r="AR706" s="751"/>
      <c r="AS706" s="751"/>
      <c r="AT706" s="751"/>
      <c r="AU706" s="751"/>
      <c r="AV706" s="751"/>
      <c r="AW706" s="751"/>
      <c r="AX706" s="752"/>
      <c r="AY706" s="753"/>
    </row>
    <row r="707" spans="1:52" s="770" customFormat="1" ht="12" customHeight="1">
      <c r="A707" s="753"/>
      <c r="B707" s="810"/>
      <c r="C707" s="835"/>
      <c r="D707" s="753"/>
      <c r="E707" s="852"/>
      <c r="G707" s="853">
        <v>1</v>
      </c>
      <c r="H707" s="853">
        <v>2</v>
      </c>
      <c r="I707" s="853">
        <v>3</v>
      </c>
      <c r="J707" s="853">
        <v>4</v>
      </c>
      <c r="K707" s="853">
        <v>5</v>
      </c>
      <c r="L707" s="817"/>
      <c r="M707" s="817"/>
      <c r="N707" s="817"/>
      <c r="O707" s="825"/>
      <c r="P707" s="825"/>
      <c r="Q707" s="825"/>
      <c r="R707" s="825"/>
      <c r="S707" s="825"/>
      <c r="T707" s="825"/>
      <c r="U707" s="825"/>
      <c r="V707" s="825"/>
      <c r="W707" s="825"/>
      <c r="X707" s="825"/>
      <c r="Y707" s="825"/>
      <c r="Z707" s="825"/>
      <c r="AA707" s="825"/>
      <c r="AB707" s="825"/>
      <c r="AC707" s="825"/>
      <c r="AD707" s="799"/>
      <c r="AE707" s="750"/>
      <c r="AF707" s="751"/>
      <c r="AG707" s="751"/>
      <c r="AH707" s="751"/>
      <c r="AI707" s="751"/>
      <c r="AJ707" s="751"/>
      <c r="AK707" s="751"/>
      <c r="AL707" s="751"/>
      <c r="AM707" s="751"/>
      <c r="AN707" s="751"/>
      <c r="AO707" s="751"/>
      <c r="AP707" s="751"/>
      <c r="AQ707" s="751"/>
      <c r="AR707" s="752"/>
      <c r="AS707" s="752"/>
      <c r="AT707" s="752"/>
      <c r="AU707" s="752"/>
      <c r="AV707" s="752"/>
      <c r="AW707" s="752"/>
      <c r="AX707" s="752"/>
      <c r="AY707" s="753"/>
    </row>
    <row r="708" spans="1:52" s="770" customFormat="1" ht="78" customHeight="1">
      <c r="A708" s="753"/>
      <c r="B708" s="810"/>
      <c r="C708" s="811"/>
      <c r="D708" s="811"/>
      <c r="E708" s="852"/>
      <c r="G708" s="855" t="s">
        <v>4030</v>
      </c>
      <c r="H708" s="855" t="s">
        <v>4031</v>
      </c>
      <c r="I708" s="855" t="s">
        <v>4032</v>
      </c>
      <c r="J708" s="855" t="s">
        <v>4033</v>
      </c>
      <c r="K708" s="855" t="s">
        <v>4034</v>
      </c>
      <c r="L708" s="927"/>
      <c r="M708" s="927"/>
      <c r="N708" s="927"/>
      <c r="O708" s="825"/>
      <c r="P708" s="825"/>
      <c r="Q708" s="825"/>
      <c r="R708" s="825"/>
      <c r="S708" s="825"/>
      <c r="T708" s="825"/>
      <c r="U708" s="825"/>
      <c r="V708" s="825"/>
      <c r="W708" s="825"/>
      <c r="X708" s="825"/>
      <c r="Y708" s="825"/>
      <c r="Z708" s="825"/>
      <c r="AA708" s="825"/>
      <c r="AB708" s="825"/>
      <c r="AC708" s="825"/>
      <c r="AD708" s="799"/>
      <c r="AE708" s="750"/>
      <c r="AF708" s="751"/>
      <c r="AG708" s="856"/>
      <c r="AH708" s="856"/>
      <c r="AI708" s="751"/>
      <c r="AJ708" s="751"/>
      <c r="AK708" s="751"/>
      <c r="AL708" s="751"/>
      <c r="AM708" s="751"/>
      <c r="AN708" s="751"/>
      <c r="AO708" s="751"/>
      <c r="AP708" s="751"/>
      <c r="AQ708" s="751"/>
      <c r="AR708" s="752"/>
      <c r="AS708" s="752"/>
      <c r="AT708" s="752"/>
      <c r="AU708" s="752"/>
      <c r="AV708" s="752"/>
      <c r="AW708" s="752"/>
      <c r="AX708" s="752"/>
      <c r="AY708" s="753"/>
    </row>
    <row r="709" spans="1:52" s="770" customFormat="1" ht="19.5" customHeight="1">
      <c r="A709" s="753"/>
      <c r="B709" s="810"/>
      <c r="C709" s="859"/>
      <c r="D709" s="749"/>
      <c r="E709" s="825"/>
      <c r="F709" s="928" t="s">
        <v>4035</v>
      </c>
      <c r="G709" s="759" t="s">
        <v>4036</v>
      </c>
      <c r="H709" s="759"/>
      <c r="I709" s="759"/>
      <c r="J709" s="759"/>
      <c r="K709" s="759" t="s">
        <v>4037</v>
      </c>
      <c r="L709" s="929" t="s">
        <v>4038</v>
      </c>
      <c r="M709" s="825"/>
      <c r="N709" s="825"/>
      <c r="O709" s="825"/>
      <c r="P709" s="825"/>
      <c r="Q709" s="825"/>
      <c r="R709" s="825"/>
      <c r="S709" s="825"/>
      <c r="T709" s="825"/>
      <c r="U709" s="825"/>
      <c r="V709" s="825"/>
      <c r="W709" s="825"/>
      <c r="X709" s="825"/>
      <c r="Y709" s="825"/>
      <c r="Z709" s="825"/>
      <c r="AA709" s="825"/>
      <c r="AB709" s="825"/>
      <c r="AC709" s="825"/>
      <c r="AD709" s="799"/>
      <c r="AE709" s="750"/>
      <c r="AF709" s="751"/>
      <c r="AG709" s="751"/>
      <c r="AH709" s="751"/>
      <c r="AI709" s="751"/>
      <c r="AJ709" s="751"/>
      <c r="AK709" s="751"/>
      <c r="AL709" s="751"/>
      <c r="AM709" s="751"/>
      <c r="AN709" s="751"/>
      <c r="AO709" s="751"/>
      <c r="AP709" s="751"/>
      <c r="AQ709" s="751"/>
      <c r="AR709" s="752"/>
      <c r="AS709" s="752"/>
      <c r="AT709" s="752"/>
      <c r="AU709" s="752"/>
      <c r="AV709" s="752"/>
      <c r="AW709" s="752"/>
      <c r="AX709" s="752"/>
      <c r="AY709" s="753"/>
    </row>
    <row r="710" spans="1:52" s="770" customFormat="1" ht="33.9" customHeight="1">
      <c r="A710" s="753"/>
      <c r="B710" s="810"/>
      <c r="C710" s="859"/>
      <c r="D710" s="749"/>
      <c r="E710" s="860">
        <v>1</v>
      </c>
      <c r="F710" s="930" t="s">
        <v>4060</v>
      </c>
      <c r="G710" s="759" t="s">
        <v>3809</v>
      </c>
      <c r="H710" s="759" t="s">
        <v>3809</v>
      </c>
      <c r="I710" s="759" t="s">
        <v>3809</v>
      </c>
      <c r="J710" s="759" t="s">
        <v>3809</v>
      </c>
      <c r="K710" s="759" t="s">
        <v>3809</v>
      </c>
      <c r="L710" s="950" t="s">
        <v>4061</v>
      </c>
      <c r="M710" s="950"/>
      <c r="N710" s="950"/>
      <c r="O710" s="950"/>
      <c r="P710" s="950"/>
      <c r="Q710" s="950"/>
      <c r="R710" s="950"/>
      <c r="S710" s="950"/>
      <c r="T710" s="950"/>
      <c r="U710" s="825"/>
      <c r="V710" s="825"/>
      <c r="W710" s="825"/>
      <c r="X710" s="825"/>
      <c r="Y710" s="825"/>
      <c r="Z710" s="825"/>
      <c r="AA710" s="825"/>
      <c r="AB710" s="825"/>
      <c r="AC710" s="825"/>
      <c r="AD710" s="799"/>
      <c r="AE710" s="750"/>
      <c r="AF710" s="751"/>
      <c r="AG710" s="751"/>
      <c r="AH710" s="751"/>
      <c r="AI710" s="751"/>
      <c r="AJ710" s="751"/>
      <c r="AK710" s="751"/>
      <c r="AL710" s="751"/>
      <c r="AM710" s="751"/>
      <c r="AN710" s="751"/>
      <c r="AO710" s="751"/>
      <c r="AP710" s="751"/>
      <c r="AQ710" s="751"/>
      <c r="AR710" s="752"/>
      <c r="AS710" s="752"/>
      <c r="AT710" s="752"/>
      <c r="AU710" s="752"/>
      <c r="AV710" s="752"/>
      <c r="AW710" s="752"/>
      <c r="AX710" s="752"/>
      <c r="AY710" s="753"/>
    </row>
    <row r="711" spans="1:52" s="770" customFormat="1" ht="33.9" customHeight="1">
      <c r="A711" s="753"/>
      <c r="B711" s="810"/>
      <c r="C711" s="859"/>
      <c r="D711" s="749"/>
      <c r="E711" s="860">
        <v>2</v>
      </c>
      <c r="F711" s="930" t="s">
        <v>4090</v>
      </c>
      <c r="G711" s="759" t="s">
        <v>3809</v>
      </c>
      <c r="H711" s="759" t="s">
        <v>3809</v>
      </c>
      <c r="I711" s="759" t="s">
        <v>3809</v>
      </c>
      <c r="J711" s="759" t="s">
        <v>3809</v>
      </c>
      <c r="K711" s="759" t="s">
        <v>3809</v>
      </c>
      <c r="L711" s="950" t="s">
        <v>4091</v>
      </c>
      <c r="M711" s="950"/>
      <c r="N711" s="950"/>
      <c r="O711" s="950"/>
      <c r="P711" s="950"/>
      <c r="Q711" s="950"/>
      <c r="R711" s="950"/>
      <c r="S711" s="950"/>
      <c r="T711" s="950"/>
      <c r="U711" s="825"/>
      <c r="V711" s="825"/>
      <c r="W711" s="825"/>
      <c r="X711" s="825"/>
      <c r="Y711" s="825"/>
      <c r="Z711" s="825"/>
      <c r="AA711" s="825"/>
      <c r="AB711" s="825"/>
      <c r="AC711" s="825"/>
      <c r="AD711" s="799"/>
      <c r="AE711" s="750"/>
      <c r="AF711" s="751"/>
      <c r="AG711" s="751"/>
      <c r="AH711" s="751"/>
      <c r="AI711" s="751"/>
      <c r="AJ711" s="751"/>
      <c r="AK711" s="751"/>
      <c r="AL711" s="751"/>
      <c r="AM711" s="751"/>
      <c r="AN711" s="751"/>
      <c r="AO711" s="751"/>
      <c r="AP711" s="751"/>
      <c r="AQ711" s="751"/>
      <c r="AR711" s="752"/>
      <c r="AS711" s="752"/>
      <c r="AT711" s="752"/>
      <c r="AU711" s="752"/>
      <c r="AV711" s="752"/>
      <c r="AW711" s="752"/>
      <c r="AX711" s="752"/>
      <c r="AY711" s="753"/>
    </row>
    <row r="712" spans="1:52" s="770" customFormat="1" ht="33.9" customHeight="1">
      <c r="A712" s="753"/>
      <c r="B712" s="810"/>
      <c r="C712" s="859"/>
      <c r="D712" s="749"/>
      <c r="E712" s="860">
        <v>3</v>
      </c>
      <c r="F712" s="930" t="s">
        <v>4092</v>
      </c>
      <c r="G712" s="759" t="s">
        <v>3809</v>
      </c>
      <c r="H712" s="759" t="s">
        <v>3809</v>
      </c>
      <c r="I712" s="759" t="s">
        <v>3809</v>
      </c>
      <c r="J712" s="759" t="s">
        <v>3809</v>
      </c>
      <c r="K712" s="759" t="s">
        <v>3809</v>
      </c>
      <c r="L712" s="955" t="s">
        <v>4093</v>
      </c>
      <c r="M712" s="955"/>
      <c r="N712" s="955"/>
      <c r="O712" s="955"/>
      <c r="P712" s="955"/>
      <c r="Q712" s="955"/>
      <c r="R712" s="955"/>
      <c r="S712" s="955"/>
      <c r="T712" s="955"/>
      <c r="U712" s="825"/>
      <c r="V712" s="825"/>
      <c r="W712" s="825"/>
      <c r="X712" s="825"/>
      <c r="Y712" s="825"/>
      <c r="Z712" s="825"/>
      <c r="AA712" s="825"/>
      <c r="AB712" s="825"/>
      <c r="AC712" s="825"/>
      <c r="AD712" s="799"/>
      <c r="AE712" s="750"/>
      <c r="AF712" s="751"/>
      <c r="AG712" s="751"/>
      <c r="AH712" s="751"/>
      <c r="AI712" s="751"/>
      <c r="AJ712" s="751"/>
      <c r="AK712" s="751"/>
      <c r="AL712" s="751"/>
      <c r="AM712" s="751"/>
      <c r="AN712" s="751"/>
      <c r="AO712" s="751"/>
      <c r="AP712" s="751"/>
      <c r="AQ712" s="751"/>
      <c r="AR712" s="752"/>
      <c r="AS712" s="752"/>
      <c r="AT712" s="752"/>
      <c r="AU712" s="752"/>
      <c r="AV712" s="752"/>
      <c r="AW712" s="752"/>
      <c r="AX712" s="752"/>
      <c r="AY712" s="753"/>
    </row>
    <row r="713" spans="1:52" s="869" customFormat="1" ht="12.9" customHeight="1">
      <c r="B713" s="870"/>
      <c r="C713" s="748"/>
      <c r="D713" s="759"/>
      <c r="E713" s="923"/>
      <c r="F713" s="925"/>
      <c r="G713" s="925"/>
      <c r="H713" s="873"/>
      <c r="I713" s="817"/>
      <c r="J713" s="817"/>
      <c r="K713" s="817"/>
      <c r="L713" s="817"/>
      <c r="M713" s="817"/>
      <c r="N713" s="760"/>
      <c r="O713" s="872"/>
      <c r="P713" s="872"/>
      <c r="AE713" s="750"/>
      <c r="AF713" s="751"/>
      <c r="AG713" s="751"/>
      <c r="AH713" s="751"/>
      <c r="AI713" s="751"/>
      <c r="AJ713" s="751"/>
      <c r="AK713" s="751"/>
      <c r="AL713" s="751"/>
      <c r="AM713" s="751"/>
      <c r="AN713" s="751"/>
      <c r="AO713" s="751"/>
      <c r="AP713" s="751"/>
      <c r="AQ713" s="751"/>
      <c r="AR713" s="752"/>
      <c r="AS713" s="752"/>
      <c r="AT713" s="752"/>
      <c r="AU713" s="752"/>
      <c r="AV713" s="752"/>
      <c r="AW713" s="752"/>
      <c r="AX713" s="752"/>
      <c r="AY713" s="753"/>
      <c r="AZ713" s="770"/>
    </row>
    <row r="714" spans="1:52" s="770" customFormat="1" ht="12" customHeight="1">
      <c r="A714" s="753"/>
      <c r="B714" s="810"/>
      <c r="C714" s="811"/>
      <c r="D714" s="759"/>
      <c r="E714" s="849"/>
      <c r="F714" s="926"/>
      <c r="G714" s="926"/>
      <c r="H714" s="871"/>
      <c r="I714" s="817"/>
      <c r="J714" s="817"/>
      <c r="K714" s="817"/>
      <c r="L714" s="817"/>
      <c r="M714" s="817"/>
      <c r="N714" s="753"/>
      <c r="O714" s="753"/>
      <c r="P714" s="753"/>
      <c r="Q714" s="753"/>
      <c r="R714" s="753"/>
      <c r="S714" s="753"/>
      <c r="T714" s="753"/>
      <c r="U714" s="753"/>
      <c r="V714" s="753"/>
      <c r="W714" s="753"/>
      <c r="X714" s="753"/>
      <c r="Y714" s="753"/>
      <c r="Z714" s="753"/>
      <c r="AA714" s="753"/>
      <c r="AB714" s="753"/>
      <c r="AC714" s="753"/>
      <c r="AD714" s="799"/>
      <c r="AE714" s="750"/>
      <c r="AF714" s="751"/>
      <c r="AG714" s="751"/>
      <c r="AH714" s="751"/>
      <c r="AI714" s="751"/>
      <c r="AJ714" s="751"/>
      <c r="AK714" s="751"/>
      <c r="AL714" s="751"/>
      <c r="AM714" s="751"/>
      <c r="AN714" s="751"/>
      <c r="AO714" s="751"/>
      <c r="AP714" s="751"/>
      <c r="AQ714" s="751"/>
      <c r="AR714" s="752"/>
      <c r="AS714" s="752"/>
      <c r="AT714" s="752"/>
      <c r="AU714" s="752"/>
      <c r="AV714" s="752"/>
      <c r="AW714" s="752"/>
      <c r="AX714" s="752"/>
      <c r="AY714" s="753"/>
    </row>
    <row r="715" spans="1:52" s="753" customFormat="1" ht="12" customHeight="1">
      <c r="B715" s="810"/>
      <c r="C715" s="811"/>
      <c r="D715" s="759"/>
      <c r="E715" s="849"/>
      <c r="F715" s="931"/>
      <c r="G715" s="931"/>
      <c r="H715" s="871"/>
      <c r="I715" s="817"/>
      <c r="J715" s="817"/>
      <c r="K715" s="817"/>
      <c r="L715" s="817"/>
      <c r="M715" s="817"/>
      <c r="AD715" s="799"/>
      <c r="AE715" s="750"/>
      <c r="AF715" s="751"/>
      <c r="AG715" s="751"/>
      <c r="AH715" s="751"/>
      <c r="AI715" s="751"/>
      <c r="AJ715" s="751"/>
      <c r="AK715" s="751"/>
      <c r="AL715" s="751"/>
      <c r="AM715" s="751"/>
      <c r="AN715" s="751"/>
      <c r="AO715" s="751"/>
      <c r="AP715" s="751"/>
      <c r="AQ715" s="751"/>
      <c r="AR715" s="752"/>
      <c r="AS715" s="752"/>
      <c r="AT715" s="752"/>
      <c r="AU715" s="752"/>
      <c r="AV715" s="752"/>
      <c r="AW715" s="752"/>
      <c r="AX715" s="752"/>
      <c r="AZ715" s="770"/>
    </row>
    <row r="716" spans="1:52" s="753" customFormat="1" ht="12" customHeight="1">
      <c r="B716" s="810"/>
      <c r="C716" s="811"/>
      <c r="D716" s="759"/>
      <c r="E716" s="849"/>
      <c r="F716" s="931"/>
      <c r="G716" s="931"/>
      <c r="H716" s="871"/>
      <c r="I716" s="817"/>
      <c r="J716" s="817"/>
      <c r="K716" s="817"/>
      <c r="L716" s="817"/>
      <c r="M716" s="817"/>
      <c r="AD716" s="799"/>
      <c r="AE716" s="750"/>
      <c r="AF716" s="751"/>
      <c r="AG716" s="751"/>
      <c r="AH716" s="751"/>
      <c r="AI716" s="751"/>
      <c r="AJ716" s="751"/>
      <c r="AK716" s="751"/>
      <c r="AL716" s="751"/>
      <c r="AM716" s="751"/>
      <c r="AN716" s="751"/>
      <c r="AO716" s="751"/>
      <c r="AP716" s="751"/>
      <c r="AQ716" s="751"/>
      <c r="AR716" s="752"/>
      <c r="AS716" s="752"/>
      <c r="AT716" s="752"/>
      <c r="AU716" s="752"/>
      <c r="AV716" s="752"/>
      <c r="AW716" s="752"/>
      <c r="AX716" s="752"/>
      <c r="AZ716" s="770"/>
    </row>
    <row r="717" spans="1:52" s="812" customFormat="1" ht="12.9" customHeight="1">
      <c r="B717" s="899" t="s">
        <v>4054</v>
      </c>
      <c r="C717" s="900"/>
      <c r="D717" s="901"/>
      <c r="E717" s="902"/>
      <c r="F717" s="901"/>
      <c r="G717" s="903"/>
      <c r="H717" s="903"/>
      <c r="I717" s="903"/>
      <c r="J717" s="903"/>
      <c r="K717" s="903"/>
      <c r="L717" s="903"/>
      <c r="M717" s="903"/>
      <c r="N717" s="903"/>
      <c r="O717" s="903"/>
      <c r="P717" s="903"/>
      <c r="Q717" s="903"/>
      <c r="R717" s="903"/>
      <c r="S717" s="903"/>
      <c r="T717" s="903"/>
      <c r="U717" s="903"/>
      <c r="V717" s="903"/>
      <c r="W717" s="903"/>
      <c r="X717" s="903"/>
      <c r="Y717" s="903"/>
      <c r="Z717" s="903"/>
      <c r="AA717" s="903"/>
      <c r="AB717" s="903"/>
      <c r="AC717" s="903"/>
      <c r="AD717" s="904"/>
      <c r="AE717" s="750"/>
      <c r="AF717" s="751"/>
      <c r="AG717" s="751"/>
      <c r="AH717" s="751"/>
      <c r="AI717" s="751"/>
      <c r="AJ717" s="751"/>
      <c r="AK717" s="751"/>
      <c r="AL717" s="751"/>
      <c r="AM717" s="751"/>
      <c r="AN717" s="751"/>
      <c r="AO717" s="751"/>
      <c r="AP717" s="751"/>
      <c r="AQ717" s="751"/>
      <c r="AR717" s="752"/>
      <c r="AS717" s="752"/>
      <c r="AT717" s="752"/>
      <c r="AU717" s="752"/>
      <c r="AV717" s="752"/>
      <c r="AW717" s="752"/>
      <c r="AX717" s="752"/>
      <c r="AY717" s="753"/>
      <c r="AZ717" s="770"/>
    </row>
    <row r="718" spans="1:52" s="812" customFormat="1" ht="12.9" customHeight="1">
      <c r="B718" s="901" t="s">
        <v>4018</v>
      </c>
      <c r="C718" s="900"/>
      <c r="D718" s="901"/>
      <c r="E718" s="902"/>
      <c r="F718" s="901"/>
      <c r="G718" s="903"/>
      <c r="H718" s="903"/>
      <c r="I718" s="903"/>
      <c r="J718" s="903"/>
      <c r="K718" s="903"/>
      <c r="L718" s="903"/>
      <c r="M718" s="903"/>
      <c r="N718" s="903"/>
      <c r="O718" s="903"/>
      <c r="P718" s="903"/>
      <c r="Q718" s="903"/>
      <c r="R718" s="903"/>
      <c r="S718" s="903"/>
      <c r="T718" s="903"/>
      <c r="U718" s="903"/>
      <c r="V718" s="903"/>
      <c r="W718" s="903"/>
      <c r="X718" s="903"/>
      <c r="Y718" s="903"/>
      <c r="Z718" s="903"/>
      <c r="AA718" s="903"/>
      <c r="AB718" s="903"/>
      <c r="AC718" s="903"/>
      <c r="AD718" s="904"/>
      <c r="AE718" s="750"/>
      <c r="AF718" s="751"/>
      <c r="AG718" s="751"/>
      <c r="AH718" s="751"/>
      <c r="AI718" s="751"/>
      <c r="AJ718" s="751"/>
      <c r="AK718" s="751"/>
      <c r="AL718" s="751"/>
      <c r="AM718" s="751"/>
      <c r="AN718" s="751"/>
      <c r="AO718" s="751"/>
      <c r="AP718" s="751"/>
      <c r="AQ718" s="751"/>
      <c r="AR718" s="752"/>
      <c r="AS718" s="752"/>
      <c r="AT718" s="752"/>
      <c r="AU718" s="752"/>
      <c r="AV718" s="752"/>
      <c r="AW718" s="752"/>
      <c r="AX718" s="752"/>
      <c r="AY718" s="753"/>
      <c r="AZ718" s="770"/>
    </row>
    <row r="719" spans="1:52" s="753" customFormat="1" ht="12" customHeight="1">
      <c r="B719" s="810"/>
      <c r="C719" s="797"/>
      <c r="E719" s="809"/>
      <c r="G719" s="817"/>
      <c r="H719" s="817"/>
      <c r="I719" s="817"/>
      <c r="J719" s="817"/>
      <c r="K719" s="817"/>
      <c r="L719" s="817"/>
      <c r="M719" s="817"/>
      <c r="N719" s="817"/>
      <c r="AE719" s="750"/>
      <c r="AF719" s="751"/>
      <c r="AG719" s="751"/>
      <c r="AH719" s="751"/>
      <c r="AI719" s="751"/>
      <c r="AJ719" s="751"/>
      <c r="AK719" s="751"/>
      <c r="AL719" s="751"/>
      <c r="AM719" s="751"/>
      <c r="AN719" s="751"/>
      <c r="AO719" s="751"/>
      <c r="AP719" s="751"/>
      <c r="AQ719" s="751"/>
      <c r="AR719" s="751"/>
      <c r="AS719" s="751"/>
      <c r="AT719" s="751"/>
      <c r="AU719" s="751"/>
      <c r="AV719" s="751"/>
      <c r="AW719" s="751"/>
      <c r="AX719" s="752"/>
    </row>
    <row r="720" spans="1:52" s="753" customFormat="1" ht="12" customHeight="1">
      <c r="B720" s="810"/>
      <c r="C720" s="797"/>
      <c r="E720" s="809"/>
      <c r="G720" s="817"/>
      <c r="H720" s="817"/>
      <c r="I720" s="817"/>
      <c r="J720" s="817"/>
      <c r="K720" s="817"/>
      <c r="L720" s="817"/>
      <c r="M720" s="817"/>
      <c r="N720" s="817"/>
      <c r="AE720" s="750"/>
      <c r="AF720" s="751"/>
      <c r="AG720" s="751"/>
      <c r="AH720" s="751"/>
      <c r="AI720" s="751"/>
      <c r="AJ720" s="751"/>
      <c r="AK720" s="751"/>
      <c r="AL720" s="751"/>
      <c r="AM720" s="751"/>
      <c r="AN720" s="751"/>
      <c r="AO720" s="751"/>
      <c r="AP720" s="751"/>
      <c r="AQ720" s="751"/>
      <c r="AR720" s="751"/>
      <c r="AS720" s="751"/>
      <c r="AT720" s="751"/>
      <c r="AU720" s="751"/>
      <c r="AV720" s="751"/>
      <c r="AW720" s="751"/>
      <c r="AX720" s="752"/>
    </row>
    <row r="721" spans="2:50" s="753" customFormat="1" ht="12" customHeight="1">
      <c r="B721" s="810"/>
      <c r="C721" s="797"/>
      <c r="E721" s="809"/>
      <c r="G721" s="817"/>
      <c r="H721" s="817"/>
      <c r="I721" s="817"/>
      <c r="J721" s="817"/>
      <c r="K721" s="817"/>
      <c r="L721" s="817"/>
      <c r="M721" s="817"/>
      <c r="N721" s="817"/>
      <c r="AE721" s="750"/>
      <c r="AF721" s="751"/>
      <c r="AG721" s="751"/>
      <c r="AH721" s="751"/>
      <c r="AI721" s="751"/>
      <c r="AJ721" s="751"/>
      <c r="AK721" s="751"/>
      <c r="AL721" s="751"/>
      <c r="AM721" s="751"/>
      <c r="AN721" s="751"/>
      <c r="AO721" s="751"/>
      <c r="AP721" s="751"/>
      <c r="AQ721" s="751"/>
      <c r="AR721" s="751"/>
      <c r="AS721" s="751"/>
      <c r="AT721" s="751"/>
      <c r="AU721" s="751"/>
      <c r="AV721" s="751"/>
      <c r="AW721" s="751"/>
      <c r="AX721" s="752"/>
    </row>
    <row r="722" spans="2:50" s="753" customFormat="1" ht="12" customHeight="1">
      <c r="B722" s="810"/>
      <c r="C722" s="797"/>
      <c r="E722" s="809"/>
      <c r="G722" s="817"/>
      <c r="H722" s="817"/>
      <c r="I722" s="817"/>
      <c r="J722" s="817"/>
      <c r="K722" s="817"/>
      <c r="L722" s="817"/>
      <c r="M722" s="817"/>
      <c r="N722" s="817"/>
      <c r="AE722" s="750"/>
      <c r="AF722" s="751"/>
      <c r="AG722" s="751"/>
      <c r="AH722" s="751"/>
      <c r="AI722" s="751"/>
      <c r="AJ722" s="751"/>
      <c r="AK722" s="751"/>
      <c r="AL722" s="751"/>
      <c r="AM722" s="751"/>
      <c r="AN722" s="751"/>
      <c r="AO722" s="751"/>
      <c r="AP722" s="751"/>
      <c r="AQ722" s="751"/>
      <c r="AR722" s="751"/>
      <c r="AS722" s="751"/>
      <c r="AT722" s="751"/>
      <c r="AU722" s="751"/>
      <c r="AV722" s="751"/>
      <c r="AW722" s="751"/>
      <c r="AX722" s="752"/>
    </row>
    <row r="723" spans="2:50" s="753" customFormat="1" ht="12" customHeight="1">
      <c r="B723" s="810"/>
      <c r="C723" s="797"/>
      <c r="E723" s="809"/>
      <c r="G723" s="817"/>
      <c r="H723" s="817"/>
      <c r="I723" s="817"/>
      <c r="J723" s="817"/>
      <c r="K723" s="817"/>
      <c r="L723" s="817"/>
      <c r="M723" s="817"/>
      <c r="N723" s="817"/>
      <c r="AE723" s="750"/>
      <c r="AF723" s="751"/>
      <c r="AG723" s="751"/>
      <c r="AH723" s="751"/>
      <c r="AI723" s="751"/>
      <c r="AJ723" s="751"/>
      <c r="AK723" s="751"/>
      <c r="AL723" s="751"/>
      <c r="AM723" s="751"/>
      <c r="AN723" s="751"/>
      <c r="AO723" s="751"/>
      <c r="AP723" s="751"/>
      <c r="AQ723" s="751"/>
      <c r="AR723" s="751"/>
      <c r="AS723" s="751"/>
      <c r="AT723" s="751"/>
      <c r="AU723" s="751"/>
      <c r="AV723" s="751"/>
      <c r="AW723" s="751"/>
      <c r="AX723" s="752"/>
    </row>
    <row r="724" spans="2:50" s="753" customFormat="1" ht="12" customHeight="1">
      <c r="B724" s="810"/>
      <c r="C724" s="797"/>
      <c r="E724" s="809"/>
      <c r="G724" s="817"/>
      <c r="H724" s="817"/>
      <c r="I724" s="817"/>
      <c r="J724" s="817"/>
      <c r="K724" s="817"/>
      <c r="L724" s="817"/>
      <c r="M724" s="817"/>
      <c r="N724" s="817"/>
      <c r="AE724" s="750"/>
      <c r="AF724" s="751"/>
      <c r="AG724" s="751"/>
      <c r="AH724" s="751"/>
      <c r="AI724" s="751"/>
      <c r="AJ724" s="751"/>
      <c r="AK724" s="751"/>
      <c r="AL724" s="751"/>
      <c r="AM724" s="751"/>
      <c r="AN724" s="751"/>
      <c r="AO724" s="751"/>
      <c r="AP724" s="751"/>
      <c r="AQ724" s="751"/>
      <c r="AR724" s="751"/>
      <c r="AS724" s="751"/>
      <c r="AT724" s="751"/>
      <c r="AU724" s="751"/>
      <c r="AV724" s="751"/>
      <c r="AW724" s="751"/>
      <c r="AX724" s="752"/>
    </row>
    <row r="725" spans="2:50" s="753" customFormat="1" ht="12" customHeight="1">
      <c r="B725" s="810"/>
      <c r="C725" s="797"/>
      <c r="E725" s="809"/>
      <c r="G725" s="817"/>
      <c r="H725" s="817"/>
      <c r="I725" s="817"/>
      <c r="J725" s="817"/>
      <c r="K725" s="817"/>
      <c r="L725" s="817"/>
      <c r="M725" s="817"/>
      <c r="N725" s="817"/>
      <c r="AE725" s="750"/>
      <c r="AF725" s="751"/>
      <c r="AG725" s="751"/>
      <c r="AH725" s="751"/>
      <c r="AI725" s="751"/>
      <c r="AJ725" s="751"/>
      <c r="AK725" s="751"/>
      <c r="AL725" s="751"/>
      <c r="AM725" s="751"/>
      <c r="AN725" s="751"/>
      <c r="AO725" s="751"/>
      <c r="AP725" s="751"/>
      <c r="AQ725" s="751"/>
      <c r="AR725" s="751"/>
      <c r="AS725" s="751"/>
      <c r="AT725" s="751"/>
      <c r="AU725" s="751"/>
      <c r="AV725" s="751"/>
      <c r="AW725" s="751"/>
      <c r="AX725" s="752"/>
    </row>
    <row r="726" spans="2:50" s="753" customFormat="1" ht="12" customHeight="1">
      <c r="B726" s="810"/>
      <c r="C726" s="797"/>
      <c r="E726" s="809"/>
      <c r="G726" s="817"/>
      <c r="H726" s="817"/>
      <c r="I726" s="817"/>
      <c r="J726" s="817"/>
      <c r="K726" s="817"/>
      <c r="L726" s="817"/>
      <c r="M726" s="817"/>
      <c r="N726" s="817"/>
      <c r="AE726" s="750"/>
      <c r="AF726" s="751"/>
      <c r="AG726" s="751"/>
      <c r="AH726" s="751"/>
      <c r="AI726" s="751"/>
      <c r="AJ726" s="751"/>
      <c r="AK726" s="751"/>
      <c r="AL726" s="751"/>
      <c r="AM726" s="751"/>
      <c r="AN726" s="751"/>
      <c r="AO726" s="751"/>
      <c r="AP726" s="751"/>
      <c r="AQ726" s="751"/>
      <c r="AR726" s="751"/>
      <c r="AS726" s="751"/>
      <c r="AT726" s="751"/>
      <c r="AU726" s="751"/>
      <c r="AV726" s="751"/>
      <c r="AW726" s="751"/>
      <c r="AX726" s="752"/>
    </row>
    <row r="727" spans="2:50" s="753" customFormat="1" ht="12" customHeight="1">
      <c r="B727" s="810"/>
      <c r="C727" s="797"/>
      <c r="E727" s="809"/>
      <c r="G727" s="817"/>
      <c r="H727" s="817"/>
      <c r="I727" s="817"/>
      <c r="J727" s="817"/>
      <c r="K727" s="817"/>
      <c r="L727" s="817"/>
      <c r="M727" s="817"/>
      <c r="N727" s="817"/>
      <c r="AE727" s="750"/>
      <c r="AF727" s="751"/>
      <c r="AG727" s="751"/>
      <c r="AH727" s="751"/>
      <c r="AI727" s="751"/>
      <c r="AJ727" s="751"/>
      <c r="AK727" s="751"/>
      <c r="AL727" s="751"/>
      <c r="AM727" s="751"/>
      <c r="AN727" s="751"/>
      <c r="AO727" s="751"/>
      <c r="AP727" s="751"/>
      <c r="AQ727" s="751"/>
      <c r="AR727" s="751"/>
      <c r="AS727" s="751"/>
      <c r="AT727" s="751"/>
      <c r="AU727" s="751"/>
      <c r="AV727" s="751"/>
      <c r="AW727" s="751"/>
      <c r="AX727" s="752"/>
    </row>
    <row r="728" spans="2:50" s="753" customFormat="1" ht="12" customHeight="1">
      <c r="B728" s="810"/>
      <c r="C728" s="797"/>
      <c r="E728" s="809"/>
      <c r="G728" s="817"/>
      <c r="H728" s="817"/>
      <c r="I728" s="817"/>
      <c r="J728" s="817"/>
      <c r="K728" s="817"/>
      <c r="L728" s="817"/>
      <c r="M728" s="817"/>
      <c r="N728" s="817"/>
      <c r="AE728" s="750"/>
      <c r="AF728" s="751"/>
      <c r="AG728" s="751"/>
      <c r="AH728" s="751"/>
      <c r="AI728" s="751"/>
      <c r="AJ728" s="751"/>
      <c r="AK728" s="751"/>
      <c r="AL728" s="751"/>
      <c r="AM728" s="751"/>
      <c r="AN728" s="751"/>
      <c r="AO728" s="751"/>
      <c r="AP728" s="751"/>
      <c r="AQ728" s="751"/>
      <c r="AR728" s="751"/>
      <c r="AS728" s="751"/>
      <c r="AT728" s="751"/>
      <c r="AU728" s="751"/>
      <c r="AV728" s="751"/>
      <c r="AW728" s="751"/>
      <c r="AX728" s="752"/>
    </row>
    <row r="729" spans="2:50" s="753" customFormat="1" ht="12" customHeight="1">
      <c r="B729" s="810"/>
      <c r="C729" s="797"/>
      <c r="E729" s="809"/>
      <c r="G729" s="817"/>
      <c r="H729" s="817"/>
      <c r="I729" s="817"/>
      <c r="J729" s="817"/>
      <c r="K729" s="817"/>
      <c r="L729" s="817"/>
      <c r="M729" s="817"/>
      <c r="N729" s="817"/>
      <c r="AE729" s="750"/>
      <c r="AF729" s="751"/>
      <c r="AG729" s="751"/>
      <c r="AH729" s="751"/>
      <c r="AI729" s="751"/>
      <c r="AJ729" s="751"/>
      <c r="AK729" s="751"/>
      <c r="AL729" s="751"/>
      <c r="AM729" s="751"/>
      <c r="AN729" s="751"/>
      <c r="AO729" s="751"/>
      <c r="AP729" s="751"/>
      <c r="AQ729" s="751"/>
      <c r="AR729" s="751"/>
      <c r="AS729" s="751"/>
      <c r="AT729" s="751"/>
      <c r="AU729" s="751"/>
      <c r="AV729" s="751"/>
      <c r="AW729" s="751"/>
      <c r="AX729" s="752"/>
    </row>
    <row r="730" spans="2:50" s="753" customFormat="1" ht="12" customHeight="1">
      <c r="B730" s="810"/>
      <c r="C730" s="797"/>
      <c r="E730" s="809"/>
      <c r="G730" s="817"/>
      <c r="H730" s="817"/>
      <c r="I730" s="817"/>
      <c r="J730" s="817"/>
      <c r="K730" s="817"/>
      <c r="L730" s="817"/>
      <c r="M730" s="817"/>
      <c r="N730" s="817"/>
      <c r="AE730" s="750"/>
      <c r="AF730" s="751"/>
      <c r="AG730" s="751"/>
      <c r="AH730" s="751"/>
      <c r="AI730" s="751"/>
      <c r="AJ730" s="751"/>
      <c r="AK730" s="751"/>
      <c r="AL730" s="751"/>
      <c r="AM730" s="751"/>
      <c r="AN730" s="751"/>
      <c r="AO730" s="751"/>
      <c r="AP730" s="751"/>
      <c r="AQ730" s="751"/>
      <c r="AR730" s="751"/>
      <c r="AS730" s="751"/>
      <c r="AT730" s="751"/>
      <c r="AU730" s="751"/>
      <c r="AV730" s="751"/>
      <c r="AW730" s="751"/>
      <c r="AX730" s="752"/>
    </row>
    <row r="731" spans="2:50" s="753" customFormat="1" ht="12" customHeight="1">
      <c r="B731" s="810"/>
      <c r="C731" s="797"/>
      <c r="E731" s="809"/>
      <c r="G731" s="817"/>
      <c r="H731" s="817"/>
      <c r="I731" s="817"/>
      <c r="J731" s="817"/>
      <c r="K731" s="817"/>
      <c r="L731" s="817"/>
      <c r="M731" s="817"/>
      <c r="N731" s="817"/>
      <c r="AE731" s="750"/>
      <c r="AF731" s="751"/>
      <c r="AG731" s="751"/>
      <c r="AH731" s="751"/>
      <c r="AI731" s="751"/>
      <c r="AJ731" s="751"/>
      <c r="AK731" s="751"/>
      <c r="AL731" s="751"/>
      <c r="AM731" s="751"/>
      <c r="AN731" s="751"/>
      <c r="AO731" s="751"/>
      <c r="AP731" s="751"/>
      <c r="AQ731" s="751"/>
      <c r="AR731" s="751"/>
      <c r="AS731" s="751"/>
      <c r="AT731" s="751"/>
      <c r="AU731" s="751"/>
      <c r="AV731" s="751"/>
      <c r="AW731" s="751"/>
      <c r="AX731" s="752"/>
    </row>
    <row r="732" spans="2:50" s="753" customFormat="1" ht="12" customHeight="1">
      <c r="B732" s="810"/>
      <c r="C732" s="797"/>
      <c r="E732" s="809"/>
      <c r="G732" s="817"/>
      <c r="H732" s="817"/>
      <c r="I732" s="817"/>
      <c r="J732" s="817"/>
      <c r="K732" s="817"/>
      <c r="L732" s="817"/>
      <c r="M732" s="817"/>
      <c r="N732" s="817"/>
      <c r="AE732" s="750"/>
      <c r="AF732" s="751"/>
      <c r="AG732" s="751"/>
      <c r="AH732" s="751"/>
      <c r="AI732" s="751"/>
      <c r="AJ732" s="751"/>
      <c r="AK732" s="751"/>
      <c r="AL732" s="751"/>
      <c r="AM732" s="751"/>
      <c r="AN732" s="751"/>
      <c r="AO732" s="751"/>
      <c r="AP732" s="751"/>
      <c r="AQ732" s="751"/>
      <c r="AR732" s="751"/>
      <c r="AS732" s="751"/>
      <c r="AT732" s="751"/>
      <c r="AU732" s="751"/>
      <c r="AV732" s="751"/>
      <c r="AW732" s="751"/>
      <c r="AX732" s="752"/>
    </row>
    <row r="733" spans="2:50" s="753" customFormat="1" ht="12" customHeight="1">
      <c r="B733" s="810"/>
      <c r="C733" s="797"/>
      <c r="E733" s="809"/>
      <c r="G733" s="817"/>
      <c r="H733" s="817"/>
      <c r="I733" s="817"/>
      <c r="J733" s="817"/>
      <c r="K733" s="817"/>
      <c r="L733" s="817"/>
      <c r="M733" s="817"/>
      <c r="N733" s="817"/>
      <c r="AE733" s="750"/>
      <c r="AF733" s="751"/>
      <c r="AG733" s="751"/>
      <c r="AH733" s="751"/>
      <c r="AI733" s="751"/>
      <c r="AJ733" s="751"/>
      <c r="AK733" s="751"/>
      <c r="AL733" s="751"/>
      <c r="AM733" s="751"/>
      <c r="AN733" s="751"/>
      <c r="AO733" s="751"/>
      <c r="AP733" s="751"/>
      <c r="AQ733" s="751"/>
      <c r="AR733" s="751"/>
      <c r="AS733" s="751"/>
      <c r="AT733" s="751"/>
      <c r="AU733" s="751"/>
      <c r="AV733" s="751"/>
      <c r="AW733" s="751"/>
      <c r="AX733" s="752"/>
    </row>
    <row r="734" spans="2:50" s="753" customFormat="1" ht="12" customHeight="1">
      <c r="B734" s="810"/>
      <c r="C734" s="797"/>
      <c r="E734" s="809"/>
      <c r="G734" s="817"/>
      <c r="H734" s="817"/>
      <c r="I734" s="817"/>
      <c r="J734" s="817"/>
      <c r="K734" s="817"/>
      <c r="L734" s="817"/>
      <c r="M734" s="817"/>
      <c r="N734" s="817"/>
      <c r="AE734" s="750"/>
      <c r="AF734" s="751"/>
      <c r="AG734" s="751"/>
      <c r="AH734" s="751"/>
      <c r="AI734" s="751"/>
      <c r="AJ734" s="751"/>
      <c r="AK734" s="751"/>
      <c r="AL734" s="751"/>
      <c r="AM734" s="751"/>
      <c r="AN734" s="751"/>
      <c r="AO734" s="751"/>
      <c r="AP734" s="751"/>
      <c r="AQ734" s="751"/>
      <c r="AR734" s="751"/>
      <c r="AS734" s="751"/>
      <c r="AT734" s="751"/>
      <c r="AU734" s="751"/>
      <c r="AV734" s="751"/>
      <c r="AW734" s="751"/>
      <c r="AX734" s="752"/>
    </row>
    <row r="735" spans="2:50" s="753" customFormat="1" ht="12" customHeight="1">
      <c r="B735" s="810"/>
      <c r="C735" s="797"/>
      <c r="E735" s="809"/>
      <c r="G735" s="817"/>
      <c r="H735" s="817"/>
      <c r="I735" s="817"/>
      <c r="J735" s="817"/>
      <c r="K735" s="817"/>
      <c r="L735" s="817"/>
      <c r="M735" s="817"/>
      <c r="N735" s="817"/>
      <c r="AE735" s="750"/>
      <c r="AF735" s="751"/>
      <c r="AG735" s="751"/>
      <c r="AH735" s="751"/>
      <c r="AI735" s="751"/>
      <c r="AJ735" s="751"/>
      <c r="AK735" s="751"/>
      <c r="AL735" s="751"/>
      <c r="AM735" s="751"/>
      <c r="AN735" s="751"/>
      <c r="AO735" s="751"/>
      <c r="AP735" s="751"/>
      <c r="AQ735" s="751"/>
      <c r="AR735" s="751"/>
      <c r="AS735" s="751"/>
      <c r="AT735" s="751"/>
      <c r="AU735" s="751"/>
      <c r="AV735" s="751"/>
      <c r="AW735" s="751"/>
      <c r="AX735" s="752"/>
    </row>
    <row r="736" spans="2:50" s="753" customFormat="1" ht="12" customHeight="1">
      <c r="B736" s="810"/>
      <c r="C736" s="797"/>
      <c r="E736" s="809"/>
      <c r="G736" s="817"/>
      <c r="H736" s="817"/>
      <c r="I736" s="817"/>
      <c r="J736" s="817"/>
      <c r="K736" s="817"/>
      <c r="L736" s="817"/>
      <c r="M736" s="817"/>
      <c r="N736" s="817"/>
      <c r="AE736" s="750"/>
      <c r="AF736" s="751"/>
      <c r="AG736" s="751"/>
      <c r="AH736" s="751"/>
      <c r="AI736" s="751"/>
      <c r="AJ736" s="751"/>
      <c r="AK736" s="751"/>
      <c r="AL736" s="751"/>
      <c r="AM736" s="751"/>
      <c r="AN736" s="751"/>
      <c r="AO736" s="751"/>
      <c r="AP736" s="751"/>
      <c r="AQ736" s="751"/>
      <c r="AR736" s="751"/>
      <c r="AS736" s="751"/>
      <c r="AT736" s="751"/>
      <c r="AU736" s="751"/>
      <c r="AV736" s="751"/>
      <c r="AW736" s="751"/>
      <c r="AX736" s="752"/>
    </row>
    <row r="737" spans="1:52" s="753" customFormat="1" ht="12" customHeight="1">
      <c r="B737" s="810"/>
      <c r="C737" s="797"/>
      <c r="E737" s="809"/>
      <c r="G737" s="817"/>
      <c r="H737" s="817"/>
      <c r="I737" s="817"/>
      <c r="J737" s="817"/>
      <c r="K737" s="817"/>
      <c r="L737" s="817"/>
      <c r="M737" s="817"/>
      <c r="N737" s="817"/>
      <c r="AE737" s="750"/>
      <c r="AF737" s="751"/>
      <c r="AG737" s="751"/>
      <c r="AH737" s="751"/>
      <c r="AI737" s="751"/>
      <c r="AJ737" s="751"/>
      <c r="AK737" s="751"/>
      <c r="AL737" s="751"/>
      <c r="AM737" s="751"/>
      <c r="AN737" s="751"/>
      <c r="AO737" s="751"/>
      <c r="AP737" s="751"/>
      <c r="AQ737" s="751"/>
      <c r="AR737" s="751"/>
      <c r="AS737" s="751"/>
      <c r="AT737" s="751"/>
      <c r="AU737" s="751"/>
      <c r="AV737" s="751"/>
      <c r="AW737" s="751"/>
      <c r="AX737" s="752"/>
    </row>
    <row r="738" spans="1:52" s="753" customFormat="1" ht="12" customHeight="1">
      <c r="B738" s="810"/>
      <c r="C738" s="797"/>
      <c r="E738" s="809"/>
      <c r="G738" s="817"/>
      <c r="H738" s="817"/>
      <c r="I738" s="817"/>
      <c r="J738" s="817"/>
      <c r="K738" s="817"/>
      <c r="L738" s="817"/>
      <c r="M738" s="817"/>
      <c r="N738" s="817"/>
      <c r="AE738" s="750"/>
      <c r="AF738" s="751"/>
      <c r="AG738" s="751"/>
      <c r="AH738" s="751"/>
      <c r="AI738" s="751"/>
      <c r="AJ738" s="751"/>
      <c r="AK738" s="751"/>
      <c r="AL738" s="751"/>
      <c r="AM738" s="751"/>
      <c r="AN738" s="751"/>
      <c r="AO738" s="751"/>
      <c r="AP738" s="751"/>
      <c r="AQ738" s="751"/>
      <c r="AR738" s="751"/>
      <c r="AS738" s="751"/>
      <c r="AT738" s="751"/>
      <c r="AU738" s="751"/>
      <c r="AV738" s="751"/>
      <c r="AW738" s="751"/>
      <c r="AX738" s="752"/>
    </row>
    <row r="739" spans="1:52" s="753" customFormat="1" ht="12" customHeight="1">
      <c r="B739" s="810"/>
      <c r="C739" s="797"/>
      <c r="E739" s="809"/>
      <c r="G739" s="817"/>
      <c r="H739" s="817"/>
      <c r="I739" s="817"/>
      <c r="J739" s="817"/>
      <c r="K739" s="817"/>
      <c r="L739" s="817"/>
      <c r="M739" s="817"/>
      <c r="N739" s="817"/>
      <c r="AE739" s="750"/>
      <c r="AF739" s="751"/>
      <c r="AG739" s="751"/>
      <c r="AH739" s="751"/>
      <c r="AI739" s="751"/>
      <c r="AJ739" s="751"/>
      <c r="AK739" s="751"/>
      <c r="AL739" s="751"/>
      <c r="AM739" s="751"/>
      <c r="AN739" s="751"/>
      <c r="AO739" s="751"/>
      <c r="AP739" s="751"/>
      <c r="AQ739" s="751"/>
      <c r="AR739" s="751"/>
      <c r="AS739" s="751"/>
      <c r="AT739" s="751"/>
      <c r="AU739" s="751"/>
      <c r="AV739" s="751"/>
      <c r="AW739" s="751"/>
      <c r="AX739" s="752"/>
    </row>
    <row r="740" spans="1:52" s="753" customFormat="1" ht="12" customHeight="1">
      <c r="B740" s="810"/>
      <c r="C740" s="797"/>
      <c r="E740" s="809"/>
      <c r="G740" s="817"/>
      <c r="H740" s="817"/>
      <c r="I740" s="817"/>
      <c r="J740" s="817"/>
      <c r="K740" s="817"/>
      <c r="L740" s="817"/>
      <c r="M740" s="817"/>
      <c r="N740" s="817"/>
      <c r="AE740" s="750"/>
      <c r="AF740" s="751"/>
      <c r="AG740" s="751"/>
      <c r="AH740" s="751"/>
      <c r="AI740" s="751"/>
      <c r="AJ740" s="751"/>
      <c r="AK740" s="751"/>
      <c r="AL740" s="751"/>
      <c r="AM740" s="751"/>
      <c r="AN740" s="751"/>
      <c r="AO740" s="751"/>
      <c r="AP740" s="751"/>
      <c r="AQ740" s="751"/>
      <c r="AR740" s="751"/>
      <c r="AS740" s="751"/>
      <c r="AT740" s="751"/>
      <c r="AU740" s="751"/>
      <c r="AV740" s="751"/>
      <c r="AW740" s="751"/>
      <c r="AX740" s="752"/>
    </row>
    <row r="741" spans="1:52" s="753" customFormat="1" ht="12" customHeight="1">
      <c r="B741" s="810"/>
      <c r="C741" s="797"/>
      <c r="E741" s="809"/>
      <c r="G741" s="817"/>
      <c r="H741" s="817"/>
      <c r="I741" s="817"/>
      <c r="J741" s="817"/>
      <c r="K741" s="817"/>
      <c r="L741" s="817"/>
      <c r="M741" s="817"/>
      <c r="N741" s="817"/>
      <c r="AE741" s="750"/>
      <c r="AF741" s="751"/>
      <c r="AG741" s="751"/>
      <c r="AH741" s="751"/>
      <c r="AI741" s="751"/>
      <c r="AJ741" s="751"/>
      <c r="AK741" s="751"/>
      <c r="AL741" s="751"/>
      <c r="AM741" s="751"/>
      <c r="AN741" s="751"/>
      <c r="AO741" s="751"/>
      <c r="AP741" s="751"/>
      <c r="AQ741" s="751"/>
      <c r="AR741" s="751"/>
      <c r="AS741" s="751"/>
      <c r="AT741" s="751"/>
      <c r="AU741" s="751"/>
      <c r="AV741" s="751"/>
      <c r="AW741" s="751"/>
      <c r="AX741" s="752"/>
    </row>
    <row r="742" spans="1:52" s="753" customFormat="1" ht="12" customHeight="1">
      <c r="B742" s="810"/>
      <c r="C742" s="797"/>
      <c r="E742" s="809"/>
      <c r="G742" s="817"/>
      <c r="H742" s="817"/>
      <c r="I742" s="817"/>
      <c r="J742" s="817"/>
      <c r="K742" s="817"/>
      <c r="L742" s="817"/>
      <c r="M742" s="817"/>
      <c r="N742" s="817"/>
      <c r="AE742" s="750"/>
      <c r="AF742" s="751"/>
      <c r="AG742" s="751"/>
      <c r="AH742" s="751"/>
      <c r="AI742" s="751"/>
      <c r="AJ742" s="751"/>
      <c r="AK742" s="751"/>
      <c r="AL742" s="751"/>
      <c r="AM742" s="751"/>
      <c r="AN742" s="751"/>
      <c r="AO742" s="751"/>
      <c r="AP742" s="751"/>
      <c r="AQ742" s="751"/>
      <c r="AR742" s="751"/>
      <c r="AS742" s="751"/>
      <c r="AT742" s="751"/>
      <c r="AU742" s="751"/>
      <c r="AV742" s="751"/>
      <c r="AW742" s="751"/>
      <c r="AX742" s="752"/>
    </row>
    <row r="743" spans="1:52" s="753" customFormat="1" ht="12" customHeight="1">
      <c r="B743" s="810"/>
      <c r="C743" s="797"/>
      <c r="E743" s="809"/>
      <c r="G743" s="817"/>
      <c r="H743" s="817"/>
      <c r="I743" s="817"/>
      <c r="J743" s="817"/>
      <c r="K743" s="817"/>
      <c r="L743" s="817"/>
      <c r="M743" s="817"/>
      <c r="N743" s="817"/>
      <c r="AE743" s="750"/>
      <c r="AF743" s="751"/>
      <c r="AG743" s="751"/>
      <c r="AH743" s="751"/>
      <c r="AI743" s="751"/>
      <c r="AJ743" s="751"/>
      <c r="AK743" s="751"/>
      <c r="AL743" s="751"/>
      <c r="AM743" s="751"/>
      <c r="AN743" s="751"/>
      <c r="AO743" s="751"/>
      <c r="AP743" s="751"/>
      <c r="AQ743" s="751"/>
      <c r="AR743" s="751"/>
      <c r="AS743" s="751"/>
      <c r="AT743" s="751"/>
      <c r="AU743" s="751"/>
      <c r="AV743" s="751"/>
      <c r="AW743" s="751"/>
      <c r="AX743" s="752"/>
    </row>
    <row r="744" spans="1:52" s="753" customFormat="1" ht="12" customHeight="1">
      <c r="B744" s="810"/>
      <c r="C744" s="797"/>
      <c r="E744" s="809"/>
      <c r="G744" s="817"/>
      <c r="H744" s="817"/>
      <c r="I744" s="817"/>
      <c r="J744" s="817"/>
      <c r="K744" s="817"/>
      <c r="L744" s="817"/>
      <c r="M744" s="817"/>
      <c r="N744" s="817"/>
      <c r="AE744" s="750"/>
      <c r="AF744" s="751"/>
      <c r="AG744" s="751"/>
      <c r="AH744" s="751"/>
      <c r="AI744" s="751"/>
      <c r="AJ744" s="751"/>
      <c r="AK744" s="751"/>
      <c r="AL744" s="751"/>
      <c r="AM744" s="751"/>
      <c r="AN744" s="751"/>
      <c r="AO744" s="751"/>
      <c r="AP744" s="751"/>
      <c r="AQ744" s="751"/>
      <c r="AR744" s="751"/>
      <c r="AS744" s="751"/>
      <c r="AT744" s="751"/>
      <c r="AU744" s="751"/>
      <c r="AV744" s="751"/>
      <c r="AW744" s="751"/>
      <c r="AX744" s="752"/>
    </row>
    <row r="745" spans="1:52" s="753" customFormat="1" ht="12" customHeight="1">
      <c r="B745" s="810"/>
      <c r="C745" s="797"/>
      <c r="E745" s="809"/>
      <c r="G745" s="817"/>
      <c r="H745" s="817"/>
      <c r="I745" s="817"/>
      <c r="J745" s="817"/>
      <c r="K745" s="817"/>
      <c r="L745" s="817"/>
      <c r="M745" s="817"/>
      <c r="N745" s="817"/>
      <c r="AE745" s="750"/>
      <c r="AF745" s="751"/>
      <c r="AG745" s="751"/>
      <c r="AH745" s="751"/>
      <c r="AI745" s="751"/>
      <c r="AJ745" s="751"/>
      <c r="AK745" s="751"/>
      <c r="AL745" s="751"/>
      <c r="AM745" s="751"/>
      <c r="AN745" s="751"/>
      <c r="AO745" s="751"/>
      <c r="AP745" s="751"/>
      <c r="AQ745" s="751"/>
      <c r="AR745" s="751"/>
      <c r="AS745" s="751"/>
      <c r="AT745" s="751"/>
      <c r="AU745" s="751"/>
      <c r="AV745" s="751"/>
      <c r="AW745" s="751"/>
      <c r="AX745" s="752"/>
    </row>
    <row r="746" spans="1:52" s="753" customFormat="1" ht="12" customHeight="1">
      <c r="B746" s="810"/>
      <c r="C746" s="797"/>
      <c r="E746" s="809"/>
      <c r="G746" s="817"/>
      <c r="H746" s="817"/>
      <c r="I746" s="817"/>
      <c r="J746" s="817"/>
      <c r="K746" s="817"/>
      <c r="L746" s="817"/>
      <c r="M746" s="817"/>
      <c r="N746" s="817"/>
      <c r="AE746" s="750"/>
      <c r="AF746" s="751"/>
      <c r="AG746" s="751"/>
      <c r="AH746" s="751"/>
      <c r="AI746" s="751"/>
      <c r="AJ746" s="751"/>
      <c r="AK746" s="751"/>
      <c r="AL746" s="751"/>
      <c r="AM746" s="751"/>
      <c r="AN746" s="751"/>
      <c r="AO746" s="751"/>
      <c r="AP746" s="751"/>
      <c r="AQ746" s="751"/>
      <c r="AR746" s="751"/>
      <c r="AS746" s="751"/>
      <c r="AT746" s="751"/>
      <c r="AU746" s="751"/>
      <c r="AV746" s="751"/>
      <c r="AW746" s="751"/>
      <c r="AX746" s="752"/>
    </row>
    <row r="747" spans="1:52" s="753" customFormat="1" ht="12" customHeight="1">
      <c r="B747" s="796" t="s">
        <v>4027</v>
      </c>
      <c r="C747" s="797"/>
      <c r="E747" s="798"/>
      <c r="F747" s="799"/>
      <c r="AE747" s="750"/>
      <c r="AF747" s="751"/>
      <c r="AG747" s="751"/>
      <c r="AH747" s="751"/>
      <c r="AI747" s="751"/>
      <c r="AJ747" s="751"/>
      <c r="AK747" s="751"/>
      <c r="AL747" s="751"/>
      <c r="AM747" s="751"/>
      <c r="AN747" s="751"/>
      <c r="AO747" s="751"/>
      <c r="AP747" s="751"/>
      <c r="AQ747" s="751"/>
      <c r="AR747" s="752"/>
      <c r="AS747" s="752"/>
      <c r="AT747" s="752"/>
      <c r="AU747" s="752"/>
      <c r="AV747" s="752"/>
      <c r="AW747" s="752"/>
      <c r="AX747" s="752"/>
    </row>
    <row r="748" spans="1:52" s="812" customFormat="1" ht="12.9" customHeight="1">
      <c r="B748" s="800" t="s">
        <v>4089</v>
      </c>
      <c r="C748" s="801"/>
      <c r="D748" s="863"/>
      <c r="E748" s="864"/>
      <c r="F748" s="863"/>
      <c r="G748" s="865"/>
      <c r="H748" s="865"/>
      <c r="I748" s="865"/>
      <c r="J748" s="865"/>
      <c r="K748" s="865"/>
      <c r="L748" s="865"/>
      <c r="M748" s="865"/>
      <c r="N748" s="865"/>
      <c r="O748" s="865"/>
      <c r="P748" s="865"/>
      <c r="Q748" s="865"/>
      <c r="R748" s="865"/>
      <c r="S748" s="865"/>
      <c r="T748" s="865"/>
      <c r="U748" s="865"/>
      <c r="V748" s="865"/>
      <c r="W748" s="865"/>
      <c r="X748" s="865"/>
      <c r="Y748" s="865"/>
      <c r="Z748" s="865"/>
      <c r="AA748" s="865"/>
      <c r="AB748" s="865"/>
      <c r="AC748" s="865"/>
      <c r="AD748" s="806" t="s">
        <v>584</v>
      </c>
      <c r="AE748" s="750"/>
      <c r="AF748" s="751"/>
      <c r="AG748" s="751"/>
      <c r="AH748" s="751"/>
      <c r="AI748" s="751"/>
      <c r="AJ748" s="751"/>
      <c r="AK748" s="751"/>
      <c r="AL748" s="751"/>
      <c r="AM748" s="751"/>
      <c r="AN748" s="751"/>
      <c r="AO748" s="751"/>
      <c r="AP748" s="751"/>
      <c r="AQ748" s="751"/>
      <c r="AR748" s="752"/>
      <c r="AS748" s="752"/>
      <c r="AT748" s="752"/>
      <c r="AU748" s="752"/>
      <c r="AV748" s="752"/>
      <c r="AW748" s="752"/>
      <c r="AX748" s="752"/>
      <c r="AY748" s="753"/>
      <c r="AZ748" s="770"/>
    </row>
    <row r="749" spans="1:52" s="812" customFormat="1" ht="12.9" customHeight="1">
      <c r="B749" s="866"/>
      <c r="C749" s="808">
        <v>26</v>
      </c>
      <c r="D749" s="753" t="s">
        <v>4058</v>
      </c>
      <c r="E749" s="828"/>
      <c r="F749" s="828"/>
      <c r="G749" s="809"/>
      <c r="H749" s="809"/>
      <c r="I749" s="809"/>
      <c r="J749" s="809"/>
      <c r="K749" s="809"/>
      <c r="L749" s="809"/>
      <c r="M749" s="809"/>
      <c r="N749" s="828"/>
      <c r="O749" s="828"/>
      <c r="P749" s="828"/>
      <c r="Q749" s="828"/>
      <c r="Z749" s="818"/>
      <c r="AE749" s="750"/>
      <c r="AF749" s="751"/>
      <c r="AG749" s="751"/>
      <c r="AH749" s="751"/>
      <c r="AI749" s="751"/>
      <c r="AJ749" s="751"/>
      <c r="AK749" s="751"/>
      <c r="AL749" s="751"/>
      <c r="AM749" s="751"/>
      <c r="AN749" s="751"/>
      <c r="AO749" s="751"/>
      <c r="AP749" s="751"/>
      <c r="AQ749" s="751"/>
      <c r="AR749" s="751"/>
      <c r="AS749" s="751"/>
      <c r="AT749" s="751"/>
      <c r="AU749" s="751"/>
      <c r="AV749" s="751"/>
      <c r="AW749" s="751"/>
      <c r="AX749" s="752"/>
      <c r="AY749" s="753"/>
      <c r="AZ749" s="770"/>
    </row>
    <row r="750" spans="1:52" s="770" customFormat="1" ht="12" customHeight="1">
      <c r="A750" s="753"/>
      <c r="B750" s="810"/>
      <c r="C750" s="797"/>
      <c r="D750" s="922" t="s">
        <v>4043</v>
      </c>
      <c r="E750" s="809"/>
      <c r="F750" s="753"/>
      <c r="G750" s="753"/>
      <c r="H750" s="753"/>
      <c r="I750" s="753"/>
      <c r="J750" s="753"/>
      <c r="K750" s="753"/>
      <c r="L750" s="753"/>
      <c r="M750" s="753"/>
      <c r="N750" s="753"/>
      <c r="O750" s="753"/>
      <c r="P750" s="753"/>
      <c r="Q750" s="753"/>
      <c r="R750" s="753"/>
      <c r="S750" s="753"/>
      <c r="T750" s="753"/>
      <c r="U750" s="753"/>
      <c r="V750" s="753"/>
      <c r="W750" s="753"/>
      <c r="X750" s="753"/>
      <c r="Y750" s="753"/>
      <c r="Z750" s="753"/>
      <c r="AA750" s="753"/>
      <c r="AB750" s="753"/>
      <c r="AC750" s="753"/>
      <c r="AD750" s="753"/>
      <c r="AE750" s="750"/>
      <c r="AF750" s="751"/>
      <c r="AG750" s="751"/>
      <c r="AH750" s="751"/>
      <c r="AI750" s="751"/>
      <c r="AJ750" s="751"/>
      <c r="AK750" s="751"/>
      <c r="AL750" s="751"/>
      <c r="AM750" s="751"/>
      <c r="AN750" s="751"/>
      <c r="AO750" s="751"/>
      <c r="AP750" s="751"/>
      <c r="AQ750" s="751"/>
      <c r="AR750" s="751"/>
      <c r="AS750" s="751"/>
      <c r="AT750" s="751"/>
      <c r="AU750" s="751"/>
      <c r="AV750" s="751"/>
      <c r="AW750" s="751"/>
      <c r="AX750" s="752"/>
      <c r="AY750" s="753"/>
    </row>
    <row r="751" spans="1:52" s="770" customFormat="1" ht="12" customHeight="1">
      <c r="A751" s="753"/>
      <c r="B751" s="810"/>
      <c r="C751" s="797"/>
      <c r="D751" s="753"/>
      <c r="E751" s="809"/>
      <c r="F751" s="753"/>
      <c r="G751" s="817"/>
      <c r="H751" s="817"/>
      <c r="I751" s="817"/>
      <c r="J751" s="817"/>
      <c r="K751" s="817"/>
      <c r="L751" s="817"/>
      <c r="M751" s="817"/>
      <c r="N751" s="817"/>
      <c r="O751" s="753"/>
      <c r="P751" s="753"/>
      <c r="Q751" s="753"/>
      <c r="R751" s="753"/>
      <c r="S751" s="753"/>
      <c r="T751" s="753"/>
      <c r="U751" s="753"/>
      <c r="V751" s="753"/>
      <c r="W751" s="753"/>
      <c r="X751" s="753"/>
      <c r="Y751" s="753"/>
      <c r="Z751" s="753"/>
      <c r="AA751" s="753"/>
      <c r="AB751" s="753"/>
      <c r="AC751" s="753"/>
      <c r="AD751" s="753"/>
      <c r="AE751" s="750"/>
      <c r="AF751" s="751"/>
      <c r="AG751" s="751"/>
      <c r="AH751" s="751"/>
      <c r="AI751" s="751"/>
      <c r="AJ751" s="751"/>
      <c r="AK751" s="751"/>
      <c r="AL751" s="751"/>
      <c r="AM751" s="751"/>
      <c r="AN751" s="751"/>
      <c r="AO751" s="751"/>
      <c r="AP751" s="751"/>
      <c r="AQ751" s="751"/>
      <c r="AR751" s="751"/>
      <c r="AS751" s="751"/>
      <c r="AT751" s="751"/>
      <c r="AU751" s="751"/>
      <c r="AV751" s="751"/>
      <c r="AW751" s="751"/>
      <c r="AX751" s="752"/>
      <c r="AY751" s="753"/>
    </row>
    <row r="752" spans="1:52" s="770" customFormat="1" ht="12" customHeight="1">
      <c r="A752" s="753"/>
      <c r="B752" s="810"/>
      <c r="C752" s="797"/>
      <c r="D752" s="851" t="s">
        <v>4059</v>
      </c>
      <c r="E752" s="809"/>
      <c r="F752" s="753"/>
      <c r="G752" s="817"/>
      <c r="H752" s="817"/>
      <c r="I752" s="817"/>
      <c r="J752" s="817"/>
      <c r="K752" s="817"/>
      <c r="L752" s="817"/>
      <c r="M752" s="817"/>
      <c r="N752" s="817"/>
      <c r="O752" s="753"/>
      <c r="P752" s="753"/>
      <c r="Q752" s="753"/>
      <c r="R752" s="753"/>
      <c r="S752" s="753"/>
      <c r="T752" s="753"/>
      <c r="U752" s="753"/>
      <c r="V752" s="753"/>
      <c r="W752" s="753"/>
      <c r="X752" s="753"/>
      <c r="Y752" s="753"/>
      <c r="Z752" s="753"/>
      <c r="AA752" s="753"/>
      <c r="AB752" s="753"/>
      <c r="AC752" s="753"/>
      <c r="AD752" s="753"/>
      <c r="AE752" s="750"/>
      <c r="AF752" s="751"/>
      <c r="AG752" s="751"/>
      <c r="AH752" s="751"/>
      <c r="AI752" s="751"/>
      <c r="AJ752" s="751"/>
      <c r="AK752" s="751"/>
      <c r="AL752" s="751"/>
      <c r="AM752" s="751"/>
      <c r="AN752" s="751"/>
      <c r="AO752" s="751"/>
      <c r="AP752" s="751"/>
      <c r="AQ752" s="751"/>
      <c r="AR752" s="751"/>
      <c r="AS752" s="751"/>
      <c r="AT752" s="751"/>
      <c r="AU752" s="751"/>
      <c r="AV752" s="751"/>
      <c r="AW752" s="751"/>
      <c r="AX752" s="752"/>
      <c r="AY752" s="753"/>
    </row>
    <row r="753" spans="1:52" s="770" customFormat="1" ht="12" customHeight="1">
      <c r="A753" s="753"/>
      <c r="B753" s="810"/>
      <c r="C753" s="797"/>
      <c r="D753" s="851"/>
      <c r="E753" s="809"/>
      <c r="F753" s="753"/>
      <c r="G753" s="817"/>
      <c r="H753" s="817"/>
      <c r="I753" s="817"/>
      <c r="J753" s="817"/>
      <c r="K753" s="817"/>
      <c r="L753" s="817"/>
      <c r="M753" s="817"/>
      <c r="N753" s="817"/>
      <c r="O753" s="753"/>
      <c r="P753" s="753"/>
      <c r="Q753" s="753"/>
      <c r="R753" s="753"/>
      <c r="S753" s="753"/>
      <c r="T753" s="753"/>
      <c r="U753" s="753"/>
      <c r="V753" s="753"/>
      <c r="W753" s="753"/>
      <c r="X753" s="753"/>
      <c r="Y753" s="753"/>
      <c r="Z753" s="753"/>
      <c r="AA753" s="753"/>
      <c r="AB753" s="753"/>
      <c r="AC753" s="753"/>
      <c r="AD753" s="753"/>
      <c r="AE753" s="750"/>
      <c r="AF753" s="751"/>
      <c r="AG753" s="751"/>
      <c r="AH753" s="751"/>
      <c r="AI753" s="751"/>
      <c r="AJ753" s="751"/>
      <c r="AK753" s="751"/>
      <c r="AL753" s="751"/>
      <c r="AM753" s="751"/>
      <c r="AN753" s="751"/>
      <c r="AO753" s="751"/>
      <c r="AP753" s="751"/>
      <c r="AQ753" s="751"/>
      <c r="AR753" s="751"/>
      <c r="AS753" s="751"/>
      <c r="AT753" s="751"/>
      <c r="AU753" s="751"/>
      <c r="AV753" s="751"/>
      <c r="AW753" s="751"/>
      <c r="AX753" s="752"/>
      <c r="AY753" s="753"/>
    </row>
    <row r="754" spans="1:52" s="770" customFormat="1" ht="12" customHeight="1">
      <c r="A754" s="753"/>
      <c r="B754" s="810"/>
      <c r="C754" s="835"/>
      <c r="D754" s="753"/>
      <c r="E754" s="852"/>
      <c r="G754" s="853">
        <v>1</v>
      </c>
      <c r="H754" s="853">
        <v>2</v>
      </c>
      <c r="I754" s="853">
        <v>3</v>
      </c>
      <c r="J754" s="853">
        <v>4</v>
      </c>
      <c r="K754" s="853">
        <v>5</v>
      </c>
      <c r="L754" s="817"/>
      <c r="M754" s="817"/>
      <c r="N754" s="817"/>
      <c r="O754" s="825"/>
      <c r="P754" s="825"/>
      <c r="Q754" s="825"/>
      <c r="R754" s="825"/>
      <c r="S754" s="825"/>
      <c r="T754" s="825"/>
      <c r="U754" s="825"/>
      <c r="V754" s="825"/>
      <c r="W754" s="825"/>
      <c r="X754" s="825"/>
      <c r="Y754" s="825"/>
      <c r="Z754" s="825"/>
      <c r="AA754" s="825"/>
      <c r="AB754" s="825"/>
      <c r="AC754" s="825"/>
      <c r="AD754" s="799"/>
      <c r="AE754" s="750"/>
      <c r="AF754" s="751"/>
      <c r="AG754" s="751"/>
      <c r="AH754" s="751"/>
      <c r="AI754" s="751"/>
      <c r="AJ754" s="751"/>
      <c r="AK754" s="751"/>
      <c r="AL754" s="751"/>
      <c r="AM754" s="751"/>
      <c r="AN754" s="751"/>
      <c r="AO754" s="751"/>
      <c r="AP754" s="751"/>
      <c r="AQ754" s="751"/>
      <c r="AR754" s="752"/>
      <c r="AS754" s="752"/>
      <c r="AT754" s="752"/>
      <c r="AU754" s="752"/>
      <c r="AV754" s="752"/>
      <c r="AW754" s="752"/>
      <c r="AX754" s="752"/>
      <c r="AY754" s="753"/>
    </row>
    <row r="755" spans="1:52" s="770" customFormat="1" ht="78" customHeight="1">
      <c r="A755" s="753"/>
      <c r="B755" s="810"/>
      <c r="C755" s="811"/>
      <c r="D755" s="811"/>
      <c r="E755" s="852"/>
      <c r="G755" s="855" t="s">
        <v>4030</v>
      </c>
      <c r="H755" s="855" t="s">
        <v>4031</v>
      </c>
      <c r="I755" s="855" t="s">
        <v>4032</v>
      </c>
      <c r="J755" s="855" t="s">
        <v>4033</v>
      </c>
      <c r="K755" s="855" t="s">
        <v>4034</v>
      </c>
      <c r="L755" s="927"/>
      <c r="M755" s="927"/>
      <c r="N755" s="927"/>
      <c r="O755" s="825"/>
      <c r="P755" s="825"/>
      <c r="Q755" s="825"/>
      <c r="R755" s="825"/>
      <c r="S755" s="825"/>
      <c r="T755" s="825"/>
      <c r="U755" s="825"/>
      <c r="V755" s="825"/>
      <c r="W755" s="825"/>
      <c r="X755" s="825"/>
      <c r="Y755" s="825"/>
      <c r="Z755" s="825"/>
      <c r="AA755" s="825"/>
      <c r="AB755" s="825"/>
      <c r="AC755" s="825"/>
      <c r="AD755" s="799"/>
      <c r="AE755" s="750"/>
      <c r="AF755" s="751"/>
      <c r="AG755" s="856"/>
      <c r="AH755" s="856"/>
      <c r="AI755" s="751"/>
      <c r="AJ755" s="751"/>
      <c r="AK755" s="751"/>
      <c r="AL755" s="751"/>
      <c r="AM755" s="751"/>
      <c r="AN755" s="751"/>
      <c r="AO755" s="751"/>
      <c r="AP755" s="751"/>
      <c r="AQ755" s="751"/>
      <c r="AR755" s="752"/>
      <c r="AS755" s="752"/>
      <c r="AT755" s="752"/>
      <c r="AU755" s="752"/>
      <c r="AV755" s="752"/>
      <c r="AW755" s="752"/>
      <c r="AX755" s="752"/>
      <c r="AY755" s="753"/>
    </row>
    <row r="756" spans="1:52" s="770" customFormat="1" ht="19.5" customHeight="1">
      <c r="A756" s="753"/>
      <c r="B756" s="810"/>
      <c r="C756" s="859"/>
      <c r="D756" s="749"/>
      <c r="E756" s="825"/>
      <c r="F756" s="928" t="s">
        <v>4035</v>
      </c>
      <c r="G756" s="759" t="s">
        <v>4036</v>
      </c>
      <c r="H756" s="759"/>
      <c r="I756" s="759"/>
      <c r="J756" s="759"/>
      <c r="K756" s="759" t="s">
        <v>4037</v>
      </c>
      <c r="L756" s="929" t="s">
        <v>4038</v>
      </c>
      <c r="M756" s="825"/>
      <c r="N756" s="825"/>
      <c r="O756" s="825"/>
      <c r="P756" s="825"/>
      <c r="Q756" s="825"/>
      <c r="R756" s="825"/>
      <c r="S756" s="825"/>
      <c r="T756" s="825"/>
      <c r="U756" s="825"/>
      <c r="V756" s="825"/>
      <c r="W756" s="825"/>
      <c r="X756" s="825"/>
      <c r="Y756" s="825"/>
      <c r="Z756" s="825"/>
      <c r="AA756" s="825"/>
      <c r="AB756" s="825"/>
      <c r="AC756" s="825"/>
      <c r="AD756" s="799"/>
      <c r="AE756" s="750"/>
      <c r="AF756" s="751"/>
      <c r="AG756" s="751"/>
      <c r="AH756" s="751"/>
      <c r="AI756" s="751"/>
      <c r="AJ756" s="751"/>
      <c r="AK756" s="751"/>
      <c r="AL756" s="751"/>
      <c r="AM756" s="751"/>
      <c r="AN756" s="751"/>
      <c r="AO756" s="751"/>
      <c r="AP756" s="751"/>
      <c r="AQ756" s="751"/>
      <c r="AR756" s="752"/>
      <c r="AS756" s="752"/>
      <c r="AT756" s="752"/>
      <c r="AU756" s="752"/>
      <c r="AV756" s="752"/>
      <c r="AW756" s="752"/>
      <c r="AX756" s="752"/>
      <c r="AY756" s="753"/>
    </row>
    <row r="757" spans="1:52" s="770" customFormat="1" ht="33.9" customHeight="1">
      <c r="A757" s="753"/>
      <c r="B757" s="810"/>
      <c r="C757" s="859"/>
      <c r="D757" s="749"/>
      <c r="E757" s="860">
        <v>1</v>
      </c>
      <c r="F757" s="930" t="s">
        <v>4060</v>
      </c>
      <c r="G757" s="759" t="s">
        <v>3809</v>
      </c>
      <c r="H757" s="759" t="s">
        <v>3809</v>
      </c>
      <c r="I757" s="759" t="s">
        <v>3809</v>
      </c>
      <c r="J757" s="759" t="s">
        <v>3809</v>
      </c>
      <c r="K757" s="759" t="s">
        <v>3809</v>
      </c>
      <c r="L757" s="950" t="s">
        <v>4061</v>
      </c>
      <c r="M757" s="950"/>
      <c r="N757" s="950"/>
      <c r="O757" s="950"/>
      <c r="P757" s="950"/>
      <c r="Q757" s="950"/>
      <c r="R757" s="950"/>
      <c r="S757" s="950"/>
      <c r="T757" s="950"/>
      <c r="U757" s="825"/>
      <c r="V757" s="825"/>
      <c r="W757" s="825"/>
      <c r="X757" s="825"/>
      <c r="Y757" s="825"/>
      <c r="Z757" s="825"/>
      <c r="AA757" s="825"/>
      <c r="AB757" s="825"/>
      <c r="AC757" s="825"/>
      <c r="AD757" s="799"/>
      <c r="AE757" s="750"/>
      <c r="AF757" s="751"/>
      <c r="AG757" s="751"/>
      <c r="AH757" s="751"/>
      <c r="AI757" s="751"/>
      <c r="AJ757" s="751"/>
      <c r="AK757" s="751"/>
      <c r="AL757" s="751"/>
      <c r="AM757" s="751"/>
      <c r="AN757" s="751"/>
      <c r="AO757" s="751"/>
      <c r="AP757" s="751"/>
      <c r="AQ757" s="751"/>
      <c r="AR757" s="752"/>
      <c r="AS757" s="752"/>
      <c r="AT757" s="752"/>
      <c r="AU757" s="752"/>
      <c r="AV757" s="752"/>
      <c r="AW757" s="752"/>
      <c r="AX757" s="752"/>
      <c r="AY757" s="753"/>
    </row>
    <row r="758" spans="1:52" s="770" customFormat="1" ht="33.9" customHeight="1">
      <c r="A758" s="753"/>
      <c r="B758" s="810"/>
      <c r="C758" s="859"/>
      <c r="D758" s="749"/>
      <c r="E758" s="860">
        <v>2</v>
      </c>
      <c r="F758" s="930" t="s">
        <v>4094</v>
      </c>
      <c r="G758" s="759" t="s">
        <v>3809</v>
      </c>
      <c r="H758" s="759" t="s">
        <v>3809</v>
      </c>
      <c r="I758" s="759" t="s">
        <v>3809</v>
      </c>
      <c r="J758" s="759" t="s">
        <v>3809</v>
      </c>
      <c r="K758" s="759" t="s">
        <v>3809</v>
      </c>
      <c r="L758" s="950" t="s">
        <v>4095</v>
      </c>
      <c r="M758" s="950"/>
      <c r="N758" s="950"/>
      <c r="O758" s="950"/>
      <c r="P758" s="950"/>
      <c r="Q758" s="950"/>
      <c r="R758" s="950"/>
      <c r="S758" s="950"/>
      <c r="T758" s="950"/>
      <c r="U758" s="825"/>
      <c r="V758" s="825"/>
      <c r="W758" s="825"/>
      <c r="X758" s="825"/>
      <c r="Y758" s="825"/>
      <c r="Z758" s="825"/>
      <c r="AA758" s="825"/>
      <c r="AB758" s="825"/>
      <c r="AC758" s="825"/>
      <c r="AD758" s="799"/>
      <c r="AE758" s="750"/>
      <c r="AF758" s="751"/>
      <c r="AG758" s="751"/>
      <c r="AH758" s="751"/>
      <c r="AI758" s="751"/>
      <c r="AJ758" s="751"/>
      <c r="AK758" s="751"/>
      <c r="AL758" s="751"/>
      <c r="AM758" s="751"/>
      <c r="AN758" s="751"/>
      <c r="AO758" s="751"/>
      <c r="AP758" s="751"/>
      <c r="AQ758" s="751"/>
      <c r="AR758" s="752"/>
      <c r="AS758" s="752"/>
      <c r="AT758" s="752"/>
      <c r="AU758" s="752"/>
      <c r="AV758" s="752"/>
      <c r="AW758" s="752"/>
      <c r="AX758" s="752"/>
      <c r="AY758" s="753"/>
    </row>
    <row r="759" spans="1:52" s="869" customFormat="1" ht="12.9" customHeight="1">
      <c r="B759" s="870"/>
      <c r="C759" s="748"/>
      <c r="D759" s="759"/>
      <c r="E759" s="923"/>
      <c r="F759" s="925"/>
      <c r="G759" s="925"/>
      <c r="H759" s="873"/>
      <c r="I759" s="817"/>
      <c r="J759" s="817"/>
      <c r="K759" s="817"/>
      <c r="L759" s="817"/>
      <c r="M759" s="817"/>
      <c r="N759" s="760"/>
      <c r="O759" s="872"/>
      <c r="P759" s="872"/>
      <c r="AE759" s="750"/>
      <c r="AF759" s="751"/>
      <c r="AG759" s="751"/>
      <c r="AH759" s="751"/>
      <c r="AI759" s="751"/>
      <c r="AJ759" s="751"/>
      <c r="AK759" s="751"/>
      <c r="AL759" s="751"/>
      <c r="AM759" s="751"/>
      <c r="AN759" s="751"/>
      <c r="AO759" s="751"/>
      <c r="AP759" s="751"/>
      <c r="AQ759" s="751"/>
      <c r="AR759" s="752"/>
      <c r="AS759" s="752"/>
      <c r="AT759" s="752"/>
      <c r="AU759" s="752"/>
      <c r="AV759" s="752"/>
      <c r="AW759" s="752"/>
      <c r="AX759" s="752"/>
      <c r="AY759" s="753"/>
      <c r="AZ759" s="770"/>
    </row>
    <row r="760" spans="1:52" s="770" customFormat="1" ht="12" customHeight="1">
      <c r="A760" s="753"/>
      <c r="B760" s="810"/>
      <c r="C760" s="811"/>
      <c r="D760" s="759"/>
      <c r="E760" s="849"/>
      <c r="F760" s="926"/>
      <c r="G760" s="926"/>
      <c r="H760" s="871"/>
      <c r="I760" s="817"/>
      <c r="J760" s="817"/>
      <c r="K760" s="817"/>
      <c r="L760" s="817"/>
      <c r="M760" s="817"/>
      <c r="N760" s="753"/>
      <c r="O760" s="753"/>
      <c r="P760" s="753"/>
      <c r="Q760" s="753"/>
      <c r="R760" s="753"/>
      <c r="S760" s="753"/>
      <c r="T760" s="753"/>
      <c r="U760" s="753"/>
      <c r="V760" s="753"/>
      <c r="W760" s="753"/>
      <c r="X760" s="753"/>
      <c r="Y760" s="753"/>
      <c r="Z760" s="753"/>
      <c r="AA760" s="753"/>
      <c r="AB760" s="753"/>
      <c r="AC760" s="753"/>
      <c r="AD760" s="799"/>
      <c r="AE760" s="750"/>
      <c r="AF760" s="751"/>
      <c r="AG760" s="751"/>
      <c r="AH760" s="751"/>
      <c r="AI760" s="751"/>
      <c r="AJ760" s="751"/>
      <c r="AK760" s="751"/>
      <c r="AL760" s="751"/>
      <c r="AM760" s="751"/>
      <c r="AN760" s="751"/>
      <c r="AO760" s="751"/>
      <c r="AP760" s="751"/>
      <c r="AQ760" s="751"/>
      <c r="AR760" s="752"/>
      <c r="AS760" s="752"/>
      <c r="AT760" s="752"/>
      <c r="AU760" s="752"/>
      <c r="AV760" s="752"/>
      <c r="AW760" s="752"/>
      <c r="AX760" s="752"/>
      <c r="AY760" s="753"/>
    </row>
    <row r="761" spans="1:52" s="753" customFormat="1" ht="12" customHeight="1">
      <c r="B761" s="810"/>
      <c r="C761" s="811"/>
      <c r="D761" s="759"/>
      <c r="E761" s="849"/>
      <c r="F761" s="931"/>
      <c r="G761" s="931"/>
      <c r="H761" s="871"/>
      <c r="I761" s="817"/>
      <c r="J761" s="817"/>
      <c r="K761" s="817"/>
      <c r="L761" s="817"/>
      <c r="M761" s="817"/>
      <c r="AD761" s="799"/>
      <c r="AE761" s="750"/>
      <c r="AF761" s="751"/>
      <c r="AG761" s="751"/>
      <c r="AH761" s="751"/>
      <c r="AI761" s="751"/>
      <c r="AJ761" s="751"/>
      <c r="AK761" s="751"/>
      <c r="AL761" s="751"/>
      <c r="AM761" s="751"/>
      <c r="AN761" s="751"/>
      <c r="AO761" s="751"/>
      <c r="AP761" s="751"/>
      <c r="AQ761" s="751"/>
      <c r="AR761" s="752"/>
      <c r="AS761" s="752"/>
      <c r="AT761" s="752"/>
      <c r="AU761" s="752"/>
      <c r="AV761" s="752"/>
      <c r="AW761" s="752"/>
      <c r="AX761" s="752"/>
      <c r="AZ761" s="770"/>
    </row>
    <row r="762" spans="1:52" s="753" customFormat="1" ht="12" customHeight="1">
      <c r="B762" s="810"/>
      <c r="C762" s="811"/>
      <c r="D762" s="759"/>
      <c r="E762" s="849"/>
      <c r="F762" s="931"/>
      <c r="G762" s="931"/>
      <c r="H762" s="871"/>
      <c r="I762" s="817"/>
      <c r="J762" s="817"/>
      <c r="K762" s="817"/>
      <c r="L762" s="817"/>
      <c r="M762" s="817"/>
      <c r="AD762" s="799"/>
      <c r="AE762" s="750"/>
      <c r="AF762" s="751"/>
      <c r="AG762" s="751"/>
      <c r="AH762" s="751"/>
      <c r="AI762" s="751"/>
      <c r="AJ762" s="751"/>
      <c r="AK762" s="751"/>
      <c r="AL762" s="751"/>
      <c r="AM762" s="751"/>
      <c r="AN762" s="751"/>
      <c r="AO762" s="751"/>
      <c r="AP762" s="751"/>
      <c r="AQ762" s="751"/>
      <c r="AR762" s="752"/>
      <c r="AS762" s="752"/>
      <c r="AT762" s="752"/>
      <c r="AU762" s="752"/>
      <c r="AV762" s="752"/>
      <c r="AW762" s="752"/>
      <c r="AX762" s="752"/>
      <c r="AZ762" s="770"/>
    </row>
    <row r="763" spans="1:52" s="812" customFormat="1" ht="12.9" customHeight="1">
      <c r="B763" s="899" t="s">
        <v>4054</v>
      </c>
      <c r="C763" s="900"/>
      <c r="D763" s="901"/>
      <c r="E763" s="902"/>
      <c r="F763" s="901"/>
      <c r="G763" s="903"/>
      <c r="H763" s="903"/>
      <c r="I763" s="903"/>
      <c r="J763" s="903"/>
      <c r="K763" s="903"/>
      <c r="L763" s="903"/>
      <c r="M763" s="903"/>
      <c r="N763" s="903"/>
      <c r="O763" s="903"/>
      <c r="P763" s="903"/>
      <c r="Q763" s="903"/>
      <c r="R763" s="903"/>
      <c r="S763" s="903"/>
      <c r="T763" s="903"/>
      <c r="U763" s="903"/>
      <c r="V763" s="903"/>
      <c r="W763" s="903"/>
      <c r="X763" s="903"/>
      <c r="Y763" s="903"/>
      <c r="Z763" s="903"/>
      <c r="AA763" s="903"/>
      <c r="AB763" s="903"/>
      <c r="AC763" s="903"/>
      <c r="AD763" s="904"/>
      <c r="AE763" s="750"/>
      <c r="AF763" s="751"/>
      <c r="AG763" s="751"/>
      <c r="AH763" s="751"/>
      <c r="AI763" s="751"/>
      <c r="AJ763" s="751"/>
      <c r="AK763" s="751"/>
      <c r="AL763" s="751"/>
      <c r="AM763" s="751"/>
      <c r="AN763" s="751"/>
      <c r="AO763" s="751"/>
      <c r="AP763" s="751"/>
      <c r="AQ763" s="751"/>
      <c r="AR763" s="752"/>
      <c r="AS763" s="752"/>
      <c r="AT763" s="752"/>
      <c r="AU763" s="752"/>
      <c r="AV763" s="752"/>
      <c r="AW763" s="752"/>
      <c r="AX763" s="752"/>
      <c r="AY763" s="753"/>
      <c r="AZ763" s="770"/>
    </row>
    <row r="764" spans="1:52" s="812" customFormat="1" ht="12.9" customHeight="1">
      <c r="B764" s="901" t="s">
        <v>4018</v>
      </c>
      <c r="C764" s="900"/>
      <c r="D764" s="901"/>
      <c r="E764" s="902"/>
      <c r="F764" s="901"/>
      <c r="G764" s="903"/>
      <c r="H764" s="903"/>
      <c r="I764" s="903"/>
      <c r="J764" s="903"/>
      <c r="K764" s="903"/>
      <c r="L764" s="903"/>
      <c r="M764" s="903"/>
      <c r="N764" s="903"/>
      <c r="O764" s="903"/>
      <c r="P764" s="903"/>
      <c r="Q764" s="903"/>
      <c r="R764" s="903"/>
      <c r="S764" s="903"/>
      <c r="T764" s="903"/>
      <c r="U764" s="903"/>
      <c r="V764" s="903"/>
      <c r="W764" s="903"/>
      <c r="X764" s="903"/>
      <c r="Y764" s="903"/>
      <c r="Z764" s="903"/>
      <c r="AA764" s="903"/>
      <c r="AB764" s="903"/>
      <c r="AC764" s="903"/>
      <c r="AD764" s="904"/>
      <c r="AE764" s="750"/>
      <c r="AF764" s="751"/>
      <c r="AG764" s="751"/>
      <c r="AH764" s="751"/>
      <c r="AI764" s="751"/>
      <c r="AJ764" s="751"/>
      <c r="AK764" s="751"/>
      <c r="AL764" s="751"/>
      <c r="AM764" s="751"/>
      <c r="AN764" s="751"/>
      <c r="AO764" s="751"/>
      <c r="AP764" s="751"/>
      <c r="AQ764" s="751"/>
      <c r="AR764" s="752"/>
      <c r="AS764" s="752"/>
      <c r="AT764" s="752"/>
      <c r="AU764" s="752"/>
      <c r="AV764" s="752"/>
      <c r="AW764" s="752"/>
      <c r="AX764" s="752"/>
      <c r="AY764" s="753"/>
      <c r="AZ764" s="770"/>
    </row>
    <row r="765" spans="1:52" s="753" customFormat="1" ht="12" customHeight="1">
      <c r="B765" s="810"/>
      <c r="C765" s="797"/>
      <c r="E765" s="809"/>
      <c r="G765" s="817"/>
      <c r="H765" s="817"/>
      <c r="I765" s="817"/>
      <c r="J765" s="817"/>
      <c r="K765" s="817"/>
      <c r="L765" s="817"/>
      <c r="M765" s="817"/>
      <c r="N765" s="817"/>
      <c r="AE765" s="750"/>
      <c r="AF765" s="751"/>
      <c r="AG765" s="751"/>
      <c r="AH765" s="751"/>
      <c r="AI765" s="751"/>
      <c r="AJ765" s="751"/>
      <c r="AK765" s="751"/>
      <c r="AL765" s="751"/>
      <c r="AM765" s="751"/>
      <c r="AN765" s="751"/>
      <c r="AO765" s="751"/>
      <c r="AP765" s="751"/>
      <c r="AQ765" s="751"/>
      <c r="AR765" s="751"/>
      <c r="AS765" s="751"/>
      <c r="AT765" s="751"/>
      <c r="AU765" s="751"/>
      <c r="AV765" s="751"/>
      <c r="AW765" s="751"/>
      <c r="AX765" s="752"/>
    </row>
    <row r="766" spans="1:52" s="753" customFormat="1" ht="12" customHeight="1">
      <c r="B766" s="810"/>
      <c r="C766" s="797"/>
      <c r="E766" s="809"/>
      <c r="G766" s="817"/>
      <c r="H766" s="817"/>
      <c r="I766" s="817"/>
      <c r="J766" s="817"/>
      <c r="K766" s="817"/>
      <c r="L766" s="817"/>
      <c r="M766" s="817"/>
      <c r="N766" s="817"/>
      <c r="AE766" s="750"/>
      <c r="AF766" s="751"/>
      <c r="AG766" s="751"/>
      <c r="AH766" s="751"/>
      <c r="AI766" s="751"/>
      <c r="AJ766" s="751"/>
      <c r="AK766" s="751"/>
      <c r="AL766" s="751"/>
      <c r="AM766" s="751"/>
      <c r="AN766" s="751"/>
      <c r="AO766" s="751"/>
      <c r="AP766" s="751"/>
      <c r="AQ766" s="751"/>
      <c r="AR766" s="751"/>
      <c r="AS766" s="751"/>
      <c r="AT766" s="751"/>
      <c r="AU766" s="751"/>
      <c r="AV766" s="751"/>
      <c r="AW766" s="751"/>
      <c r="AX766" s="752"/>
    </row>
    <row r="767" spans="1:52" s="753" customFormat="1" ht="12" customHeight="1">
      <c r="B767" s="810"/>
      <c r="C767" s="797"/>
      <c r="E767" s="809"/>
      <c r="G767" s="817"/>
      <c r="H767" s="817"/>
      <c r="I767" s="817"/>
      <c r="J767" s="817"/>
      <c r="K767" s="817"/>
      <c r="L767" s="817"/>
      <c r="M767" s="817"/>
      <c r="N767" s="817"/>
      <c r="AE767" s="750"/>
      <c r="AF767" s="751"/>
      <c r="AG767" s="751"/>
      <c r="AH767" s="751"/>
      <c r="AI767" s="751"/>
      <c r="AJ767" s="751"/>
      <c r="AK767" s="751"/>
      <c r="AL767" s="751"/>
      <c r="AM767" s="751"/>
      <c r="AN767" s="751"/>
      <c r="AO767" s="751"/>
      <c r="AP767" s="751"/>
      <c r="AQ767" s="751"/>
      <c r="AR767" s="751"/>
      <c r="AS767" s="751"/>
      <c r="AT767" s="751"/>
      <c r="AU767" s="751"/>
      <c r="AV767" s="751"/>
      <c r="AW767" s="751"/>
      <c r="AX767" s="752"/>
    </row>
    <row r="768" spans="1:52" s="753" customFormat="1" ht="12" customHeight="1">
      <c r="B768" s="810"/>
      <c r="C768" s="797"/>
      <c r="E768" s="809"/>
      <c r="G768" s="817"/>
      <c r="H768" s="817"/>
      <c r="I768" s="817"/>
      <c r="J768" s="817"/>
      <c r="K768" s="817"/>
      <c r="L768" s="817"/>
      <c r="M768" s="817"/>
      <c r="N768" s="817"/>
      <c r="AE768" s="750"/>
      <c r="AF768" s="751"/>
      <c r="AG768" s="751"/>
      <c r="AH768" s="751"/>
      <c r="AI768" s="751"/>
      <c r="AJ768" s="751"/>
      <c r="AK768" s="751"/>
      <c r="AL768" s="751"/>
      <c r="AM768" s="751"/>
      <c r="AN768" s="751"/>
      <c r="AO768" s="751"/>
      <c r="AP768" s="751"/>
      <c r="AQ768" s="751"/>
      <c r="AR768" s="751"/>
      <c r="AS768" s="751"/>
      <c r="AT768" s="751"/>
      <c r="AU768" s="751"/>
      <c r="AV768" s="751"/>
      <c r="AW768" s="751"/>
      <c r="AX768" s="752"/>
    </row>
    <row r="769" spans="2:50" s="753" customFormat="1" ht="12" customHeight="1">
      <c r="B769" s="810"/>
      <c r="C769" s="797"/>
      <c r="E769" s="809"/>
      <c r="G769" s="817"/>
      <c r="H769" s="817"/>
      <c r="I769" s="817"/>
      <c r="J769" s="817"/>
      <c r="K769" s="817"/>
      <c r="L769" s="817"/>
      <c r="M769" s="817"/>
      <c r="N769" s="817"/>
      <c r="AE769" s="750"/>
      <c r="AF769" s="751"/>
      <c r="AG769" s="751"/>
      <c r="AH769" s="751"/>
      <c r="AI769" s="751"/>
      <c r="AJ769" s="751"/>
      <c r="AK769" s="751"/>
      <c r="AL769" s="751"/>
      <c r="AM769" s="751"/>
      <c r="AN769" s="751"/>
      <c r="AO769" s="751"/>
      <c r="AP769" s="751"/>
      <c r="AQ769" s="751"/>
      <c r="AR769" s="751"/>
      <c r="AS769" s="751"/>
      <c r="AT769" s="751"/>
      <c r="AU769" s="751"/>
      <c r="AV769" s="751"/>
      <c r="AW769" s="751"/>
      <c r="AX769" s="752"/>
    </row>
    <row r="770" spans="2:50" s="753" customFormat="1" ht="12" customHeight="1">
      <c r="B770" s="810"/>
      <c r="C770" s="797"/>
      <c r="E770" s="809"/>
      <c r="G770" s="817"/>
      <c r="H770" s="817"/>
      <c r="I770" s="817"/>
      <c r="J770" s="817"/>
      <c r="K770" s="817"/>
      <c r="L770" s="817"/>
      <c r="M770" s="817"/>
      <c r="N770" s="817"/>
      <c r="AE770" s="750"/>
      <c r="AF770" s="751"/>
      <c r="AG770" s="751"/>
      <c r="AH770" s="751"/>
      <c r="AI770" s="751"/>
      <c r="AJ770" s="751"/>
      <c r="AK770" s="751"/>
      <c r="AL770" s="751"/>
      <c r="AM770" s="751"/>
      <c r="AN770" s="751"/>
      <c r="AO770" s="751"/>
      <c r="AP770" s="751"/>
      <c r="AQ770" s="751"/>
      <c r="AR770" s="751"/>
      <c r="AS770" s="751"/>
      <c r="AT770" s="751"/>
      <c r="AU770" s="751"/>
      <c r="AV770" s="751"/>
      <c r="AW770" s="751"/>
      <c r="AX770" s="752"/>
    </row>
    <row r="771" spans="2:50" s="753" customFormat="1" ht="12" customHeight="1">
      <c r="B771" s="810"/>
      <c r="C771" s="797"/>
      <c r="E771" s="809"/>
      <c r="G771" s="817"/>
      <c r="H771" s="817"/>
      <c r="I771" s="817"/>
      <c r="J771" s="817"/>
      <c r="K771" s="817"/>
      <c r="L771" s="817"/>
      <c r="M771" s="817"/>
      <c r="N771" s="817"/>
      <c r="AE771" s="750"/>
      <c r="AF771" s="751"/>
      <c r="AG771" s="751"/>
      <c r="AH771" s="751"/>
      <c r="AI771" s="751"/>
      <c r="AJ771" s="751"/>
      <c r="AK771" s="751"/>
      <c r="AL771" s="751"/>
      <c r="AM771" s="751"/>
      <c r="AN771" s="751"/>
      <c r="AO771" s="751"/>
      <c r="AP771" s="751"/>
      <c r="AQ771" s="751"/>
      <c r="AR771" s="751"/>
      <c r="AS771" s="751"/>
      <c r="AT771" s="751"/>
      <c r="AU771" s="751"/>
      <c r="AV771" s="751"/>
      <c r="AW771" s="751"/>
      <c r="AX771" s="752"/>
    </row>
    <row r="772" spans="2:50" s="753" customFormat="1" ht="12" customHeight="1">
      <c r="B772" s="810"/>
      <c r="C772" s="797"/>
      <c r="E772" s="809"/>
      <c r="G772" s="817"/>
      <c r="H772" s="817"/>
      <c r="I772" s="817"/>
      <c r="J772" s="817"/>
      <c r="K772" s="817"/>
      <c r="L772" s="817"/>
      <c r="M772" s="817"/>
      <c r="N772" s="817"/>
      <c r="AE772" s="750"/>
      <c r="AF772" s="751"/>
      <c r="AG772" s="751"/>
      <c r="AH772" s="751"/>
      <c r="AI772" s="751"/>
      <c r="AJ772" s="751"/>
      <c r="AK772" s="751"/>
      <c r="AL772" s="751"/>
      <c r="AM772" s="751"/>
      <c r="AN772" s="751"/>
      <c r="AO772" s="751"/>
      <c r="AP772" s="751"/>
      <c r="AQ772" s="751"/>
      <c r="AR772" s="751"/>
      <c r="AS772" s="751"/>
      <c r="AT772" s="751"/>
      <c r="AU772" s="751"/>
      <c r="AV772" s="751"/>
      <c r="AW772" s="751"/>
      <c r="AX772" s="752"/>
    </row>
    <row r="773" spans="2:50" s="753" customFormat="1" ht="12" customHeight="1">
      <c r="B773" s="810"/>
      <c r="C773" s="797"/>
      <c r="E773" s="809"/>
      <c r="G773" s="817"/>
      <c r="H773" s="817"/>
      <c r="I773" s="817"/>
      <c r="J773" s="817"/>
      <c r="K773" s="817"/>
      <c r="L773" s="817"/>
      <c r="M773" s="817"/>
      <c r="N773" s="817"/>
      <c r="AE773" s="750"/>
      <c r="AF773" s="751"/>
      <c r="AG773" s="751"/>
      <c r="AH773" s="751"/>
      <c r="AI773" s="751"/>
      <c r="AJ773" s="751"/>
      <c r="AK773" s="751"/>
      <c r="AL773" s="751"/>
      <c r="AM773" s="751"/>
      <c r="AN773" s="751"/>
      <c r="AO773" s="751"/>
      <c r="AP773" s="751"/>
      <c r="AQ773" s="751"/>
      <c r="AR773" s="751"/>
      <c r="AS773" s="751"/>
      <c r="AT773" s="751"/>
      <c r="AU773" s="751"/>
      <c r="AV773" s="751"/>
      <c r="AW773" s="751"/>
      <c r="AX773" s="752"/>
    </row>
    <row r="774" spans="2:50" s="753" customFormat="1" ht="12" customHeight="1">
      <c r="B774" s="810"/>
      <c r="C774" s="797"/>
      <c r="E774" s="809"/>
      <c r="G774" s="817"/>
      <c r="H774" s="817"/>
      <c r="I774" s="817"/>
      <c r="J774" s="817"/>
      <c r="K774" s="817"/>
      <c r="L774" s="817"/>
      <c r="M774" s="817"/>
      <c r="N774" s="817"/>
      <c r="AE774" s="750"/>
      <c r="AF774" s="751"/>
      <c r="AG774" s="751"/>
      <c r="AH774" s="751"/>
      <c r="AI774" s="751"/>
      <c r="AJ774" s="751"/>
      <c r="AK774" s="751"/>
      <c r="AL774" s="751"/>
      <c r="AM774" s="751"/>
      <c r="AN774" s="751"/>
      <c r="AO774" s="751"/>
      <c r="AP774" s="751"/>
      <c r="AQ774" s="751"/>
      <c r="AR774" s="751"/>
      <c r="AS774" s="751"/>
      <c r="AT774" s="751"/>
      <c r="AU774" s="751"/>
      <c r="AV774" s="751"/>
      <c r="AW774" s="751"/>
      <c r="AX774" s="752"/>
    </row>
    <row r="775" spans="2:50" s="753" customFormat="1" ht="12" customHeight="1">
      <c r="B775" s="810"/>
      <c r="C775" s="797"/>
      <c r="E775" s="809"/>
      <c r="G775" s="817"/>
      <c r="H775" s="817"/>
      <c r="I775" s="817"/>
      <c r="J775" s="817"/>
      <c r="K775" s="817"/>
      <c r="L775" s="817"/>
      <c r="M775" s="817"/>
      <c r="N775" s="817"/>
      <c r="AE775" s="750"/>
      <c r="AF775" s="751"/>
      <c r="AG775" s="751"/>
      <c r="AH775" s="751"/>
      <c r="AI775" s="751"/>
      <c r="AJ775" s="751"/>
      <c r="AK775" s="751"/>
      <c r="AL775" s="751"/>
      <c r="AM775" s="751"/>
      <c r="AN775" s="751"/>
      <c r="AO775" s="751"/>
      <c r="AP775" s="751"/>
      <c r="AQ775" s="751"/>
      <c r="AR775" s="751"/>
      <c r="AS775" s="751"/>
      <c r="AT775" s="751"/>
      <c r="AU775" s="751"/>
      <c r="AV775" s="751"/>
      <c r="AW775" s="751"/>
      <c r="AX775" s="752"/>
    </row>
    <row r="776" spans="2:50" s="753" customFormat="1" ht="12" customHeight="1">
      <c r="B776" s="810"/>
      <c r="C776" s="797"/>
      <c r="E776" s="809"/>
      <c r="G776" s="817"/>
      <c r="H776" s="817"/>
      <c r="I776" s="817"/>
      <c r="J776" s="817"/>
      <c r="K776" s="817"/>
      <c r="L776" s="817"/>
      <c r="M776" s="817"/>
      <c r="N776" s="817"/>
      <c r="AE776" s="750"/>
      <c r="AF776" s="751"/>
      <c r="AG776" s="751"/>
      <c r="AH776" s="751"/>
      <c r="AI776" s="751"/>
      <c r="AJ776" s="751"/>
      <c r="AK776" s="751"/>
      <c r="AL776" s="751"/>
      <c r="AM776" s="751"/>
      <c r="AN776" s="751"/>
      <c r="AO776" s="751"/>
      <c r="AP776" s="751"/>
      <c r="AQ776" s="751"/>
      <c r="AR776" s="751"/>
      <c r="AS776" s="751"/>
      <c r="AT776" s="751"/>
      <c r="AU776" s="751"/>
      <c r="AV776" s="751"/>
      <c r="AW776" s="751"/>
      <c r="AX776" s="752"/>
    </row>
    <row r="777" spans="2:50" s="753" customFormat="1" ht="12" customHeight="1">
      <c r="B777" s="810"/>
      <c r="C777" s="797"/>
      <c r="E777" s="809"/>
      <c r="G777" s="817"/>
      <c r="H777" s="817"/>
      <c r="I777" s="817"/>
      <c r="J777" s="817"/>
      <c r="K777" s="817"/>
      <c r="L777" s="817"/>
      <c r="M777" s="817"/>
      <c r="N777" s="817"/>
      <c r="AE777" s="750"/>
      <c r="AF777" s="751"/>
      <c r="AG777" s="751"/>
      <c r="AH777" s="751"/>
      <c r="AI777" s="751"/>
      <c r="AJ777" s="751"/>
      <c r="AK777" s="751"/>
      <c r="AL777" s="751"/>
      <c r="AM777" s="751"/>
      <c r="AN777" s="751"/>
      <c r="AO777" s="751"/>
      <c r="AP777" s="751"/>
      <c r="AQ777" s="751"/>
      <c r="AR777" s="751"/>
      <c r="AS777" s="751"/>
      <c r="AT777" s="751"/>
      <c r="AU777" s="751"/>
      <c r="AV777" s="751"/>
      <c r="AW777" s="751"/>
      <c r="AX777" s="752"/>
    </row>
    <row r="778" spans="2:50" s="753" customFormat="1" ht="12" customHeight="1">
      <c r="B778" s="810"/>
      <c r="C778" s="797"/>
      <c r="E778" s="809"/>
      <c r="G778" s="817"/>
      <c r="H778" s="817"/>
      <c r="I778" s="817"/>
      <c r="J778" s="817"/>
      <c r="K778" s="817"/>
      <c r="L778" s="817"/>
      <c r="M778" s="817"/>
      <c r="N778" s="817"/>
      <c r="AE778" s="750"/>
      <c r="AF778" s="751"/>
      <c r="AG778" s="751"/>
      <c r="AH778" s="751"/>
      <c r="AI778" s="751"/>
      <c r="AJ778" s="751"/>
      <c r="AK778" s="751"/>
      <c r="AL778" s="751"/>
      <c r="AM778" s="751"/>
      <c r="AN778" s="751"/>
      <c r="AO778" s="751"/>
      <c r="AP778" s="751"/>
      <c r="AQ778" s="751"/>
      <c r="AR778" s="751"/>
      <c r="AS778" s="751"/>
      <c r="AT778" s="751"/>
      <c r="AU778" s="751"/>
      <c r="AV778" s="751"/>
      <c r="AW778" s="751"/>
      <c r="AX778" s="752"/>
    </row>
    <row r="779" spans="2:50" s="753" customFormat="1" ht="12" customHeight="1">
      <c r="B779" s="810"/>
      <c r="C779" s="797"/>
      <c r="E779" s="809"/>
      <c r="G779" s="817"/>
      <c r="H779" s="817"/>
      <c r="I779" s="817"/>
      <c r="J779" s="817"/>
      <c r="K779" s="817"/>
      <c r="L779" s="817"/>
      <c r="M779" s="817"/>
      <c r="N779" s="817"/>
      <c r="AE779" s="750"/>
      <c r="AF779" s="751"/>
      <c r="AG779" s="751"/>
      <c r="AH779" s="751"/>
      <c r="AI779" s="751"/>
      <c r="AJ779" s="751"/>
      <c r="AK779" s="751"/>
      <c r="AL779" s="751"/>
      <c r="AM779" s="751"/>
      <c r="AN779" s="751"/>
      <c r="AO779" s="751"/>
      <c r="AP779" s="751"/>
      <c r="AQ779" s="751"/>
      <c r="AR779" s="751"/>
      <c r="AS779" s="751"/>
      <c r="AT779" s="751"/>
      <c r="AU779" s="751"/>
      <c r="AV779" s="751"/>
      <c r="AW779" s="751"/>
      <c r="AX779" s="752"/>
    </row>
    <row r="780" spans="2:50" s="753" customFormat="1" ht="12" customHeight="1">
      <c r="B780" s="810"/>
      <c r="C780" s="797"/>
      <c r="E780" s="809"/>
      <c r="G780" s="817"/>
      <c r="H780" s="817"/>
      <c r="I780" s="817"/>
      <c r="J780" s="817"/>
      <c r="K780" s="817"/>
      <c r="L780" s="817"/>
      <c r="M780" s="817"/>
      <c r="N780" s="817"/>
      <c r="AE780" s="750"/>
      <c r="AF780" s="751"/>
      <c r="AG780" s="751"/>
      <c r="AH780" s="751"/>
      <c r="AI780" s="751"/>
      <c r="AJ780" s="751"/>
      <c r="AK780" s="751"/>
      <c r="AL780" s="751"/>
      <c r="AM780" s="751"/>
      <c r="AN780" s="751"/>
      <c r="AO780" s="751"/>
      <c r="AP780" s="751"/>
      <c r="AQ780" s="751"/>
      <c r="AR780" s="751"/>
      <c r="AS780" s="751"/>
      <c r="AT780" s="751"/>
      <c r="AU780" s="751"/>
      <c r="AV780" s="751"/>
      <c r="AW780" s="751"/>
      <c r="AX780" s="752"/>
    </row>
    <row r="781" spans="2:50" s="753" customFormat="1" ht="12" customHeight="1">
      <c r="B781" s="810"/>
      <c r="C781" s="797"/>
      <c r="E781" s="809"/>
      <c r="G781" s="817"/>
      <c r="H781" s="817"/>
      <c r="I781" s="817"/>
      <c r="J781" s="817"/>
      <c r="K781" s="817"/>
      <c r="L781" s="817"/>
      <c r="M781" s="817"/>
      <c r="N781" s="817"/>
      <c r="AE781" s="750"/>
      <c r="AF781" s="751"/>
      <c r="AG781" s="751"/>
      <c r="AH781" s="751"/>
      <c r="AI781" s="751"/>
      <c r="AJ781" s="751"/>
      <c r="AK781" s="751"/>
      <c r="AL781" s="751"/>
      <c r="AM781" s="751"/>
      <c r="AN781" s="751"/>
      <c r="AO781" s="751"/>
      <c r="AP781" s="751"/>
      <c r="AQ781" s="751"/>
      <c r="AR781" s="751"/>
      <c r="AS781" s="751"/>
      <c r="AT781" s="751"/>
      <c r="AU781" s="751"/>
      <c r="AV781" s="751"/>
      <c r="AW781" s="751"/>
      <c r="AX781" s="752"/>
    </row>
    <row r="782" spans="2:50" s="753" customFormat="1" ht="12" customHeight="1">
      <c r="B782" s="810"/>
      <c r="C782" s="797"/>
      <c r="E782" s="809"/>
      <c r="G782" s="817"/>
      <c r="H782" s="817"/>
      <c r="I782" s="817"/>
      <c r="J782" s="817"/>
      <c r="K782" s="817"/>
      <c r="L782" s="817"/>
      <c r="M782" s="817"/>
      <c r="N782" s="817"/>
      <c r="AE782" s="750"/>
      <c r="AF782" s="751"/>
      <c r="AG782" s="751"/>
      <c r="AH782" s="751"/>
      <c r="AI782" s="751"/>
      <c r="AJ782" s="751"/>
      <c r="AK782" s="751"/>
      <c r="AL782" s="751"/>
      <c r="AM782" s="751"/>
      <c r="AN782" s="751"/>
      <c r="AO782" s="751"/>
      <c r="AP782" s="751"/>
      <c r="AQ782" s="751"/>
      <c r="AR782" s="751"/>
      <c r="AS782" s="751"/>
      <c r="AT782" s="751"/>
      <c r="AU782" s="751"/>
      <c r="AV782" s="751"/>
      <c r="AW782" s="751"/>
      <c r="AX782" s="752"/>
    </row>
    <row r="783" spans="2:50" s="753" customFormat="1" ht="12" customHeight="1">
      <c r="B783" s="810"/>
      <c r="C783" s="797"/>
      <c r="E783" s="809"/>
      <c r="G783" s="817"/>
      <c r="H783" s="817"/>
      <c r="I783" s="817"/>
      <c r="J783" s="817"/>
      <c r="K783" s="817"/>
      <c r="L783" s="817"/>
      <c r="M783" s="817"/>
      <c r="N783" s="817"/>
      <c r="AE783" s="750"/>
      <c r="AF783" s="751"/>
      <c r="AG783" s="751"/>
      <c r="AH783" s="751"/>
      <c r="AI783" s="751"/>
      <c r="AJ783" s="751"/>
      <c r="AK783" s="751"/>
      <c r="AL783" s="751"/>
      <c r="AM783" s="751"/>
      <c r="AN783" s="751"/>
      <c r="AO783" s="751"/>
      <c r="AP783" s="751"/>
      <c r="AQ783" s="751"/>
      <c r="AR783" s="751"/>
      <c r="AS783" s="751"/>
      <c r="AT783" s="751"/>
      <c r="AU783" s="751"/>
      <c r="AV783" s="751"/>
      <c r="AW783" s="751"/>
      <c r="AX783" s="752"/>
    </row>
    <row r="784" spans="2:50" s="753" customFormat="1" ht="12" customHeight="1">
      <c r="B784" s="810"/>
      <c r="C784" s="797"/>
      <c r="E784" s="809"/>
      <c r="G784" s="817"/>
      <c r="H784" s="817"/>
      <c r="I784" s="817"/>
      <c r="J784" s="817"/>
      <c r="K784" s="817"/>
      <c r="L784" s="817"/>
      <c r="M784" s="817"/>
      <c r="N784" s="817"/>
      <c r="AE784" s="750"/>
      <c r="AF784" s="751"/>
      <c r="AG784" s="751"/>
      <c r="AH784" s="751"/>
      <c r="AI784" s="751"/>
      <c r="AJ784" s="751"/>
      <c r="AK784" s="751"/>
      <c r="AL784" s="751"/>
      <c r="AM784" s="751"/>
      <c r="AN784" s="751"/>
      <c r="AO784" s="751"/>
      <c r="AP784" s="751"/>
      <c r="AQ784" s="751"/>
      <c r="AR784" s="751"/>
      <c r="AS784" s="751"/>
      <c r="AT784" s="751"/>
      <c r="AU784" s="751"/>
      <c r="AV784" s="751"/>
      <c r="AW784" s="751"/>
      <c r="AX784" s="752"/>
    </row>
    <row r="785" spans="1:52" s="753" customFormat="1" ht="12" customHeight="1">
      <c r="B785" s="810"/>
      <c r="C785" s="797"/>
      <c r="E785" s="809"/>
      <c r="G785" s="817"/>
      <c r="H785" s="817"/>
      <c r="I785" s="817"/>
      <c r="J785" s="817"/>
      <c r="K785" s="817"/>
      <c r="L785" s="817"/>
      <c r="M785" s="817"/>
      <c r="N785" s="817"/>
      <c r="AE785" s="750"/>
      <c r="AF785" s="751"/>
      <c r="AG785" s="751"/>
      <c r="AH785" s="751"/>
      <c r="AI785" s="751"/>
      <c r="AJ785" s="751"/>
      <c r="AK785" s="751"/>
      <c r="AL785" s="751"/>
      <c r="AM785" s="751"/>
      <c r="AN785" s="751"/>
      <c r="AO785" s="751"/>
      <c r="AP785" s="751"/>
      <c r="AQ785" s="751"/>
      <c r="AR785" s="751"/>
      <c r="AS785" s="751"/>
      <c r="AT785" s="751"/>
      <c r="AU785" s="751"/>
      <c r="AV785" s="751"/>
      <c r="AW785" s="751"/>
      <c r="AX785" s="752"/>
    </row>
    <row r="786" spans="1:52" s="753" customFormat="1" ht="12" customHeight="1">
      <c r="B786" s="810"/>
      <c r="C786" s="797"/>
      <c r="E786" s="809"/>
      <c r="G786" s="817"/>
      <c r="H786" s="817"/>
      <c r="I786" s="817"/>
      <c r="J786" s="817"/>
      <c r="K786" s="817"/>
      <c r="L786" s="817"/>
      <c r="M786" s="817"/>
      <c r="N786" s="817"/>
      <c r="AE786" s="750"/>
      <c r="AF786" s="751"/>
      <c r="AG786" s="751"/>
      <c r="AH786" s="751"/>
      <c r="AI786" s="751"/>
      <c r="AJ786" s="751"/>
      <c r="AK786" s="751"/>
      <c r="AL786" s="751"/>
      <c r="AM786" s="751"/>
      <c r="AN786" s="751"/>
      <c r="AO786" s="751"/>
      <c r="AP786" s="751"/>
      <c r="AQ786" s="751"/>
      <c r="AR786" s="751"/>
      <c r="AS786" s="751"/>
      <c r="AT786" s="751"/>
      <c r="AU786" s="751"/>
      <c r="AV786" s="751"/>
      <c r="AW786" s="751"/>
      <c r="AX786" s="752"/>
    </row>
    <row r="787" spans="1:52" s="753" customFormat="1" ht="12" customHeight="1">
      <c r="B787" s="810"/>
      <c r="C787" s="797"/>
      <c r="E787" s="809"/>
      <c r="G787" s="817"/>
      <c r="H787" s="817"/>
      <c r="I787" s="817"/>
      <c r="J787" s="817"/>
      <c r="K787" s="817"/>
      <c r="L787" s="817"/>
      <c r="M787" s="817"/>
      <c r="N787" s="817"/>
      <c r="AE787" s="750"/>
      <c r="AF787" s="751"/>
      <c r="AG787" s="751"/>
      <c r="AH787" s="751"/>
      <c r="AI787" s="751"/>
      <c r="AJ787" s="751"/>
      <c r="AK787" s="751"/>
      <c r="AL787" s="751"/>
      <c r="AM787" s="751"/>
      <c r="AN787" s="751"/>
      <c r="AO787" s="751"/>
      <c r="AP787" s="751"/>
      <c r="AQ787" s="751"/>
      <c r="AR787" s="751"/>
      <c r="AS787" s="751"/>
      <c r="AT787" s="751"/>
      <c r="AU787" s="751"/>
      <c r="AV787" s="751"/>
      <c r="AW787" s="751"/>
      <c r="AX787" s="752"/>
    </row>
    <row r="788" spans="1:52" s="753" customFormat="1" ht="12" customHeight="1">
      <c r="B788" s="810"/>
      <c r="C788" s="797"/>
      <c r="E788" s="809"/>
      <c r="G788" s="817"/>
      <c r="H788" s="817"/>
      <c r="I788" s="817"/>
      <c r="J788" s="817"/>
      <c r="K788" s="817"/>
      <c r="L788" s="817"/>
      <c r="M788" s="817"/>
      <c r="N788" s="817"/>
      <c r="AE788" s="750"/>
      <c r="AF788" s="751"/>
      <c r="AG788" s="751"/>
      <c r="AH788" s="751"/>
      <c r="AI788" s="751"/>
      <c r="AJ788" s="751"/>
      <c r="AK788" s="751"/>
      <c r="AL788" s="751"/>
      <c r="AM788" s="751"/>
      <c r="AN788" s="751"/>
      <c r="AO788" s="751"/>
      <c r="AP788" s="751"/>
      <c r="AQ788" s="751"/>
      <c r="AR788" s="751"/>
      <c r="AS788" s="751"/>
      <c r="AT788" s="751"/>
      <c r="AU788" s="751"/>
      <c r="AV788" s="751"/>
      <c r="AW788" s="751"/>
      <c r="AX788" s="752"/>
    </row>
    <row r="789" spans="1:52" s="753" customFormat="1" ht="12" customHeight="1">
      <c r="B789" s="810"/>
      <c r="C789" s="797"/>
      <c r="E789" s="809"/>
      <c r="G789" s="817"/>
      <c r="H789" s="817"/>
      <c r="I789" s="817"/>
      <c r="J789" s="817"/>
      <c r="K789" s="817"/>
      <c r="L789" s="817"/>
      <c r="M789" s="817"/>
      <c r="N789" s="817"/>
      <c r="AE789" s="750"/>
      <c r="AF789" s="751"/>
      <c r="AG789" s="751"/>
      <c r="AH789" s="751"/>
      <c r="AI789" s="751"/>
      <c r="AJ789" s="751"/>
      <c r="AK789" s="751"/>
      <c r="AL789" s="751"/>
      <c r="AM789" s="751"/>
      <c r="AN789" s="751"/>
      <c r="AO789" s="751"/>
      <c r="AP789" s="751"/>
      <c r="AQ789" s="751"/>
      <c r="AR789" s="751"/>
      <c r="AS789" s="751"/>
      <c r="AT789" s="751"/>
      <c r="AU789" s="751"/>
      <c r="AV789" s="751"/>
      <c r="AW789" s="751"/>
      <c r="AX789" s="752"/>
    </row>
    <row r="790" spans="1:52" s="753" customFormat="1" ht="12" customHeight="1">
      <c r="B790" s="810"/>
      <c r="C790" s="797"/>
      <c r="E790" s="809"/>
      <c r="G790" s="817"/>
      <c r="H790" s="817"/>
      <c r="I790" s="817"/>
      <c r="J790" s="817"/>
      <c r="K790" s="817"/>
      <c r="L790" s="817"/>
      <c r="M790" s="817"/>
      <c r="N790" s="817"/>
      <c r="AE790" s="750"/>
      <c r="AF790" s="751"/>
      <c r="AG790" s="751"/>
      <c r="AH790" s="751"/>
      <c r="AI790" s="751"/>
      <c r="AJ790" s="751"/>
      <c r="AK790" s="751"/>
      <c r="AL790" s="751"/>
      <c r="AM790" s="751"/>
      <c r="AN790" s="751"/>
      <c r="AO790" s="751"/>
      <c r="AP790" s="751"/>
      <c r="AQ790" s="751"/>
      <c r="AR790" s="751"/>
      <c r="AS790" s="751"/>
      <c r="AT790" s="751"/>
      <c r="AU790" s="751"/>
      <c r="AV790" s="751"/>
      <c r="AW790" s="751"/>
      <c r="AX790" s="752"/>
    </row>
    <row r="791" spans="1:52" s="753" customFormat="1" ht="12" customHeight="1">
      <c r="B791" s="810"/>
      <c r="C791" s="797"/>
      <c r="E791" s="809"/>
      <c r="G791" s="817"/>
      <c r="H791" s="817"/>
      <c r="I791" s="817"/>
      <c r="J791" s="817"/>
      <c r="K791" s="817"/>
      <c r="L791" s="817"/>
      <c r="M791" s="817"/>
      <c r="N791" s="817"/>
      <c r="AE791" s="750"/>
      <c r="AF791" s="751"/>
      <c r="AG791" s="751"/>
      <c r="AH791" s="751"/>
      <c r="AI791" s="751"/>
      <c r="AJ791" s="751"/>
      <c r="AK791" s="751"/>
      <c r="AL791" s="751"/>
      <c r="AM791" s="751"/>
      <c r="AN791" s="751"/>
      <c r="AO791" s="751"/>
      <c r="AP791" s="751"/>
      <c r="AQ791" s="751"/>
      <c r="AR791" s="751"/>
      <c r="AS791" s="751"/>
      <c r="AT791" s="751"/>
      <c r="AU791" s="751"/>
      <c r="AV791" s="751"/>
      <c r="AW791" s="751"/>
      <c r="AX791" s="752"/>
    </row>
    <row r="792" spans="1:52" s="753" customFormat="1" ht="12" customHeight="1">
      <c r="B792" s="810"/>
      <c r="C792" s="797"/>
      <c r="E792" s="809"/>
      <c r="G792" s="817"/>
      <c r="H792" s="817"/>
      <c r="I792" s="817"/>
      <c r="J792" s="817"/>
      <c r="K792" s="817"/>
      <c r="L792" s="817"/>
      <c r="M792" s="817"/>
      <c r="N792" s="817"/>
      <c r="AE792" s="750"/>
      <c r="AF792" s="751"/>
      <c r="AG792" s="751"/>
      <c r="AH792" s="751"/>
      <c r="AI792" s="751"/>
      <c r="AJ792" s="751"/>
      <c r="AK792" s="751"/>
      <c r="AL792" s="751"/>
      <c r="AM792" s="751"/>
      <c r="AN792" s="751"/>
      <c r="AO792" s="751"/>
      <c r="AP792" s="751"/>
      <c r="AQ792" s="751"/>
      <c r="AR792" s="751"/>
      <c r="AS792" s="751"/>
      <c r="AT792" s="751"/>
      <c r="AU792" s="751"/>
      <c r="AV792" s="751"/>
      <c r="AW792" s="751"/>
      <c r="AX792" s="752"/>
    </row>
    <row r="793" spans="1:52" s="753" customFormat="1" ht="12" customHeight="1">
      <c r="B793" s="796" t="s">
        <v>4027</v>
      </c>
      <c r="C793" s="797"/>
      <c r="E793" s="798"/>
      <c r="F793" s="799"/>
      <c r="AE793" s="750"/>
      <c r="AF793" s="751"/>
      <c r="AG793" s="751"/>
      <c r="AH793" s="751"/>
      <c r="AI793" s="751"/>
      <c r="AJ793" s="751"/>
      <c r="AK793" s="751"/>
      <c r="AL793" s="751"/>
      <c r="AM793" s="751"/>
      <c r="AN793" s="751"/>
      <c r="AO793" s="751"/>
      <c r="AP793" s="751"/>
      <c r="AQ793" s="751"/>
      <c r="AR793" s="752"/>
      <c r="AS793" s="752"/>
      <c r="AT793" s="752"/>
      <c r="AU793" s="752"/>
      <c r="AV793" s="752"/>
      <c r="AW793" s="752"/>
      <c r="AX793" s="752"/>
    </row>
    <row r="794" spans="1:52" s="812" customFormat="1" ht="12.9" customHeight="1">
      <c r="B794" s="800" t="s">
        <v>4089</v>
      </c>
      <c r="C794" s="801"/>
      <c r="D794" s="863"/>
      <c r="E794" s="864"/>
      <c r="F794" s="863"/>
      <c r="G794" s="865"/>
      <c r="H794" s="865"/>
      <c r="I794" s="865"/>
      <c r="J794" s="865"/>
      <c r="K794" s="865"/>
      <c r="L794" s="865"/>
      <c r="M794" s="865"/>
      <c r="N794" s="865"/>
      <c r="O794" s="865"/>
      <c r="P794" s="865"/>
      <c r="Q794" s="865"/>
      <c r="R794" s="865"/>
      <c r="S794" s="865"/>
      <c r="T794" s="865"/>
      <c r="U794" s="865"/>
      <c r="V794" s="865"/>
      <c r="W794" s="865"/>
      <c r="X794" s="865"/>
      <c r="Y794" s="865"/>
      <c r="Z794" s="865"/>
      <c r="AA794" s="865"/>
      <c r="AB794" s="865"/>
      <c r="AC794" s="865"/>
      <c r="AD794" s="806" t="s">
        <v>584</v>
      </c>
      <c r="AE794" s="750"/>
      <c r="AF794" s="751"/>
      <c r="AG794" s="751"/>
      <c r="AH794" s="751"/>
      <c r="AI794" s="751"/>
      <c r="AJ794" s="751"/>
      <c r="AK794" s="751"/>
      <c r="AL794" s="751"/>
      <c r="AM794" s="751"/>
      <c r="AN794" s="751"/>
      <c r="AO794" s="751"/>
      <c r="AP794" s="751"/>
      <c r="AQ794" s="751"/>
      <c r="AR794" s="752"/>
      <c r="AS794" s="752"/>
      <c r="AT794" s="752"/>
      <c r="AU794" s="752"/>
      <c r="AV794" s="752"/>
      <c r="AW794" s="752"/>
      <c r="AX794" s="752"/>
      <c r="AY794" s="753"/>
      <c r="AZ794" s="770"/>
    </row>
    <row r="795" spans="1:52" s="812" customFormat="1" ht="12.9" customHeight="1">
      <c r="B795" s="866"/>
      <c r="C795" s="808">
        <v>27</v>
      </c>
      <c r="D795" s="753" t="s">
        <v>4058</v>
      </c>
      <c r="E795" s="828"/>
      <c r="F795" s="828"/>
      <c r="G795" s="809"/>
      <c r="H795" s="809"/>
      <c r="I795" s="809"/>
      <c r="J795" s="809"/>
      <c r="K795" s="809"/>
      <c r="L795" s="809"/>
      <c r="M795" s="809"/>
      <c r="N795" s="828"/>
      <c r="O795" s="828"/>
      <c r="P795" s="828"/>
      <c r="Q795" s="828"/>
      <c r="Z795" s="818"/>
      <c r="AE795" s="750"/>
      <c r="AF795" s="751"/>
      <c r="AG795" s="751"/>
      <c r="AH795" s="751"/>
      <c r="AI795" s="751"/>
      <c r="AJ795" s="751"/>
      <c r="AK795" s="751"/>
      <c r="AL795" s="751"/>
      <c r="AM795" s="751"/>
      <c r="AN795" s="751"/>
      <c r="AO795" s="751"/>
      <c r="AP795" s="751"/>
      <c r="AQ795" s="751"/>
      <c r="AR795" s="751"/>
      <c r="AS795" s="751"/>
      <c r="AT795" s="751"/>
      <c r="AU795" s="751"/>
      <c r="AV795" s="751"/>
      <c r="AW795" s="751"/>
      <c r="AX795" s="752"/>
      <c r="AY795" s="753"/>
      <c r="AZ795" s="770"/>
    </row>
    <row r="796" spans="1:52" s="770" customFormat="1" ht="12" customHeight="1">
      <c r="A796" s="753"/>
      <c r="B796" s="810"/>
      <c r="C796" s="797"/>
      <c r="D796" s="922" t="s">
        <v>4043</v>
      </c>
      <c r="E796" s="809"/>
      <c r="F796" s="753"/>
      <c r="G796" s="753"/>
      <c r="H796" s="753"/>
      <c r="I796" s="753"/>
      <c r="J796" s="753"/>
      <c r="K796" s="753"/>
      <c r="L796" s="753"/>
      <c r="M796" s="753"/>
      <c r="N796" s="753"/>
      <c r="O796" s="753"/>
      <c r="P796" s="753"/>
      <c r="Q796" s="753"/>
      <c r="R796" s="753"/>
      <c r="S796" s="753"/>
      <c r="T796" s="753"/>
      <c r="U796" s="753"/>
      <c r="V796" s="753"/>
      <c r="W796" s="753"/>
      <c r="X796" s="753"/>
      <c r="Y796" s="753"/>
      <c r="Z796" s="753"/>
      <c r="AA796" s="753"/>
      <c r="AB796" s="753"/>
      <c r="AC796" s="753"/>
      <c r="AD796" s="753"/>
      <c r="AE796" s="750"/>
      <c r="AF796" s="751"/>
      <c r="AG796" s="751"/>
      <c r="AH796" s="751"/>
      <c r="AI796" s="751"/>
      <c r="AJ796" s="751"/>
      <c r="AK796" s="751"/>
      <c r="AL796" s="751"/>
      <c r="AM796" s="751"/>
      <c r="AN796" s="751"/>
      <c r="AO796" s="751"/>
      <c r="AP796" s="751"/>
      <c r="AQ796" s="751"/>
      <c r="AR796" s="751"/>
      <c r="AS796" s="751"/>
      <c r="AT796" s="751"/>
      <c r="AU796" s="751"/>
      <c r="AV796" s="751"/>
      <c r="AW796" s="751"/>
      <c r="AX796" s="752"/>
      <c r="AY796" s="753"/>
    </row>
    <row r="797" spans="1:52" s="770" customFormat="1" ht="12" customHeight="1">
      <c r="A797" s="753"/>
      <c r="B797" s="810"/>
      <c r="C797" s="797"/>
      <c r="D797" s="753"/>
      <c r="E797" s="809"/>
      <c r="F797" s="753"/>
      <c r="G797" s="817"/>
      <c r="H797" s="817"/>
      <c r="I797" s="817"/>
      <c r="J797" s="817"/>
      <c r="K797" s="817"/>
      <c r="L797" s="817"/>
      <c r="M797" s="817"/>
      <c r="N797" s="817"/>
      <c r="O797" s="753"/>
      <c r="P797" s="753"/>
      <c r="Q797" s="753"/>
      <c r="R797" s="753"/>
      <c r="S797" s="753"/>
      <c r="T797" s="753"/>
      <c r="U797" s="753"/>
      <c r="V797" s="753"/>
      <c r="W797" s="753"/>
      <c r="X797" s="753"/>
      <c r="Y797" s="753"/>
      <c r="Z797" s="753"/>
      <c r="AA797" s="753"/>
      <c r="AB797" s="753"/>
      <c r="AC797" s="753"/>
      <c r="AD797" s="753"/>
      <c r="AE797" s="750"/>
      <c r="AF797" s="751"/>
      <c r="AG797" s="751"/>
      <c r="AH797" s="751"/>
      <c r="AI797" s="751"/>
      <c r="AJ797" s="751"/>
      <c r="AK797" s="751"/>
      <c r="AL797" s="751"/>
      <c r="AM797" s="751"/>
      <c r="AN797" s="751"/>
      <c r="AO797" s="751"/>
      <c r="AP797" s="751"/>
      <c r="AQ797" s="751"/>
      <c r="AR797" s="751"/>
      <c r="AS797" s="751"/>
      <c r="AT797" s="751"/>
      <c r="AU797" s="751"/>
      <c r="AV797" s="751"/>
      <c r="AW797" s="751"/>
      <c r="AX797" s="752"/>
      <c r="AY797" s="753"/>
    </row>
    <row r="798" spans="1:52" s="770" customFormat="1" ht="12" customHeight="1">
      <c r="A798" s="753"/>
      <c r="B798" s="810"/>
      <c r="C798" s="797"/>
      <c r="D798" s="851" t="s">
        <v>4059</v>
      </c>
      <c r="E798" s="809"/>
      <c r="F798" s="753"/>
      <c r="G798" s="817"/>
      <c r="H798" s="817"/>
      <c r="I798" s="817"/>
      <c r="J798" s="817"/>
      <c r="K798" s="817"/>
      <c r="L798" s="817"/>
      <c r="M798" s="817"/>
      <c r="N798" s="817"/>
      <c r="O798" s="753"/>
      <c r="P798" s="753"/>
      <c r="Q798" s="753"/>
      <c r="R798" s="753"/>
      <c r="S798" s="753"/>
      <c r="T798" s="753"/>
      <c r="U798" s="753"/>
      <c r="V798" s="753"/>
      <c r="W798" s="753"/>
      <c r="X798" s="753"/>
      <c r="Y798" s="753"/>
      <c r="Z798" s="753"/>
      <c r="AA798" s="753"/>
      <c r="AB798" s="753"/>
      <c r="AC798" s="753"/>
      <c r="AD798" s="753"/>
      <c r="AE798" s="750"/>
      <c r="AF798" s="751"/>
      <c r="AG798" s="751"/>
      <c r="AH798" s="751"/>
      <c r="AI798" s="751"/>
      <c r="AJ798" s="751"/>
      <c r="AK798" s="751"/>
      <c r="AL798" s="751"/>
      <c r="AM798" s="751"/>
      <c r="AN798" s="751"/>
      <c r="AO798" s="751"/>
      <c r="AP798" s="751"/>
      <c r="AQ798" s="751"/>
      <c r="AR798" s="751"/>
      <c r="AS798" s="751"/>
      <c r="AT798" s="751"/>
      <c r="AU798" s="751"/>
      <c r="AV798" s="751"/>
      <c r="AW798" s="751"/>
      <c r="AX798" s="752"/>
      <c r="AY798" s="753"/>
    </row>
    <row r="799" spans="1:52" s="770" customFormat="1" ht="12" customHeight="1">
      <c r="A799" s="753"/>
      <c r="B799" s="810"/>
      <c r="C799" s="797"/>
      <c r="D799" s="851"/>
      <c r="E799" s="809"/>
      <c r="F799" s="753"/>
      <c r="G799" s="817"/>
      <c r="H799" s="817"/>
      <c r="I799" s="817"/>
      <c r="J799" s="817"/>
      <c r="K799" s="817"/>
      <c r="L799" s="817"/>
      <c r="M799" s="817"/>
      <c r="N799" s="817"/>
      <c r="O799" s="753"/>
      <c r="P799" s="753"/>
      <c r="Q799" s="753"/>
      <c r="R799" s="753"/>
      <c r="S799" s="753"/>
      <c r="T799" s="753"/>
      <c r="U799" s="753"/>
      <c r="V799" s="753"/>
      <c r="W799" s="753"/>
      <c r="X799" s="753"/>
      <c r="Y799" s="753"/>
      <c r="Z799" s="753"/>
      <c r="AA799" s="753"/>
      <c r="AB799" s="753"/>
      <c r="AC799" s="753"/>
      <c r="AD799" s="753"/>
      <c r="AE799" s="750"/>
      <c r="AF799" s="751"/>
      <c r="AG799" s="751"/>
      <c r="AH799" s="751"/>
      <c r="AI799" s="751"/>
      <c r="AJ799" s="751"/>
      <c r="AK799" s="751"/>
      <c r="AL799" s="751"/>
      <c r="AM799" s="751"/>
      <c r="AN799" s="751"/>
      <c r="AO799" s="751"/>
      <c r="AP799" s="751"/>
      <c r="AQ799" s="751"/>
      <c r="AR799" s="751"/>
      <c r="AS799" s="751"/>
      <c r="AT799" s="751"/>
      <c r="AU799" s="751"/>
      <c r="AV799" s="751"/>
      <c r="AW799" s="751"/>
      <c r="AX799" s="752"/>
      <c r="AY799" s="753"/>
    </row>
    <row r="800" spans="1:52" s="770" customFormat="1" ht="12" customHeight="1">
      <c r="A800" s="753"/>
      <c r="B800" s="810"/>
      <c r="C800" s="835"/>
      <c r="D800" s="753"/>
      <c r="E800" s="852"/>
      <c r="G800" s="853">
        <v>1</v>
      </c>
      <c r="H800" s="853">
        <v>2</v>
      </c>
      <c r="I800" s="853">
        <v>3</v>
      </c>
      <c r="J800" s="853">
        <v>4</v>
      </c>
      <c r="K800" s="853">
        <v>5</v>
      </c>
      <c r="L800" s="817"/>
      <c r="M800" s="817"/>
      <c r="N800" s="817"/>
      <c r="O800" s="825"/>
      <c r="P800" s="825"/>
      <c r="Q800" s="825"/>
      <c r="R800" s="825"/>
      <c r="S800" s="825"/>
      <c r="T800" s="825"/>
      <c r="U800" s="825"/>
      <c r="V800" s="825"/>
      <c r="W800" s="825"/>
      <c r="X800" s="825"/>
      <c r="Y800" s="825"/>
      <c r="Z800" s="825"/>
      <c r="AA800" s="825"/>
      <c r="AB800" s="825"/>
      <c r="AC800" s="825"/>
      <c r="AD800" s="799"/>
      <c r="AE800" s="750"/>
      <c r="AF800" s="751"/>
      <c r="AG800" s="751"/>
      <c r="AH800" s="751"/>
      <c r="AI800" s="751"/>
      <c r="AJ800" s="751"/>
      <c r="AK800" s="751"/>
      <c r="AL800" s="751"/>
      <c r="AM800" s="751"/>
      <c r="AN800" s="751"/>
      <c r="AO800" s="751"/>
      <c r="AP800" s="751"/>
      <c r="AQ800" s="751"/>
      <c r="AR800" s="752"/>
      <c r="AS800" s="752"/>
      <c r="AT800" s="752"/>
      <c r="AU800" s="752"/>
      <c r="AV800" s="752"/>
      <c r="AW800" s="752"/>
      <c r="AX800" s="752"/>
      <c r="AY800" s="753"/>
    </row>
    <row r="801" spans="1:52" s="770" customFormat="1" ht="78" customHeight="1">
      <c r="A801" s="753"/>
      <c r="B801" s="810"/>
      <c r="C801" s="811"/>
      <c r="D801" s="811"/>
      <c r="E801" s="852"/>
      <c r="G801" s="855" t="s">
        <v>4030</v>
      </c>
      <c r="H801" s="855" t="s">
        <v>4031</v>
      </c>
      <c r="I801" s="855" t="s">
        <v>4032</v>
      </c>
      <c r="J801" s="855" t="s">
        <v>4033</v>
      </c>
      <c r="K801" s="855" t="s">
        <v>4034</v>
      </c>
      <c r="L801" s="927"/>
      <c r="M801" s="927"/>
      <c r="N801" s="927"/>
      <c r="O801" s="825"/>
      <c r="P801" s="825"/>
      <c r="Q801" s="825"/>
      <c r="R801" s="825"/>
      <c r="S801" s="825"/>
      <c r="T801" s="825"/>
      <c r="U801" s="825"/>
      <c r="V801" s="825"/>
      <c r="W801" s="825"/>
      <c r="X801" s="825"/>
      <c r="Y801" s="825"/>
      <c r="Z801" s="825"/>
      <c r="AA801" s="825"/>
      <c r="AB801" s="825"/>
      <c r="AC801" s="825"/>
      <c r="AD801" s="799"/>
      <c r="AE801" s="750"/>
      <c r="AF801" s="751"/>
      <c r="AG801" s="856"/>
      <c r="AH801" s="856"/>
      <c r="AI801" s="751"/>
      <c r="AJ801" s="751"/>
      <c r="AK801" s="751"/>
      <c r="AL801" s="751"/>
      <c r="AM801" s="751"/>
      <c r="AN801" s="751"/>
      <c r="AO801" s="751"/>
      <c r="AP801" s="751"/>
      <c r="AQ801" s="751"/>
      <c r="AR801" s="752"/>
      <c r="AS801" s="752"/>
      <c r="AT801" s="752"/>
      <c r="AU801" s="752"/>
      <c r="AV801" s="752"/>
      <c r="AW801" s="752"/>
      <c r="AX801" s="752"/>
      <c r="AY801" s="753"/>
    </row>
    <row r="802" spans="1:52" s="770" customFormat="1" ht="19.5" customHeight="1">
      <c r="A802" s="753"/>
      <c r="B802" s="810"/>
      <c r="C802" s="859"/>
      <c r="D802" s="749"/>
      <c r="E802" s="825"/>
      <c r="F802" s="928" t="s">
        <v>4035</v>
      </c>
      <c r="G802" s="759" t="s">
        <v>4036</v>
      </c>
      <c r="H802" s="759"/>
      <c r="I802" s="759"/>
      <c r="J802" s="759"/>
      <c r="K802" s="759" t="s">
        <v>4037</v>
      </c>
      <c r="L802" s="929" t="s">
        <v>4038</v>
      </c>
      <c r="M802" s="825"/>
      <c r="N802" s="825"/>
      <c r="O802" s="825"/>
      <c r="P802" s="825"/>
      <c r="Q802" s="825"/>
      <c r="R802" s="825"/>
      <c r="S802" s="825"/>
      <c r="T802" s="825"/>
      <c r="U802" s="825"/>
      <c r="V802" s="825"/>
      <c r="W802" s="825"/>
      <c r="X802" s="825"/>
      <c r="Y802" s="825"/>
      <c r="Z802" s="825"/>
      <c r="AA802" s="825"/>
      <c r="AB802" s="825"/>
      <c r="AC802" s="825"/>
      <c r="AD802" s="799"/>
      <c r="AE802" s="750"/>
      <c r="AF802" s="751"/>
      <c r="AG802" s="751"/>
      <c r="AH802" s="751"/>
      <c r="AI802" s="751"/>
      <c r="AJ802" s="751"/>
      <c r="AK802" s="751"/>
      <c r="AL802" s="751"/>
      <c r="AM802" s="751"/>
      <c r="AN802" s="751"/>
      <c r="AO802" s="751"/>
      <c r="AP802" s="751"/>
      <c r="AQ802" s="751"/>
      <c r="AR802" s="752"/>
      <c r="AS802" s="752"/>
      <c r="AT802" s="752"/>
      <c r="AU802" s="752"/>
      <c r="AV802" s="752"/>
      <c r="AW802" s="752"/>
      <c r="AX802" s="752"/>
      <c r="AY802" s="753"/>
    </row>
    <row r="803" spans="1:52" s="770" customFormat="1" ht="33.9" customHeight="1">
      <c r="A803" s="753"/>
      <c r="B803" s="810"/>
      <c r="C803" s="859"/>
      <c r="D803" s="749"/>
      <c r="E803" s="860">
        <v>1</v>
      </c>
      <c r="F803" s="930" t="s">
        <v>4060</v>
      </c>
      <c r="G803" s="759" t="s">
        <v>3809</v>
      </c>
      <c r="H803" s="759" t="s">
        <v>3809</v>
      </c>
      <c r="I803" s="759" t="s">
        <v>3809</v>
      </c>
      <c r="J803" s="759" t="s">
        <v>3809</v>
      </c>
      <c r="K803" s="759" t="s">
        <v>3809</v>
      </c>
      <c r="L803" s="950" t="s">
        <v>4061</v>
      </c>
      <c r="M803" s="950"/>
      <c r="N803" s="950"/>
      <c r="O803" s="950"/>
      <c r="P803" s="950"/>
      <c r="Q803" s="950"/>
      <c r="R803" s="950"/>
      <c r="S803" s="950"/>
      <c r="T803" s="950"/>
      <c r="U803" s="825"/>
      <c r="V803" s="825"/>
      <c r="W803" s="825"/>
      <c r="X803" s="825"/>
      <c r="Y803" s="825"/>
      <c r="Z803" s="825"/>
      <c r="AA803" s="825"/>
      <c r="AB803" s="825"/>
      <c r="AC803" s="825"/>
      <c r="AD803" s="799"/>
      <c r="AE803" s="750"/>
      <c r="AF803" s="751"/>
      <c r="AG803" s="751"/>
      <c r="AH803" s="751"/>
      <c r="AI803" s="751"/>
      <c r="AJ803" s="751"/>
      <c r="AK803" s="751"/>
      <c r="AL803" s="751"/>
      <c r="AM803" s="751"/>
      <c r="AN803" s="751"/>
      <c r="AO803" s="751"/>
      <c r="AP803" s="751"/>
      <c r="AQ803" s="751"/>
      <c r="AR803" s="752"/>
      <c r="AS803" s="752"/>
      <c r="AT803" s="752"/>
      <c r="AU803" s="752"/>
      <c r="AV803" s="752"/>
      <c r="AW803" s="752"/>
      <c r="AX803" s="752"/>
      <c r="AY803" s="753"/>
    </row>
    <row r="804" spans="1:52" s="770" customFormat="1" ht="33.9" customHeight="1">
      <c r="A804" s="753"/>
      <c r="B804" s="810"/>
      <c r="C804" s="859"/>
      <c r="D804" s="749"/>
      <c r="E804" s="860">
        <v>2</v>
      </c>
      <c r="F804" s="930" t="s">
        <v>4096</v>
      </c>
      <c r="G804" s="759" t="s">
        <v>3809</v>
      </c>
      <c r="H804" s="759" t="s">
        <v>3809</v>
      </c>
      <c r="I804" s="759" t="s">
        <v>3809</v>
      </c>
      <c r="J804" s="759" t="s">
        <v>3809</v>
      </c>
      <c r="K804" s="759" t="s">
        <v>3809</v>
      </c>
      <c r="L804" s="950" t="s">
        <v>4097</v>
      </c>
      <c r="M804" s="950"/>
      <c r="N804" s="950"/>
      <c r="O804" s="950"/>
      <c r="P804" s="950"/>
      <c r="Q804" s="950"/>
      <c r="R804" s="950"/>
      <c r="S804" s="950"/>
      <c r="T804" s="950"/>
      <c r="U804" s="825"/>
      <c r="V804" s="825"/>
      <c r="W804" s="825"/>
      <c r="X804" s="825"/>
      <c r="Y804" s="825"/>
      <c r="Z804" s="825"/>
      <c r="AA804" s="825"/>
      <c r="AB804" s="825"/>
      <c r="AC804" s="825"/>
      <c r="AD804" s="799"/>
      <c r="AE804" s="750"/>
      <c r="AF804" s="751"/>
      <c r="AG804" s="751"/>
      <c r="AH804" s="751"/>
      <c r="AI804" s="751"/>
      <c r="AJ804" s="751"/>
      <c r="AK804" s="751"/>
      <c r="AL804" s="751"/>
      <c r="AM804" s="751"/>
      <c r="AN804" s="751"/>
      <c r="AO804" s="751"/>
      <c r="AP804" s="751"/>
      <c r="AQ804" s="751"/>
      <c r="AR804" s="752"/>
      <c r="AS804" s="752"/>
      <c r="AT804" s="752"/>
      <c r="AU804" s="752"/>
      <c r="AV804" s="752"/>
      <c r="AW804" s="752"/>
      <c r="AX804" s="752"/>
      <c r="AY804" s="753"/>
    </row>
    <row r="805" spans="1:52" s="869" customFormat="1" ht="12.9" customHeight="1">
      <c r="B805" s="870"/>
      <c r="C805" s="748"/>
      <c r="D805" s="759"/>
      <c r="E805" s="923"/>
      <c r="F805" s="925"/>
      <c r="G805" s="925"/>
      <c r="H805" s="873"/>
      <c r="I805" s="817"/>
      <c r="J805" s="817"/>
      <c r="K805" s="817"/>
      <c r="L805" s="817"/>
      <c r="M805" s="817"/>
      <c r="N805" s="760"/>
      <c r="O805" s="872"/>
      <c r="P805" s="872"/>
      <c r="AE805" s="750"/>
      <c r="AF805" s="751"/>
      <c r="AG805" s="751"/>
      <c r="AH805" s="751"/>
      <c r="AI805" s="751"/>
      <c r="AJ805" s="751"/>
      <c r="AK805" s="751"/>
      <c r="AL805" s="751"/>
      <c r="AM805" s="751"/>
      <c r="AN805" s="751"/>
      <c r="AO805" s="751"/>
      <c r="AP805" s="751"/>
      <c r="AQ805" s="751"/>
      <c r="AR805" s="752"/>
      <c r="AS805" s="752"/>
      <c r="AT805" s="752"/>
      <c r="AU805" s="752"/>
      <c r="AV805" s="752"/>
      <c r="AW805" s="752"/>
      <c r="AX805" s="752"/>
      <c r="AY805" s="753"/>
      <c r="AZ805" s="770"/>
    </row>
    <row r="806" spans="1:52" s="770" customFormat="1" ht="12" customHeight="1">
      <c r="A806" s="753"/>
      <c r="B806" s="810"/>
      <c r="C806" s="811"/>
      <c r="D806" s="759"/>
      <c r="E806" s="849"/>
      <c r="F806" s="926"/>
      <c r="G806" s="926"/>
      <c r="H806" s="871"/>
      <c r="I806" s="817"/>
      <c r="J806" s="817"/>
      <c r="K806" s="817"/>
      <c r="L806" s="817"/>
      <c r="M806" s="817"/>
      <c r="N806" s="753"/>
      <c r="O806" s="753"/>
      <c r="P806" s="753"/>
      <c r="Q806" s="753"/>
      <c r="R806" s="753"/>
      <c r="S806" s="753"/>
      <c r="T806" s="753"/>
      <c r="U806" s="753"/>
      <c r="V806" s="753"/>
      <c r="W806" s="753"/>
      <c r="X806" s="753"/>
      <c r="Y806" s="753"/>
      <c r="Z806" s="753"/>
      <c r="AA806" s="753"/>
      <c r="AB806" s="753"/>
      <c r="AC806" s="753"/>
      <c r="AD806" s="799"/>
      <c r="AE806" s="750"/>
      <c r="AF806" s="751"/>
      <c r="AG806" s="751"/>
      <c r="AH806" s="751"/>
      <c r="AI806" s="751"/>
      <c r="AJ806" s="751"/>
      <c r="AK806" s="751"/>
      <c r="AL806" s="751"/>
      <c r="AM806" s="751"/>
      <c r="AN806" s="751"/>
      <c r="AO806" s="751"/>
      <c r="AP806" s="751"/>
      <c r="AQ806" s="751"/>
      <c r="AR806" s="752"/>
      <c r="AS806" s="752"/>
      <c r="AT806" s="752"/>
      <c r="AU806" s="752"/>
      <c r="AV806" s="752"/>
      <c r="AW806" s="752"/>
      <c r="AX806" s="752"/>
      <c r="AY806" s="753"/>
    </row>
    <row r="807" spans="1:52" s="753" customFormat="1" ht="12" customHeight="1">
      <c r="B807" s="810"/>
      <c r="C807" s="811"/>
      <c r="D807" s="759"/>
      <c r="E807" s="849"/>
      <c r="F807" s="931"/>
      <c r="G807" s="931"/>
      <c r="H807" s="871"/>
      <c r="I807" s="817"/>
      <c r="J807" s="817"/>
      <c r="K807" s="817"/>
      <c r="L807" s="817"/>
      <c r="M807" s="817"/>
      <c r="AD807" s="799"/>
      <c r="AE807" s="750"/>
      <c r="AF807" s="751"/>
      <c r="AG807" s="751"/>
      <c r="AH807" s="751"/>
      <c r="AI807" s="751"/>
      <c r="AJ807" s="751"/>
      <c r="AK807" s="751"/>
      <c r="AL807" s="751"/>
      <c r="AM807" s="751"/>
      <c r="AN807" s="751"/>
      <c r="AO807" s="751"/>
      <c r="AP807" s="751"/>
      <c r="AQ807" s="751"/>
      <c r="AR807" s="752"/>
      <c r="AS807" s="752"/>
      <c r="AT807" s="752"/>
      <c r="AU807" s="752"/>
      <c r="AV807" s="752"/>
      <c r="AW807" s="752"/>
      <c r="AX807" s="752"/>
      <c r="AZ807" s="770"/>
    </row>
    <row r="808" spans="1:52" s="753" customFormat="1" ht="12" customHeight="1">
      <c r="B808" s="810"/>
      <c r="C808" s="811"/>
      <c r="D808" s="759"/>
      <c r="E808" s="849"/>
      <c r="F808" s="931"/>
      <c r="G808" s="931"/>
      <c r="H808" s="871"/>
      <c r="I808" s="817"/>
      <c r="J808" s="817"/>
      <c r="K808" s="817"/>
      <c r="L808" s="817"/>
      <c r="M808" s="817"/>
      <c r="AD808" s="799"/>
      <c r="AE808" s="750"/>
      <c r="AF808" s="751"/>
      <c r="AG808" s="751"/>
      <c r="AH808" s="751"/>
      <c r="AI808" s="751"/>
      <c r="AJ808" s="751"/>
      <c r="AK808" s="751"/>
      <c r="AL808" s="751"/>
      <c r="AM808" s="751"/>
      <c r="AN808" s="751"/>
      <c r="AO808" s="751"/>
      <c r="AP808" s="751"/>
      <c r="AQ808" s="751"/>
      <c r="AR808" s="752"/>
      <c r="AS808" s="752"/>
      <c r="AT808" s="752"/>
      <c r="AU808" s="752"/>
      <c r="AV808" s="752"/>
      <c r="AW808" s="752"/>
      <c r="AX808" s="752"/>
      <c r="AZ808" s="770"/>
    </row>
    <row r="809" spans="1:52" s="812" customFormat="1" ht="12.9" customHeight="1">
      <c r="B809" s="899" t="s">
        <v>4054</v>
      </c>
      <c r="C809" s="900"/>
      <c r="D809" s="901"/>
      <c r="E809" s="902"/>
      <c r="F809" s="901"/>
      <c r="G809" s="903"/>
      <c r="H809" s="903"/>
      <c r="I809" s="903"/>
      <c r="J809" s="903"/>
      <c r="K809" s="903"/>
      <c r="L809" s="903"/>
      <c r="M809" s="903"/>
      <c r="N809" s="903"/>
      <c r="O809" s="903"/>
      <c r="P809" s="903"/>
      <c r="Q809" s="903"/>
      <c r="R809" s="903"/>
      <c r="S809" s="903"/>
      <c r="T809" s="903"/>
      <c r="U809" s="903"/>
      <c r="V809" s="903"/>
      <c r="W809" s="903"/>
      <c r="X809" s="903"/>
      <c r="Y809" s="903"/>
      <c r="Z809" s="903"/>
      <c r="AA809" s="903"/>
      <c r="AB809" s="903"/>
      <c r="AC809" s="903"/>
      <c r="AD809" s="904"/>
      <c r="AE809" s="750"/>
      <c r="AF809" s="751"/>
      <c r="AG809" s="751"/>
      <c r="AH809" s="751"/>
      <c r="AI809" s="751"/>
      <c r="AJ809" s="751"/>
      <c r="AK809" s="751"/>
      <c r="AL809" s="751"/>
      <c r="AM809" s="751"/>
      <c r="AN809" s="751"/>
      <c r="AO809" s="751"/>
      <c r="AP809" s="751"/>
      <c r="AQ809" s="751"/>
      <c r="AR809" s="752"/>
      <c r="AS809" s="752"/>
      <c r="AT809" s="752"/>
      <c r="AU809" s="752"/>
      <c r="AV809" s="752"/>
      <c r="AW809" s="752"/>
      <c r="AX809" s="752"/>
      <c r="AY809" s="753"/>
      <c r="AZ809" s="770"/>
    </row>
    <row r="810" spans="1:52" s="812" customFormat="1" ht="12.9" customHeight="1">
      <c r="B810" s="901" t="s">
        <v>4018</v>
      </c>
      <c r="C810" s="900"/>
      <c r="D810" s="901"/>
      <c r="E810" s="902"/>
      <c r="F810" s="901"/>
      <c r="G810" s="903"/>
      <c r="H810" s="903"/>
      <c r="I810" s="903"/>
      <c r="J810" s="903"/>
      <c r="K810" s="903"/>
      <c r="L810" s="903"/>
      <c r="M810" s="903"/>
      <c r="N810" s="903"/>
      <c r="O810" s="903"/>
      <c r="P810" s="903"/>
      <c r="Q810" s="903"/>
      <c r="R810" s="903"/>
      <c r="S810" s="903"/>
      <c r="T810" s="903"/>
      <c r="U810" s="903"/>
      <c r="V810" s="903"/>
      <c r="W810" s="903"/>
      <c r="X810" s="903"/>
      <c r="Y810" s="903"/>
      <c r="Z810" s="903"/>
      <c r="AA810" s="903"/>
      <c r="AB810" s="903"/>
      <c r="AC810" s="903"/>
      <c r="AD810" s="904"/>
      <c r="AE810" s="750"/>
      <c r="AF810" s="751"/>
      <c r="AG810" s="751"/>
      <c r="AH810" s="751"/>
      <c r="AI810" s="751"/>
      <c r="AJ810" s="751"/>
      <c r="AK810" s="751"/>
      <c r="AL810" s="751"/>
      <c r="AM810" s="751"/>
      <c r="AN810" s="751"/>
      <c r="AO810" s="751"/>
      <c r="AP810" s="751"/>
      <c r="AQ810" s="751"/>
      <c r="AR810" s="752"/>
      <c r="AS810" s="752"/>
      <c r="AT810" s="752"/>
      <c r="AU810" s="752"/>
      <c r="AV810" s="752"/>
      <c r="AW810" s="752"/>
      <c r="AX810" s="752"/>
      <c r="AY810" s="753"/>
      <c r="AZ810" s="770"/>
    </row>
    <row r="811" spans="1:52" s="753" customFormat="1" ht="12" customHeight="1">
      <c r="B811" s="810"/>
      <c r="C811" s="797"/>
      <c r="E811" s="809"/>
      <c r="G811" s="817"/>
      <c r="H811" s="817"/>
      <c r="I811" s="817"/>
      <c r="J811" s="817"/>
      <c r="K811" s="817"/>
      <c r="L811" s="817"/>
      <c r="M811" s="817"/>
      <c r="N811" s="817"/>
      <c r="AE811" s="750"/>
      <c r="AF811" s="751"/>
      <c r="AG811" s="751"/>
      <c r="AH811" s="751"/>
      <c r="AI811" s="751"/>
      <c r="AJ811" s="751"/>
      <c r="AK811" s="751"/>
      <c r="AL811" s="751"/>
      <c r="AM811" s="751"/>
      <c r="AN811" s="751"/>
      <c r="AO811" s="751"/>
      <c r="AP811" s="751"/>
      <c r="AQ811" s="751"/>
      <c r="AR811" s="751"/>
      <c r="AS811" s="751"/>
      <c r="AT811" s="751"/>
      <c r="AU811" s="751"/>
      <c r="AV811" s="751"/>
      <c r="AW811" s="751"/>
      <c r="AX811" s="752"/>
    </row>
    <row r="812" spans="1:52" s="753" customFormat="1" ht="12" customHeight="1">
      <c r="B812" s="810"/>
      <c r="C812" s="797"/>
      <c r="E812" s="809"/>
      <c r="G812" s="817"/>
      <c r="H812" s="817"/>
      <c r="I812" s="817"/>
      <c r="J812" s="817"/>
      <c r="K812" s="817"/>
      <c r="L812" s="817"/>
      <c r="M812" s="817"/>
      <c r="N812" s="817"/>
      <c r="AE812" s="750"/>
      <c r="AF812" s="751"/>
      <c r="AG812" s="751"/>
      <c r="AH812" s="751"/>
      <c r="AI812" s="751"/>
      <c r="AJ812" s="751"/>
      <c r="AK812" s="751"/>
      <c r="AL812" s="751"/>
      <c r="AM812" s="751"/>
      <c r="AN812" s="751"/>
      <c r="AO812" s="751"/>
      <c r="AP812" s="751"/>
      <c r="AQ812" s="751"/>
      <c r="AR812" s="751"/>
      <c r="AS812" s="751"/>
      <c r="AT812" s="751"/>
      <c r="AU812" s="751"/>
      <c r="AV812" s="751"/>
      <c r="AW812" s="751"/>
      <c r="AX812" s="752"/>
    </row>
    <row r="813" spans="1:52" s="753" customFormat="1" ht="12" customHeight="1">
      <c r="B813" s="810"/>
      <c r="C813" s="797"/>
      <c r="E813" s="809"/>
      <c r="G813" s="817"/>
      <c r="H813" s="817"/>
      <c r="I813" s="817"/>
      <c r="J813" s="817"/>
      <c r="K813" s="817"/>
      <c r="L813" s="817"/>
      <c r="M813" s="817"/>
      <c r="N813" s="817"/>
      <c r="AE813" s="750"/>
      <c r="AF813" s="751"/>
      <c r="AG813" s="751"/>
      <c r="AH813" s="751"/>
      <c r="AI813" s="751"/>
      <c r="AJ813" s="751"/>
      <c r="AK813" s="751"/>
      <c r="AL813" s="751"/>
      <c r="AM813" s="751"/>
      <c r="AN813" s="751"/>
      <c r="AO813" s="751"/>
      <c r="AP813" s="751"/>
      <c r="AQ813" s="751"/>
      <c r="AR813" s="751"/>
      <c r="AS813" s="751"/>
      <c r="AT813" s="751"/>
      <c r="AU813" s="751"/>
      <c r="AV813" s="751"/>
      <c r="AW813" s="751"/>
      <c r="AX813" s="752"/>
    </row>
    <row r="814" spans="1:52" s="753" customFormat="1" ht="12" customHeight="1">
      <c r="B814" s="810"/>
      <c r="C814" s="797"/>
      <c r="E814" s="809"/>
      <c r="G814" s="817"/>
      <c r="H814" s="817"/>
      <c r="I814" s="817"/>
      <c r="J814" s="817"/>
      <c r="K814" s="817"/>
      <c r="L814" s="817"/>
      <c r="M814" s="817"/>
      <c r="N814" s="817"/>
      <c r="AE814" s="750"/>
      <c r="AF814" s="751"/>
      <c r="AG814" s="751"/>
      <c r="AH814" s="751"/>
      <c r="AI814" s="751"/>
      <c r="AJ814" s="751"/>
      <c r="AK814" s="751"/>
      <c r="AL814" s="751"/>
      <c r="AM814" s="751"/>
      <c r="AN814" s="751"/>
      <c r="AO814" s="751"/>
      <c r="AP814" s="751"/>
      <c r="AQ814" s="751"/>
      <c r="AR814" s="751"/>
      <c r="AS814" s="751"/>
      <c r="AT814" s="751"/>
      <c r="AU814" s="751"/>
      <c r="AV814" s="751"/>
      <c r="AW814" s="751"/>
      <c r="AX814" s="752"/>
    </row>
    <row r="815" spans="1:52" s="753" customFormat="1" ht="12" customHeight="1">
      <c r="B815" s="810"/>
      <c r="C815" s="797"/>
      <c r="E815" s="809"/>
      <c r="G815" s="817"/>
      <c r="H815" s="817"/>
      <c r="I815" s="817"/>
      <c r="J815" s="817"/>
      <c r="K815" s="817"/>
      <c r="L815" s="817"/>
      <c r="M815" s="817"/>
      <c r="N815" s="817"/>
      <c r="AE815" s="750"/>
      <c r="AF815" s="751"/>
      <c r="AG815" s="751"/>
      <c r="AH815" s="751"/>
      <c r="AI815" s="751"/>
      <c r="AJ815" s="751"/>
      <c r="AK815" s="751"/>
      <c r="AL815" s="751"/>
      <c r="AM815" s="751"/>
      <c r="AN815" s="751"/>
      <c r="AO815" s="751"/>
      <c r="AP815" s="751"/>
      <c r="AQ815" s="751"/>
      <c r="AR815" s="751"/>
      <c r="AS815" s="751"/>
      <c r="AT815" s="751"/>
      <c r="AU815" s="751"/>
      <c r="AV815" s="751"/>
      <c r="AW815" s="751"/>
      <c r="AX815" s="752"/>
    </row>
    <row r="816" spans="1:52" s="753" customFormat="1" ht="12" customHeight="1">
      <c r="B816" s="810"/>
      <c r="C816" s="797"/>
      <c r="E816" s="809"/>
      <c r="G816" s="817"/>
      <c r="H816" s="817"/>
      <c r="I816" s="817"/>
      <c r="J816" s="817"/>
      <c r="K816" s="817"/>
      <c r="L816" s="817"/>
      <c r="M816" s="817"/>
      <c r="N816" s="817"/>
      <c r="AE816" s="750"/>
      <c r="AF816" s="751"/>
      <c r="AG816" s="751"/>
      <c r="AH816" s="751"/>
      <c r="AI816" s="751"/>
      <c r="AJ816" s="751"/>
      <c r="AK816" s="751"/>
      <c r="AL816" s="751"/>
      <c r="AM816" s="751"/>
      <c r="AN816" s="751"/>
      <c r="AO816" s="751"/>
      <c r="AP816" s="751"/>
      <c r="AQ816" s="751"/>
      <c r="AR816" s="751"/>
      <c r="AS816" s="751"/>
      <c r="AT816" s="751"/>
      <c r="AU816" s="751"/>
      <c r="AV816" s="751"/>
      <c r="AW816" s="751"/>
      <c r="AX816" s="752"/>
    </row>
    <row r="817" spans="2:50" s="753" customFormat="1" ht="12" customHeight="1">
      <c r="B817" s="810"/>
      <c r="C817" s="797"/>
      <c r="E817" s="809"/>
      <c r="G817" s="817"/>
      <c r="H817" s="817"/>
      <c r="I817" s="817"/>
      <c r="J817" s="817"/>
      <c r="K817" s="817"/>
      <c r="L817" s="817"/>
      <c r="M817" s="817"/>
      <c r="N817" s="817"/>
      <c r="AE817" s="750"/>
      <c r="AF817" s="751"/>
      <c r="AG817" s="751"/>
      <c r="AH817" s="751"/>
      <c r="AI817" s="751"/>
      <c r="AJ817" s="751"/>
      <c r="AK817" s="751"/>
      <c r="AL817" s="751"/>
      <c r="AM817" s="751"/>
      <c r="AN817" s="751"/>
      <c r="AO817" s="751"/>
      <c r="AP817" s="751"/>
      <c r="AQ817" s="751"/>
      <c r="AR817" s="751"/>
      <c r="AS817" s="751"/>
      <c r="AT817" s="751"/>
      <c r="AU817" s="751"/>
      <c r="AV817" s="751"/>
      <c r="AW817" s="751"/>
      <c r="AX817" s="752"/>
    </row>
    <row r="818" spans="2:50" s="753" customFormat="1" ht="12" customHeight="1">
      <c r="B818" s="810"/>
      <c r="C818" s="797"/>
      <c r="E818" s="809"/>
      <c r="G818" s="817"/>
      <c r="H818" s="817"/>
      <c r="I818" s="817"/>
      <c r="J818" s="817"/>
      <c r="K818" s="817"/>
      <c r="L818" s="817"/>
      <c r="M818" s="817"/>
      <c r="N818" s="817"/>
      <c r="AE818" s="750"/>
      <c r="AF818" s="751"/>
      <c r="AG818" s="751"/>
      <c r="AH818" s="751"/>
      <c r="AI818" s="751"/>
      <c r="AJ818" s="751"/>
      <c r="AK818" s="751"/>
      <c r="AL818" s="751"/>
      <c r="AM818" s="751"/>
      <c r="AN818" s="751"/>
      <c r="AO818" s="751"/>
      <c r="AP818" s="751"/>
      <c r="AQ818" s="751"/>
      <c r="AR818" s="751"/>
      <c r="AS818" s="751"/>
      <c r="AT818" s="751"/>
      <c r="AU818" s="751"/>
      <c r="AV818" s="751"/>
      <c r="AW818" s="751"/>
      <c r="AX818" s="752"/>
    </row>
    <row r="819" spans="2:50" s="753" customFormat="1" ht="12" customHeight="1">
      <c r="B819" s="810"/>
      <c r="C819" s="797"/>
      <c r="E819" s="809"/>
      <c r="G819" s="817"/>
      <c r="H819" s="817"/>
      <c r="I819" s="817"/>
      <c r="J819" s="817"/>
      <c r="K819" s="817"/>
      <c r="L819" s="817"/>
      <c r="M819" s="817"/>
      <c r="N819" s="817"/>
      <c r="AE819" s="750"/>
      <c r="AF819" s="751"/>
      <c r="AG819" s="751"/>
      <c r="AH819" s="751"/>
      <c r="AI819" s="751"/>
      <c r="AJ819" s="751"/>
      <c r="AK819" s="751"/>
      <c r="AL819" s="751"/>
      <c r="AM819" s="751"/>
      <c r="AN819" s="751"/>
      <c r="AO819" s="751"/>
      <c r="AP819" s="751"/>
      <c r="AQ819" s="751"/>
      <c r="AR819" s="751"/>
      <c r="AS819" s="751"/>
      <c r="AT819" s="751"/>
      <c r="AU819" s="751"/>
      <c r="AV819" s="751"/>
      <c r="AW819" s="751"/>
      <c r="AX819" s="752"/>
    </row>
    <row r="820" spans="2:50" s="753" customFormat="1" ht="12" customHeight="1">
      <c r="B820" s="810"/>
      <c r="C820" s="797"/>
      <c r="E820" s="809"/>
      <c r="G820" s="817"/>
      <c r="H820" s="817"/>
      <c r="I820" s="817"/>
      <c r="J820" s="817"/>
      <c r="K820" s="817"/>
      <c r="L820" s="817"/>
      <c r="M820" s="817"/>
      <c r="N820" s="817"/>
      <c r="AE820" s="750"/>
      <c r="AF820" s="751"/>
      <c r="AG820" s="751"/>
      <c r="AH820" s="751"/>
      <c r="AI820" s="751"/>
      <c r="AJ820" s="751"/>
      <c r="AK820" s="751"/>
      <c r="AL820" s="751"/>
      <c r="AM820" s="751"/>
      <c r="AN820" s="751"/>
      <c r="AO820" s="751"/>
      <c r="AP820" s="751"/>
      <c r="AQ820" s="751"/>
      <c r="AR820" s="751"/>
      <c r="AS820" s="751"/>
      <c r="AT820" s="751"/>
      <c r="AU820" s="751"/>
      <c r="AV820" s="751"/>
      <c r="AW820" s="751"/>
      <c r="AX820" s="752"/>
    </row>
    <row r="821" spans="2:50" s="753" customFormat="1" ht="12" customHeight="1">
      <c r="B821" s="810"/>
      <c r="C821" s="797"/>
      <c r="E821" s="809"/>
      <c r="G821" s="817"/>
      <c r="H821" s="817"/>
      <c r="I821" s="817"/>
      <c r="J821" s="817"/>
      <c r="K821" s="817"/>
      <c r="L821" s="817"/>
      <c r="M821" s="817"/>
      <c r="N821" s="817"/>
      <c r="AE821" s="750"/>
      <c r="AF821" s="751"/>
      <c r="AG821" s="751"/>
      <c r="AH821" s="751"/>
      <c r="AI821" s="751"/>
      <c r="AJ821" s="751"/>
      <c r="AK821" s="751"/>
      <c r="AL821" s="751"/>
      <c r="AM821" s="751"/>
      <c r="AN821" s="751"/>
      <c r="AO821" s="751"/>
      <c r="AP821" s="751"/>
      <c r="AQ821" s="751"/>
      <c r="AR821" s="751"/>
      <c r="AS821" s="751"/>
      <c r="AT821" s="751"/>
      <c r="AU821" s="751"/>
      <c r="AV821" s="751"/>
      <c r="AW821" s="751"/>
      <c r="AX821" s="752"/>
    </row>
    <row r="822" spans="2:50" s="753" customFormat="1" ht="12" customHeight="1">
      <c r="B822" s="810"/>
      <c r="C822" s="797"/>
      <c r="E822" s="809"/>
      <c r="G822" s="817"/>
      <c r="H822" s="817"/>
      <c r="I822" s="817"/>
      <c r="J822" s="817"/>
      <c r="K822" s="817"/>
      <c r="L822" s="817"/>
      <c r="M822" s="817"/>
      <c r="N822" s="817"/>
      <c r="AE822" s="750"/>
      <c r="AF822" s="751"/>
      <c r="AG822" s="751"/>
      <c r="AH822" s="751"/>
      <c r="AI822" s="751"/>
      <c r="AJ822" s="751"/>
      <c r="AK822" s="751"/>
      <c r="AL822" s="751"/>
      <c r="AM822" s="751"/>
      <c r="AN822" s="751"/>
      <c r="AO822" s="751"/>
      <c r="AP822" s="751"/>
      <c r="AQ822" s="751"/>
      <c r="AR822" s="751"/>
      <c r="AS822" s="751"/>
      <c r="AT822" s="751"/>
      <c r="AU822" s="751"/>
      <c r="AV822" s="751"/>
      <c r="AW822" s="751"/>
      <c r="AX822" s="752"/>
    </row>
    <row r="823" spans="2:50" s="753" customFormat="1" ht="12" customHeight="1">
      <c r="B823" s="810"/>
      <c r="C823" s="797"/>
      <c r="E823" s="809"/>
      <c r="G823" s="817"/>
      <c r="H823" s="817"/>
      <c r="I823" s="817"/>
      <c r="J823" s="817"/>
      <c r="K823" s="817"/>
      <c r="L823" s="817"/>
      <c r="M823" s="817"/>
      <c r="N823" s="817"/>
      <c r="AE823" s="750"/>
      <c r="AF823" s="751"/>
      <c r="AG823" s="751"/>
      <c r="AH823" s="751"/>
      <c r="AI823" s="751"/>
      <c r="AJ823" s="751"/>
      <c r="AK823" s="751"/>
      <c r="AL823" s="751"/>
      <c r="AM823" s="751"/>
      <c r="AN823" s="751"/>
      <c r="AO823" s="751"/>
      <c r="AP823" s="751"/>
      <c r="AQ823" s="751"/>
      <c r="AR823" s="751"/>
      <c r="AS823" s="751"/>
      <c r="AT823" s="751"/>
      <c r="AU823" s="751"/>
      <c r="AV823" s="751"/>
      <c r="AW823" s="751"/>
      <c r="AX823" s="752"/>
    </row>
    <row r="824" spans="2:50" s="753" customFormat="1" ht="12" customHeight="1">
      <c r="B824" s="810"/>
      <c r="C824" s="797"/>
      <c r="E824" s="809"/>
      <c r="G824" s="817"/>
      <c r="H824" s="817"/>
      <c r="I824" s="817"/>
      <c r="J824" s="817"/>
      <c r="K824" s="817"/>
      <c r="L824" s="817"/>
      <c r="M824" s="817"/>
      <c r="N824" s="817"/>
      <c r="AE824" s="750"/>
      <c r="AF824" s="751"/>
      <c r="AG824" s="751"/>
      <c r="AH824" s="751"/>
      <c r="AI824" s="751"/>
      <c r="AJ824" s="751"/>
      <c r="AK824" s="751"/>
      <c r="AL824" s="751"/>
      <c r="AM824" s="751"/>
      <c r="AN824" s="751"/>
      <c r="AO824" s="751"/>
      <c r="AP824" s="751"/>
      <c r="AQ824" s="751"/>
      <c r="AR824" s="751"/>
      <c r="AS824" s="751"/>
      <c r="AT824" s="751"/>
      <c r="AU824" s="751"/>
      <c r="AV824" s="751"/>
      <c r="AW824" s="751"/>
      <c r="AX824" s="752"/>
    </row>
    <row r="825" spans="2:50" s="753" customFormat="1" ht="12" customHeight="1">
      <c r="B825" s="810"/>
      <c r="C825" s="797"/>
      <c r="E825" s="809"/>
      <c r="G825" s="817"/>
      <c r="H825" s="817"/>
      <c r="I825" s="817"/>
      <c r="J825" s="817"/>
      <c r="K825" s="817"/>
      <c r="L825" s="817"/>
      <c r="M825" s="817"/>
      <c r="N825" s="817"/>
      <c r="AE825" s="750"/>
      <c r="AF825" s="751"/>
      <c r="AG825" s="751"/>
      <c r="AH825" s="751"/>
      <c r="AI825" s="751"/>
      <c r="AJ825" s="751"/>
      <c r="AK825" s="751"/>
      <c r="AL825" s="751"/>
      <c r="AM825" s="751"/>
      <c r="AN825" s="751"/>
      <c r="AO825" s="751"/>
      <c r="AP825" s="751"/>
      <c r="AQ825" s="751"/>
      <c r="AR825" s="751"/>
      <c r="AS825" s="751"/>
      <c r="AT825" s="751"/>
      <c r="AU825" s="751"/>
      <c r="AV825" s="751"/>
      <c r="AW825" s="751"/>
      <c r="AX825" s="752"/>
    </row>
    <row r="826" spans="2:50" s="753" customFormat="1" ht="12" customHeight="1">
      <c r="B826" s="810"/>
      <c r="C826" s="797"/>
      <c r="E826" s="809"/>
      <c r="G826" s="817"/>
      <c r="H826" s="817"/>
      <c r="I826" s="817"/>
      <c r="J826" s="817"/>
      <c r="K826" s="817"/>
      <c r="L826" s="817"/>
      <c r="M826" s="817"/>
      <c r="N826" s="817"/>
      <c r="AE826" s="750"/>
      <c r="AF826" s="751"/>
      <c r="AG826" s="751"/>
      <c r="AH826" s="751"/>
      <c r="AI826" s="751"/>
      <c r="AJ826" s="751"/>
      <c r="AK826" s="751"/>
      <c r="AL826" s="751"/>
      <c r="AM826" s="751"/>
      <c r="AN826" s="751"/>
      <c r="AO826" s="751"/>
      <c r="AP826" s="751"/>
      <c r="AQ826" s="751"/>
      <c r="AR826" s="751"/>
      <c r="AS826" s="751"/>
      <c r="AT826" s="751"/>
      <c r="AU826" s="751"/>
      <c r="AV826" s="751"/>
      <c r="AW826" s="751"/>
      <c r="AX826" s="752"/>
    </row>
    <row r="827" spans="2:50" s="753" customFormat="1" ht="12" customHeight="1">
      <c r="B827" s="810"/>
      <c r="C827" s="797"/>
      <c r="E827" s="809"/>
      <c r="G827" s="817"/>
      <c r="H827" s="817"/>
      <c r="I827" s="817"/>
      <c r="J827" s="817"/>
      <c r="K827" s="817"/>
      <c r="L827" s="817"/>
      <c r="M827" s="817"/>
      <c r="N827" s="817"/>
      <c r="AE827" s="750"/>
      <c r="AF827" s="751"/>
      <c r="AG827" s="751"/>
      <c r="AH827" s="751"/>
      <c r="AI827" s="751"/>
      <c r="AJ827" s="751"/>
      <c r="AK827" s="751"/>
      <c r="AL827" s="751"/>
      <c r="AM827" s="751"/>
      <c r="AN827" s="751"/>
      <c r="AO827" s="751"/>
      <c r="AP827" s="751"/>
      <c r="AQ827" s="751"/>
      <c r="AR827" s="751"/>
      <c r="AS827" s="751"/>
      <c r="AT827" s="751"/>
      <c r="AU827" s="751"/>
      <c r="AV827" s="751"/>
      <c r="AW827" s="751"/>
      <c r="AX827" s="752"/>
    </row>
    <row r="828" spans="2:50" s="753" customFormat="1" ht="12" customHeight="1">
      <c r="B828" s="810"/>
      <c r="C828" s="797"/>
      <c r="E828" s="809"/>
      <c r="G828" s="817"/>
      <c r="H828" s="817"/>
      <c r="I828" s="817"/>
      <c r="J828" s="817"/>
      <c r="K828" s="817"/>
      <c r="L828" s="817"/>
      <c r="M828" s="817"/>
      <c r="N828" s="817"/>
      <c r="AE828" s="750"/>
      <c r="AF828" s="751"/>
      <c r="AG828" s="751"/>
      <c r="AH828" s="751"/>
      <c r="AI828" s="751"/>
      <c r="AJ828" s="751"/>
      <c r="AK828" s="751"/>
      <c r="AL828" s="751"/>
      <c r="AM828" s="751"/>
      <c r="AN828" s="751"/>
      <c r="AO828" s="751"/>
      <c r="AP828" s="751"/>
      <c r="AQ828" s="751"/>
      <c r="AR828" s="751"/>
      <c r="AS828" s="751"/>
      <c r="AT828" s="751"/>
      <c r="AU828" s="751"/>
      <c r="AV828" s="751"/>
      <c r="AW828" s="751"/>
      <c r="AX828" s="752"/>
    </row>
    <row r="829" spans="2:50" s="753" customFormat="1" ht="12" customHeight="1">
      <c r="B829" s="810"/>
      <c r="C829" s="797"/>
      <c r="E829" s="809"/>
      <c r="G829" s="817"/>
      <c r="H829" s="817"/>
      <c r="I829" s="817"/>
      <c r="J829" s="817"/>
      <c r="K829" s="817"/>
      <c r="L829" s="817"/>
      <c r="M829" s="817"/>
      <c r="N829" s="817"/>
      <c r="AE829" s="750"/>
      <c r="AF829" s="751"/>
      <c r="AG829" s="751"/>
      <c r="AH829" s="751"/>
      <c r="AI829" s="751"/>
      <c r="AJ829" s="751"/>
      <c r="AK829" s="751"/>
      <c r="AL829" s="751"/>
      <c r="AM829" s="751"/>
      <c r="AN829" s="751"/>
      <c r="AO829" s="751"/>
      <c r="AP829" s="751"/>
      <c r="AQ829" s="751"/>
      <c r="AR829" s="751"/>
      <c r="AS829" s="751"/>
      <c r="AT829" s="751"/>
      <c r="AU829" s="751"/>
      <c r="AV829" s="751"/>
      <c r="AW829" s="751"/>
      <c r="AX829" s="752"/>
    </row>
    <row r="830" spans="2:50" s="753" customFormat="1" ht="12" customHeight="1">
      <c r="B830" s="810"/>
      <c r="C830" s="797"/>
      <c r="E830" s="809"/>
      <c r="G830" s="817"/>
      <c r="H830" s="817"/>
      <c r="I830" s="817"/>
      <c r="J830" s="817"/>
      <c r="K830" s="817"/>
      <c r="L830" s="817"/>
      <c r="M830" s="817"/>
      <c r="N830" s="817"/>
      <c r="AE830" s="750"/>
      <c r="AF830" s="751"/>
      <c r="AG830" s="751"/>
      <c r="AH830" s="751"/>
      <c r="AI830" s="751"/>
      <c r="AJ830" s="751"/>
      <c r="AK830" s="751"/>
      <c r="AL830" s="751"/>
      <c r="AM830" s="751"/>
      <c r="AN830" s="751"/>
      <c r="AO830" s="751"/>
      <c r="AP830" s="751"/>
      <c r="AQ830" s="751"/>
      <c r="AR830" s="751"/>
      <c r="AS830" s="751"/>
      <c r="AT830" s="751"/>
      <c r="AU830" s="751"/>
      <c r="AV830" s="751"/>
      <c r="AW830" s="751"/>
      <c r="AX830" s="752"/>
    </row>
    <row r="831" spans="2:50" s="753" customFormat="1" ht="12" customHeight="1">
      <c r="B831" s="810"/>
      <c r="C831" s="797"/>
      <c r="E831" s="809"/>
      <c r="G831" s="817"/>
      <c r="H831" s="817"/>
      <c r="I831" s="817"/>
      <c r="J831" s="817"/>
      <c r="K831" s="817"/>
      <c r="L831" s="817"/>
      <c r="M831" s="817"/>
      <c r="N831" s="817"/>
      <c r="AE831" s="750"/>
      <c r="AF831" s="751"/>
      <c r="AG831" s="751"/>
      <c r="AH831" s="751"/>
      <c r="AI831" s="751"/>
      <c r="AJ831" s="751"/>
      <c r="AK831" s="751"/>
      <c r="AL831" s="751"/>
      <c r="AM831" s="751"/>
      <c r="AN831" s="751"/>
      <c r="AO831" s="751"/>
      <c r="AP831" s="751"/>
      <c r="AQ831" s="751"/>
      <c r="AR831" s="751"/>
      <c r="AS831" s="751"/>
      <c r="AT831" s="751"/>
      <c r="AU831" s="751"/>
      <c r="AV831" s="751"/>
      <c r="AW831" s="751"/>
      <c r="AX831" s="752"/>
    </row>
    <row r="832" spans="2:50" s="753" customFormat="1" ht="12" customHeight="1">
      <c r="B832" s="810"/>
      <c r="C832" s="797"/>
      <c r="E832" s="809"/>
      <c r="G832" s="817"/>
      <c r="H832" s="817"/>
      <c r="I832" s="817"/>
      <c r="J832" s="817"/>
      <c r="K832" s="817"/>
      <c r="L832" s="817"/>
      <c r="M832" s="817"/>
      <c r="N832" s="817"/>
      <c r="AE832" s="750"/>
      <c r="AF832" s="751"/>
      <c r="AG832" s="751"/>
      <c r="AH832" s="751"/>
      <c r="AI832" s="751"/>
      <c r="AJ832" s="751"/>
      <c r="AK832" s="751"/>
      <c r="AL832" s="751"/>
      <c r="AM832" s="751"/>
      <c r="AN832" s="751"/>
      <c r="AO832" s="751"/>
      <c r="AP832" s="751"/>
      <c r="AQ832" s="751"/>
      <c r="AR832" s="751"/>
      <c r="AS832" s="751"/>
      <c r="AT832" s="751"/>
      <c r="AU832" s="751"/>
      <c r="AV832" s="751"/>
      <c r="AW832" s="751"/>
      <c r="AX832" s="752"/>
    </row>
    <row r="833" spans="1:52" s="753" customFormat="1" ht="12" customHeight="1">
      <c r="B833" s="810"/>
      <c r="C833" s="797"/>
      <c r="E833" s="809"/>
      <c r="G833" s="817"/>
      <c r="H833" s="817"/>
      <c r="I833" s="817"/>
      <c r="J833" s="817"/>
      <c r="K833" s="817"/>
      <c r="L833" s="817"/>
      <c r="M833" s="817"/>
      <c r="N833" s="817"/>
      <c r="AE833" s="750"/>
      <c r="AF833" s="751"/>
      <c r="AG833" s="751"/>
      <c r="AH833" s="751"/>
      <c r="AI833" s="751"/>
      <c r="AJ833" s="751"/>
      <c r="AK833" s="751"/>
      <c r="AL833" s="751"/>
      <c r="AM833" s="751"/>
      <c r="AN833" s="751"/>
      <c r="AO833" s="751"/>
      <c r="AP833" s="751"/>
      <c r="AQ833" s="751"/>
      <c r="AR833" s="751"/>
      <c r="AS833" s="751"/>
      <c r="AT833" s="751"/>
      <c r="AU833" s="751"/>
      <c r="AV833" s="751"/>
      <c r="AW833" s="751"/>
      <c r="AX833" s="752"/>
    </row>
    <row r="834" spans="1:52" s="753" customFormat="1" ht="12" customHeight="1">
      <c r="B834" s="810"/>
      <c r="C834" s="797"/>
      <c r="E834" s="809"/>
      <c r="G834" s="817"/>
      <c r="H834" s="817"/>
      <c r="I834" s="817"/>
      <c r="J834" s="817"/>
      <c r="K834" s="817"/>
      <c r="L834" s="817"/>
      <c r="M834" s="817"/>
      <c r="N834" s="817"/>
      <c r="AE834" s="750"/>
      <c r="AF834" s="751"/>
      <c r="AG834" s="751"/>
      <c r="AH834" s="751"/>
      <c r="AI834" s="751"/>
      <c r="AJ834" s="751"/>
      <c r="AK834" s="751"/>
      <c r="AL834" s="751"/>
      <c r="AM834" s="751"/>
      <c r="AN834" s="751"/>
      <c r="AO834" s="751"/>
      <c r="AP834" s="751"/>
      <c r="AQ834" s="751"/>
      <c r="AR834" s="751"/>
      <c r="AS834" s="751"/>
      <c r="AT834" s="751"/>
      <c r="AU834" s="751"/>
      <c r="AV834" s="751"/>
      <c r="AW834" s="751"/>
      <c r="AX834" s="752"/>
    </row>
    <row r="835" spans="1:52" s="753" customFormat="1" ht="12" customHeight="1">
      <c r="B835" s="810"/>
      <c r="C835" s="797"/>
      <c r="E835" s="809"/>
      <c r="G835" s="817"/>
      <c r="H835" s="817"/>
      <c r="I835" s="817"/>
      <c r="J835" s="817"/>
      <c r="K835" s="817"/>
      <c r="L835" s="817"/>
      <c r="M835" s="817"/>
      <c r="N835" s="817"/>
      <c r="AE835" s="750"/>
      <c r="AF835" s="751"/>
      <c r="AG835" s="751"/>
      <c r="AH835" s="751"/>
      <c r="AI835" s="751"/>
      <c r="AJ835" s="751"/>
      <c r="AK835" s="751"/>
      <c r="AL835" s="751"/>
      <c r="AM835" s="751"/>
      <c r="AN835" s="751"/>
      <c r="AO835" s="751"/>
      <c r="AP835" s="751"/>
      <c r="AQ835" s="751"/>
      <c r="AR835" s="751"/>
      <c r="AS835" s="751"/>
      <c r="AT835" s="751"/>
      <c r="AU835" s="751"/>
      <c r="AV835" s="751"/>
      <c r="AW835" s="751"/>
      <c r="AX835" s="752"/>
    </row>
    <row r="836" spans="1:52" s="753" customFormat="1" ht="12" customHeight="1">
      <c r="B836" s="810"/>
      <c r="C836" s="797"/>
      <c r="E836" s="809"/>
      <c r="G836" s="817"/>
      <c r="H836" s="817"/>
      <c r="I836" s="817"/>
      <c r="J836" s="817"/>
      <c r="K836" s="817"/>
      <c r="L836" s="817"/>
      <c r="M836" s="817"/>
      <c r="N836" s="817"/>
      <c r="AE836" s="750"/>
      <c r="AF836" s="751"/>
      <c r="AG836" s="751"/>
      <c r="AH836" s="751"/>
      <c r="AI836" s="751"/>
      <c r="AJ836" s="751"/>
      <c r="AK836" s="751"/>
      <c r="AL836" s="751"/>
      <c r="AM836" s="751"/>
      <c r="AN836" s="751"/>
      <c r="AO836" s="751"/>
      <c r="AP836" s="751"/>
      <c r="AQ836" s="751"/>
      <c r="AR836" s="751"/>
      <c r="AS836" s="751"/>
      <c r="AT836" s="751"/>
      <c r="AU836" s="751"/>
      <c r="AV836" s="751"/>
      <c r="AW836" s="751"/>
      <c r="AX836" s="752"/>
    </row>
    <row r="837" spans="1:52" s="753" customFormat="1" ht="12" customHeight="1">
      <c r="B837" s="810"/>
      <c r="C837" s="797"/>
      <c r="E837" s="809"/>
      <c r="G837" s="817"/>
      <c r="H837" s="817"/>
      <c r="I837" s="817"/>
      <c r="J837" s="817"/>
      <c r="K837" s="817"/>
      <c r="L837" s="817"/>
      <c r="M837" s="817"/>
      <c r="N837" s="817"/>
      <c r="AE837" s="750"/>
      <c r="AF837" s="751"/>
      <c r="AG837" s="751"/>
      <c r="AH837" s="751"/>
      <c r="AI837" s="751"/>
      <c r="AJ837" s="751"/>
      <c r="AK837" s="751"/>
      <c r="AL837" s="751"/>
      <c r="AM837" s="751"/>
      <c r="AN837" s="751"/>
      <c r="AO837" s="751"/>
      <c r="AP837" s="751"/>
      <c r="AQ837" s="751"/>
      <c r="AR837" s="751"/>
      <c r="AS837" s="751"/>
      <c r="AT837" s="751"/>
      <c r="AU837" s="751"/>
      <c r="AV837" s="751"/>
      <c r="AW837" s="751"/>
      <c r="AX837" s="752"/>
    </row>
    <row r="838" spans="1:52" s="753" customFormat="1" ht="12" customHeight="1">
      <c r="B838" s="810"/>
      <c r="C838" s="797"/>
      <c r="E838" s="809"/>
      <c r="G838" s="817"/>
      <c r="H838" s="817"/>
      <c r="I838" s="817"/>
      <c r="J838" s="817"/>
      <c r="K838" s="817"/>
      <c r="L838" s="817"/>
      <c r="M838" s="817"/>
      <c r="N838" s="817"/>
      <c r="AE838" s="750"/>
      <c r="AF838" s="751"/>
      <c r="AG838" s="751"/>
      <c r="AH838" s="751"/>
      <c r="AI838" s="751"/>
      <c r="AJ838" s="751"/>
      <c r="AK838" s="751"/>
      <c r="AL838" s="751"/>
      <c r="AM838" s="751"/>
      <c r="AN838" s="751"/>
      <c r="AO838" s="751"/>
      <c r="AP838" s="751"/>
      <c r="AQ838" s="751"/>
      <c r="AR838" s="751"/>
      <c r="AS838" s="751"/>
      <c r="AT838" s="751"/>
      <c r="AU838" s="751"/>
      <c r="AV838" s="751"/>
      <c r="AW838" s="751"/>
      <c r="AX838" s="752"/>
    </row>
    <row r="839" spans="1:52" s="753" customFormat="1" ht="12" customHeight="1">
      <c r="B839" s="796" t="s">
        <v>4027</v>
      </c>
      <c r="C839" s="797"/>
      <c r="E839" s="798"/>
      <c r="F839" s="799"/>
      <c r="AE839" s="750"/>
      <c r="AF839" s="751"/>
      <c r="AG839" s="751"/>
      <c r="AH839" s="751"/>
      <c r="AI839" s="751"/>
      <c r="AJ839" s="751"/>
      <c r="AK839" s="751"/>
      <c r="AL839" s="751"/>
      <c r="AM839" s="751"/>
      <c r="AN839" s="751"/>
      <c r="AO839" s="751"/>
      <c r="AP839" s="751"/>
      <c r="AQ839" s="751"/>
      <c r="AR839" s="752"/>
      <c r="AS839" s="752"/>
      <c r="AT839" s="752"/>
      <c r="AU839" s="752"/>
      <c r="AV839" s="752"/>
      <c r="AW839" s="752"/>
      <c r="AX839" s="752"/>
    </row>
    <row r="840" spans="1:52" s="812" customFormat="1" ht="12.9" customHeight="1">
      <c r="B840" s="800" t="s">
        <v>4089</v>
      </c>
      <c r="C840" s="801"/>
      <c r="D840" s="863"/>
      <c r="E840" s="864"/>
      <c r="F840" s="863"/>
      <c r="G840" s="865"/>
      <c r="H840" s="865"/>
      <c r="I840" s="865"/>
      <c r="J840" s="865"/>
      <c r="K840" s="865"/>
      <c r="L840" s="865"/>
      <c r="M840" s="865"/>
      <c r="N840" s="865"/>
      <c r="O840" s="865"/>
      <c r="P840" s="865"/>
      <c r="Q840" s="865"/>
      <c r="R840" s="865"/>
      <c r="S840" s="865"/>
      <c r="T840" s="865"/>
      <c r="U840" s="865"/>
      <c r="V840" s="865"/>
      <c r="W840" s="865"/>
      <c r="X840" s="865"/>
      <c r="Y840" s="865"/>
      <c r="Z840" s="865"/>
      <c r="AA840" s="865"/>
      <c r="AB840" s="865"/>
      <c r="AC840" s="865"/>
      <c r="AD840" s="806" t="s">
        <v>584</v>
      </c>
      <c r="AE840" s="750"/>
      <c r="AF840" s="751"/>
      <c r="AG840" s="751"/>
      <c r="AH840" s="751"/>
      <c r="AI840" s="751"/>
      <c r="AJ840" s="751"/>
      <c r="AK840" s="751"/>
      <c r="AL840" s="751"/>
      <c r="AM840" s="751"/>
      <c r="AN840" s="751"/>
      <c r="AO840" s="751"/>
      <c r="AP840" s="751"/>
      <c r="AQ840" s="751"/>
      <c r="AR840" s="752"/>
      <c r="AS840" s="752"/>
      <c r="AT840" s="752"/>
      <c r="AU840" s="752"/>
      <c r="AV840" s="752"/>
      <c r="AW840" s="752"/>
      <c r="AX840" s="752"/>
      <c r="AY840" s="753"/>
      <c r="AZ840" s="770"/>
    </row>
    <row r="841" spans="1:52" s="812" customFormat="1" ht="12.9" customHeight="1">
      <c r="B841" s="866"/>
      <c r="C841" s="808">
        <v>28</v>
      </c>
      <c r="D841" s="753" t="s">
        <v>4058</v>
      </c>
      <c r="E841" s="828"/>
      <c r="F841" s="828"/>
      <c r="G841" s="809"/>
      <c r="H841" s="809"/>
      <c r="I841" s="809"/>
      <c r="J841" s="809"/>
      <c r="K841" s="809"/>
      <c r="L841" s="809"/>
      <c r="M841" s="809"/>
      <c r="N841" s="828"/>
      <c r="O841" s="828"/>
      <c r="P841" s="828"/>
      <c r="Q841" s="828"/>
      <c r="Z841" s="818"/>
      <c r="AE841" s="750"/>
      <c r="AF841" s="751"/>
      <c r="AG841" s="751"/>
      <c r="AH841" s="751"/>
      <c r="AI841" s="751"/>
      <c r="AJ841" s="751"/>
      <c r="AK841" s="751"/>
      <c r="AL841" s="751"/>
      <c r="AM841" s="751"/>
      <c r="AN841" s="751"/>
      <c r="AO841" s="751"/>
      <c r="AP841" s="751"/>
      <c r="AQ841" s="751"/>
      <c r="AR841" s="751"/>
      <c r="AS841" s="751"/>
      <c r="AT841" s="751"/>
      <c r="AU841" s="751"/>
      <c r="AV841" s="751"/>
      <c r="AW841" s="751"/>
      <c r="AX841" s="752"/>
      <c r="AY841" s="753"/>
      <c r="AZ841" s="770"/>
    </row>
    <row r="842" spans="1:52" s="770" customFormat="1" ht="12" customHeight="1">
      <c r="A842" s="753"/>
      <c r="B842" s="810"/>
      <c r="C842" s="797"/>
      <c r="D842" s="922" t="s">
        <v>4043</v>
      </c>
      <c r="E842" s="809"/>
      <c r="F842" s="753"/>
      <c r="G842" s="753"/>
      <c r="H842" s="753"/>
      <c r="I842" s="753"/>
      <c r="J842" s="753"/>
      <c r="K842" s="753"/>
      <c r="L842" s="753"/>
      <c r="M842" s="753"/>
      <c r="N842" s="753"/>
      <c r="O842" s="753"/>
      <c r="P842" s="753"/>
      <c r="Q842" s="753"/>
      <c r="R842" s="753"/>
      <c r="S842" s="753"/>
      <c r="T842" s="753"/>
      <c r="U842" s="753"/>
      <c r="V842" s="753"/>
      <c r="W842" s="753"/>
      <c r="X842" s="753"/>
      <c r="Y842" s="753"/>
      <c r="Z842" s="753"/>
      <c r="AA842" s="753"/>
      <c r="AB842" s="753"/>
      <c r="AC842" s="753"/>
      <c r="AD842" s="753"/>
      <c r="AE842" s="750"/>
      <c r="AF842" s="751"/>
      <c r="AG842" s="751"/>
      <c r="AH842" s="751"/>
      <c r="AI842" s="751"/>
      <c r="AJ842" s="751"/>
      <c r="AK842" s="751"/>
      <c r="AL842" s="751"/>
      <c r="AM842" s="751"/>
      <c r="AN842" s="751"/>
      <c r="AO842" s="751"/>
      <c r="AP842" s="751"/>
      <c r="AQ842" s="751"/>
      <c r="AR842" s="751"/>
      <c r="AS842" s="751"/>
      <c r="AT842" s="751"/>
      <c r="AU842" s="751"/>
      <c r="AV842" s="751"/>
      <c r="AW842" s="751"/>
      <c r="AX842" s="752"/>
      <c r="AY842" s="753"/>
    </row>
    <row r="843" spans="1:52" s="770" customFormat="1" ht="12" customHeight="1">
      <c r="A843" s="753"/>
      <c r="B843" s="810"/>
      <c r="C843" s="797"/>
      <c r="D843" s="753"/>
      <c r="E843" s="809"/>
      <c r="F843" s="753"/>
      <c r="G843" s="817"/>
      <c r="H843" s="817"/>
      <c r="I843" s="817"/>
      <c r="J843" s="817"/>
      <c r="K843" s="817"/>
      <c r="L843" s="817"/>
      <c r="M843" s="817"/>
      <c r="N843" s="817"/>
      <c r="O843" s="753"/>
      <c r="P843" s="753"/>
      <c r="Q843" s="753"/>
      <c r="R843" s="753"/>
      <c r="S843" s="753"/>
      <c r="T843" s="753"/>
      <c r="U843" s="753"/>
      <c r="V843" s="753"/>
      <c r="W843" s="753"/>
      <c r="X843" s="753"/>
      <c r="Y843" s="753"/>
      <c r="Z843" s="753"/>
      <c r="AA843" s="753"/>
      <c r="AB843" s="753"/>
      <c r="AC843" s="753"/>
      <c r="AD843" s="753"/>
      <c r="AE843" s="750"/>
      <c r="AF843" s="751"/>
      <c r="AG843" s="751"/>
      <c r="AH843" s="751"/>
      <c r="AI843" s="751"/>
      <c r="AJ843" s="751"/>
      <c r="AK843" s="751"/>
      <c r="AL843" s="751"/>
      <c r="AM843" s="751"/>
      <c r="AN843" s="751"/>
      <c r="AO843" s="751"/>
      <c r="AP843" s="751"/>
      <c r="AQ843" s="751"/>
      <c r="AR843" s="751"/>
      <c r="AS843" s="751"/>
      <c r="AT843" s="751"/>
      <c r="AU843" s="751"/>
      <c r="AV843" s="751"/>
      <c r="AW843" s="751"/>
      <c r="AX843" s="752"/>
      <c r="AY843" s="753"/>
    </row>
    <row r="844" spans="1:52" s="770" customFormat="1" ht="12" customHeight="1">
      <c r="A844" s="753"/>
      <c r="B844" s="810"/>
      <c r="C844" s="797"/>
      <c r="D844" s="851" t="s">
        <v>4059</v>
      </c>
      <c r="E844" s="809"/>
      <c r="F844" s="753"/>
      <c r="G844" s="817"/>
      <c r="H844" s="817"/>
      <c r="I844" s="817"/>
      <c r="J844" s="817"/>
      <c r="K844" s="817"/>
      <c r="L844" s="817"/>
      <c r="M844" s="817"/>
      <c r="N844" s="817"/>
      <c r="O844" s="753"/>
      <c r="P844" s="753"/>
      <c r="Q844" s="753"/>
      <c r="R844" s="753"/>
      <c r="S844" s="753"/>
      <c r="T844" s="753"/>
      <c r="U844" s="753"/>
      <c r="V844" s="753"/>
      <c r="W844" s="753"/>
      <c r="X844" s="753"/>
      <c r="Y844" s="753"/>
      <c r="Z844" s="753"/>
      <c r="AA844" s="753"/>
      <c r="AB844" s="753"/>
      <c r="AC844" s="753"/>
      <c r="AD844" s="753"/>
      <c r="AE844" s="750"/>
      <c r="AF844" s="751"/>
      <c r="AG844" s="751"/>
      <c r="AH844" s="751"/>
      <c r="AI844" s="751"/>
      <c r="AJ844" s="751"/>
      <c r="AK844" s="751"/>
      <c r="AL844" s="751"/>
      <c r="AM844" s="751"/>
      <c r="AN844" s="751"/>
      <c r="AO844" s="751"/>
      <c r="AP844" s="751"/>
      <c r="AQ844" s="751"/>
      <c r="AR844" s="751"/>
      <c r="AS844" s="751"/>
      <c r="AT844" s="751"/>
      <c r="AU844" s="751"/>
      <c r="AV844" s="751"/>
      <c r="AW844" s="751"/>
      <c r="AX844" s="752"/>
      <c r="AY844" s="753"/>
    </row>
    <row r="845" spans="1:52" s="770" customFormat="1" ht="12" customHeight="1">
      <c r="A845" s="753"/>
      <c r="B845" s="810"/>
      <c r="C845" s="797"/>
      <c r="D845" s="851"/>
      <c r="E845" s="809"/>
      <c r="F845" s="753"/>
      <c r="G845" s="817"/>
      <c r="H845" s="817"/>
      <c r="I845" s="817"/>
      <c r="J845" s="817"/>
      <c r="K845" s="817"/>
      <c r="L845" s="817"/>
      <c r="M845" s="817"/>
      <c r="N845" s="817"/>
      <c r="O845" s="753"/>
      <c r="P845" s="753"/>
      <c r="Q845" s="753"/>
      <c r="R845" s="753"/>
      <c r="S845" s="753"/>
      <c r="T845" s="753"/>
      <c r="U845" s="753"/>
      <c r="V845" s="753"/>
      <c r="W845" s="753"/>
      <c r="X845" s="753"/>
      <c r="Y845" s="753"/>
      <c r="Z845" s="753"/>
      <c r="AA845" s="753"/>
      <c r="AB845" s="753"/>
      <c r="AC845" s="753"/>
      <c r="AD845" s="753"/>
      <c r="AE845" s="750"/>
      <c r="AF845" s="751"/>
      <c r="AG845" s="751"/>
      <c r="AH845" s="751"/>
      <c r="AI845" s="751"/>
      <c r="AJ845" s="751"/>
      <c r="AK845" s="751"/>
      <c r="AL845" s="751"/>
      <c r="AM845" s="751"/>
      <c r="AN845" s="751"/>
      <c r="AO845" s="751"/>
      <c r="AP845" s="751"/>
      <c r="AQ845" s="751"/>
      <c r="AR845" s="751"/>
      <c r="AS845" s="751"/>
      <c r="AT845" s="751"/>
      <c r="AU845" s="751"/>
      <c r="AV845" s="751"/>
      <c r="AW845" s="751"/>
      <c r="AX845" s="752"/>
      <c r="AY845" s="753"/>
    </row>
    <row r="846" spans="1:52" s="770" customFormat="1" ht="12" customHeight="1">
      <c r="A846" s="753"/>
      <c r="B846" s="810"/>
      <c r="C846" s="835"/>
      <c r="D846" s="753"/>
      <c r="E846" s="852"/>
      <c r="G846" s="853">
        <v>1</v>
      </c>
      <c r="H846" s="853">
        <v>2</v>
      </c>
      <c r="I846" s="853">
        <v>3</v>
      </c>
      <c r="J846" s="853">
        <v>4</v>
      </c>
      <c r="K846" s="853">
        <v>5</v>
      </c>
      <c r="L846" s="817"/>
      <c r="M846" s="817"/>
      <c r="N846" s="817"/>
      <c r="O846" s="825"/>
      <c r="P846" s="825"/>
      <c r="Q846" s="825"/>
      <c r="R846" s="825"/>
      <c r="S846" s="825"/>
      <c r="T846" s="825"/>
      <c r="U846" s="825"/>
      <c r="V846" s="825"/>
      <c r="W846" s="825"/>
      <c r="X846" s="825"/>
      <c r="Y846" s="825"/>
      <c r="Z846" s="825"/>
      <c r="AA846" s="825"/>
      <c r="AB846" s="825"/>
      <c r="AC846" s="825"/>
      <c r="AD846" s="799"/>
      <c r="AE846" s="750"/>
      <c r="AF846" s="751"/>
      <c r="AG846" s="751"/>
      <c r="AH846" s="751"/>
      <c r="AI846" s="751"/>
      <c r="AJ846" s="751"/>
      <c r="AK846" s="751"/>
      <c r="AL846" s="751"/>
      <c r="AM846" s="751"/>
      <c r="AN846" s="751"/>
      <c r="AO846" s="751"/>
      <c r="AP846" s="751"/>
      <c r="AQ846" s="751"/>
      <c r="AR846" s="752"/>
      <c r="AS846" s="752"/>
      <c r="AT846" s="752"/>
      <c r="AU846" s="752"/>
      <c r="AV846" s="752"/>
      <c r="AW846" s="752"/>
      <c r="AX846" s="752"/>
      <c r="AY846" s="753"/>
    </row>
    <row r="847" spans="1:52" s="770" customFormat="1" ht="78" customHeight="1">
      <c r="A847" s="753"/>
      <c r="B847" s="810"/>
      <c r="C847" s="811"/>
      <c r="D847" s="811"/>
      <c r="E847" s="852"/>
      <c r="G847" s="855" t="s">
        <v>4030</v>
      </c>
      <c r="H847" s="855" t="s">
        <v>4031</v>
      </c>
      <c r="I847" s="855" t="s">
        <v>4032</v>
      </c>
      <c r="J847" s="855" t="s">
        <v>4033</v>
      </c>
      <c r="K847" s="855" t="s">
        <v>4034</v>
      </c>
      <c r="L847" s="927"/>
      <c r="M847" s="927"/>
      <c r="N847" s="927"/>
      <c r="O847" s="825"/>
      <c r="P847" s="825"/>
      <c r="Q847" s="825"/>
      <c r="R847" s="825"/>
      <c r="S847" s="825"/>
      <c r="T847" s="825"/>
      <c r="U847" s="825"/>
      <c r="V847" s="825"/>
      <c r="W847" s="825"/>
      <c r="X847" s="825"/>
      <c r="Y847" s="825"/>
      <c r="Z847" s="825"/>
      <c r="AA847" s="825"/>
      <c r="AB847" s="825"/>
      <c r="AC847" s="825"/>
      <c r="AD847" s="799"/>
      <c r="AE847" s="750"/>
      <c r="AF847" s="751"/>
      <c r="AG847" s="856"/>
      <c r="AH847" s="856"/>
      <c r="AI847" s="751"/>
      <c r="AJ847" s="751"/>
      <c r="AK847" s="751"/>
      <c r="AL847" s="751"/>
      <c r="AM847" s="751"/>
      <c r="AN847" s="751"/>
      <c r="AO847" s="751"/>
      <c r="AP847" s="751"/>
      <c r="AQ847" s="751"/>
      <c r="AR847" s="752"/>
      <c r="AS847" s="752"/>
      <c r="AT847" s="752"/>
      <c r="AU847" s="752"/>
      <c r="AV847" s="752"/>
      <c r="AW847" s="752"/>
      <c r="AX847" s="752"/>
      <c r="AY847" s="753"/>
    </row>
    <row r="848" spans="1:52" s="770" customFormat="1" ht="19.5" customHeight="1">
      <c r="A848" s="753"/>
      <c r="B848" s="810"/>
      <c r="C848" s="859"/>
      <c r="D848" s="749"/>
      <c r="E848" s="825"/>
      <c r="F848" s="928" t="s">
        <v>4035</v>
      </c>
      <c r="G848" s="759" t="s">
        <v>4036</v>
      </c>
      <c r="H848" s="759"/>
      <c r="I848" s="759"/>
      <c r="J848" s="759"/>
      <c r="K848" s="759" t="s">
        <v>4037</v>
      </c>
      <c r="L848" s="929" t="s">
        <v>4038</v>
      </c>
      <c r="M848" s="825"/>
      <c r="N848" s="825"/>
      <c r="O848" s="825"/>
      <c r="P848" s="825"/>
      <c r="Q848" s="825"/>
      <c r="R848" s="825"/>
      <c r="S848" s="825"/>
      <c r="T848" s="825"/>
      <c r="U848" s="825"/>
      <c r="V848" s="825"/>
      <c r="W848" s="825"/>
      <c r="X848" s="825"/>
      <c r="Y848" s="825"/>
      <c r="Z848" s="825"/>
      <c r="AA848" s="825"/>
      <c r="AB848" s="825"/>
      <c r="AC848" s="825"/>
      <c r="AD848" s="799"/>
      <c r="AE848" s="750"/>
      <c r="AF848" s="751"/>
      <c r="AG848" s="751"/>
      <c r="AH848" s="751"/>
      <c r="AI848" s="751"/>
      <c r="AJ848" s="751"/>
      <c r="AK848" s="751"/>
      <c r="AL848" s="751"/>
      <c r="AM848" s="751"/>
      <c r="AN848" s="751"/>
      <c r="AO848" s="751"/>
      <c r="AP848" s="751"/>
      <c r="AQ848" s="751"/>
      <c r="AR848" s="752"/>
      <c r="AS848" s="752"/>
      <c r="AT848" s="752"/>
      <c r="AU848" s="752"/>
      <c r="AV848" s="752"/>
      <c r="AW848" s="752"/>
      <c r="AX848" s="752"/>
      <c r="AY848" s="753"/>
    </row>
    <row r="849" spans="1:52" s="770" customFormat="1" ht="33.9" customHeight="1">
      <c r="A849" s="753"/>
      <c r="B849" s="810"/>
      <c r="C849" s="859"/>
      <c r="D849" s="749"/>
      <c r="E849" s="860">
        <v>1</v>
      </c>
      <c r="F849" s="930" t="s">
        <v>4060</v>
      </c>
      <c r="G849" s="759" t="s">
        <v>3809</v>
      </c>
      <c r="H849" s="759" t="s">
        <v>3809</v>
      </c>
      <c r="I849" s="759" t="s">
        <v>3809</v>
      </c>
      <c r="J849" s="759" t="s">
        <v>3809</v>
      </c>
      <c r="K849" s="759" t="s">
        <v>3809</v>
      </c>
      <c r="L849" s="950" t="s">
        <v>4061</v>
      </c>
      <c r="M849" s="950"/>
      <c r="N849" s="950"/>
      <c r="O849" s="950"/>
      <c r="P849" s="950"/>
      <c r="Q849" s="950"/>
      <c r="R849" s="950"/>
      <c r="S849" s="950"/>
      <c r="T849" s="950"/>
      <c r="U849" s="825"/>
      <c r="V849" s="825"/>
      <c r="W849" s="825"/>
      <c r="X849" s="825"/>
      <c r="Y849" s="825"/>
      <c r="Z849" s="825"/>
      <c r="AA849" s="825"/>
      <c r="AB849" s="825"/>
      <c r="AC849" s="825"/>
      <c r="AD849" s="799"/>
      <c r="AE849" s="750"/>
      <c r="AF849" s="751"/>
      <c r="AG849" s="751"/>
      <c r="AH849" s="751"/>
      <c r="AI849" s="751"/>
      <c r="AJ849" s="751"/>
      <c r="AK849" s="751"/>
      <c r="AL849" s="751"/>
      <c r="AM849" s="751"/>
      <c r="AN849" s="751"/>
      <c r="AO849" s="751"/>
      <c r="AP849" s="751"/>
      <c r="AQ849" s="751"/>
      <c r="AR849" s="752"/>
      <c r="AS849" s="752"/>
      <c r="AT849" s="752"/>
      <c r="AU849" s="752"/>
      <c r="AV849" s="752"/>
      <c r="AW849" s="752"/>
      <c r="AX849" s="752"/>
      <c r="AY849" s="753"/>
    </row>
    <row r="850" spans="1:52" s="770" customFormat="1" ht="33.9" customHeight="1">
      <c r="A850" s="753"/>
      <c r="B850" s="810"/>
      <c r="C850" s="859"/>
      <c r="D850" s="749"/>
      <c r="E850" s="860">
        <v>2</v>
      </c>
      <c r="F850" s="930" t="s">
        <v>4098</v>
      </c>
      <c r="G850" s="759" t="s">
        <v>3809</v>
      </c>
      <c r="H850" s="759" t="s">
        <v>3809</v>
      </c>
      <c r="I850" s="759" t="s">
        <v>3809</v>
      </c>
      <c r="J850" s="759" t="s">
        <v>3809</v>
      </c>
      <c r="K850" s="759" t="s">
        <v>3809</v>
      </c>
      <c r="L850" s="950" t="s">
        <v>4099</v>
      </c>
      <c r="M850" s="950"/>
      <c r="N850" s="950"/>
      <c r="O850" s="950"/>
      <c r="P850" s="950"/>
      <c r="Q850" s="950"/>
      <c r="R850" s="950"/>
      <c r="S850" s="950"/>
      <c r="T850" s="950"/>
      <c r="U850" s="825"/>
      <c r="V850" s="825"/>
      <c r="W850" s="825"/>
      <c r="X850" s="825"/>
      <c r="Y850" s="825"/>
      <c r="Z850" s="825"/>
      <c r="AA850" s="825"/>
      <c r="AB850" s="825"/>
      <c r="AC850" s="825"/>
      <c r="AD850" s="799"/>
      <c r="AE850" s="750"/>
      <c r="AF850" s="751"/>
      <c r="AG850" s="751"/>
      <c r="AH850" s="751"/>
      <c r="AI850" s="751"/>
      <c r="AJ850" s="751"/>
      <c r="AK850" s="751"/>
      <c r="AL850" s="751"/>
      <c r="AM850" s="751"/>
      <c r="AN850" s="751"/>
      <c r="AO850" s="751"/>
      <c r="AP850" s="751"/>
      <c r="AQ850" s="751"/>
      <c r="AR850" s="752"/>
      <c r="AS850" s="752"/>
      <c r="AT850" s="752"/>
      <c r="AU850" s="752"/>
      <c r="AV850" s="752"/>
      <c r="AW850" s="752"/>
      <c r="AX850" s="752"/>
      <c r="AY850" s="753"/>
    </row>
    <row r="851" spans="1:52" s="869" customFormat="1" ht="12.9" customHeight="1">
      <c r="B851" s="870"/>
      <c r="C851" s="748"/>
      <c r="D851" s="759"/>
      <c r="E851" s="923"/>
      <c r="F851" s="925"/>
      <c r="G851" s="925"/>
      <c r="H851" s="873"/>
      <c r="I851" s="817"/>
      <c r="J851" s="817"/>
      <c r="K851" s="817"/>
      <c r="L851" s="817"/>
      <c r="M851" s="817"/>
      <c r="N851" s="760"/>
      <c r="O851" s="872"/>
      <c r="P851" s="872"/>
      <c r="AE851" s="750"/>
      <c r="AF851" s="751"/>
      <c r="AG851" s="751"/>
      <c r="AH851" s="751"/>
      <c r="AI851" s="751"/>
      <c r="AJ851" s="751"/>
      <c r="AK851" s="751"/>
      <c r="AL851" s="751"/>
      <c r="AM851" s="751"/>
      <c r="AN851" s="751"/>
      <c r="AO851" s="751"/>
      <c r="AP851" s="751"/>
      <c r="AQ851" s="751"/>
      <c r="AR851" s="752"/>
      <c r="AS851" s="752"/>
      <c r="AT851" s="752"/>
      <c r="AU851" s="752"/>
      <c r="AV851" s="752"/>
      <c r="AW851" s="752"/>
      <c r="AX851" s="752"/>
      <c r="AY851" s="753"/>
      <c r="AZ851" s="770"/>
    </row>
    <row r="852" spans="1:52" s="770" customFormat="1" ht="12" customHeight="1">
      <c r="A852" s="753"/>
      <c r="B852" s="810"/>
      <c r="C852" s="811"/>
      <c r="D852" s="759"/>
      <c r="E852" s="759"/>
      <c r="F852" s="759"/>
      <c r="G852" s="759"/>
      <c r="H852" s="759"/>
      <c r="I852" s="759"/>
      <c r="J852" s="759"/>
      <c r="K852" s="759"/>
      <c r="L852" s="759"/>
      <c r="M852" s="759"/>
      <c r="N852" s="759"/>
      <c r="O852" s="759"/>
      <c r="P852" s="759"/>
      <c r="Q852" s="759"/>
      <c r="R852" s="759"/>
      <c r="S852" s="759"/>
      <c r="T852" s="759"/>
      <c r="U852" s="759"/>
      <c r="V852" s="759"/>
      <c r="W852" s="759"/>
      <c r="X852" s="759"/>
      <c r="Y852" s="759"/>
      <c r="Z852" s="759"/>
      <c r="AA852" s="759"/>
      <c r="AB852" s="759"/>
      <c r="AC852" s="759"/>
      <c r="AD852" s="799"/>
      <c r="AE852" s="750"/>
      <c r="AF852" s="751"/>
      <c r="AG852" s="751"/>
      <c r="AH852" s="751"/>
      <c r="AI852" s="751"/>
      <c r="AJ852" s="751"/>
      <c r="AK852" s="751"/>
      <c r="AL852" s="751"/>
      <c r="AM852" s="751"/>
      <c r="AN852" s="751"/>
      <c r="AO852" s="751"/>
      <c r="AP852" s="751"/>
      <c r="AQ852" s="751"/>
      <c r="AR852" s="752"/>
      <c r="AS852" s="752"/>
      <c r="AT852" s="752"/>
      <c r="AU852" s="752"/>
      <c r="AV852" s="752"/>
      <c r="AW852" s="752"/>
      <c r="AX852" s="752"/>
      <c r="AY852" s="753"/>
    </row>
    <row r="853" spans="1:52" s="770" customFormat="1" ht="12.9" customHeight="1">
      <c r="A853" s="755"/>
      <c r="B853" s="790" t="s">
        <v>4100</v>
      </c>
      <c r="C853" s="791"/>
      <c r="D853" s="791"/>
      <c r="E853" s="791"/>
      <c r="F853" s="791"/>
      <c r="G853" s="791"/>
      <c r="H853" s="791"/>
      <c r="I853" s="791"/>
      <c r="J853" s="791"/>
      <c r="K853" s="791"/>
      <c r="L853" s="791"/>
      <c r="M853" s="791"/>
      <c r="N853" s="791"/>
      <c r="O853" s="791"/>
      <c r="P853" s="791"/>
      <c r="Q853" s="791"/>
      <c r="R853" s="791"/>
      <c r="S853" s="791"/>
      <c r="T853" s="791"/>
      <c r="U853" s="791"/>
      <c r="V853" s="791"/>
      <c r="W853" s="791"/>
      <c r="X853" s="791"/>
      <c r="Y853" s="791"/>
      <c r="Z853" s="791"/>
      <c r="AA853" s="791"/>
      <c r="AB853" s="791"/>
      <c r="AC853" s="791"/>
      <c r="AD853" s="792"/>
      <c r="AE853" s="750"/>
      <c r="AF853" s="751"/>
      <c r="AG853" s="751"/>
      <c r="AH853" s="751"/>
      <c r="AI853" s="751"/>
      <c r="AJ853" s="751"/>
      <c r="AK853" s="751"/>
      <c r="AL853" s="751"/>
      <c r="AM853" s="751"/>
      <c r="AN853" s="751"/>
      <c r="AO853" s="751"/>
      <c r="AP853" s="751"/>
      <c r="AQ853" s="751"/>
      <c r="AR853" s="752"/>
      <c r="AS853" s="752"/>
      <c r="AT853" s="752"/>
      <c r="AU853" s="752"/>
      <c r="AV853" s="752"/>
      <c r="AW853" s="752"/>
      <c r="AX853" s="752"/>
      <c r="AY853" s="753"/>
    </row>
  </sheetData>
  <autoFilter ref="AD1:AD853"/>
  <mergeCells count="39">
    <mergeCell ref="L804:T804"/>
    <mergeCell ref="L849:T849"/>
    <mergeCell ref="L850:T850"/>
    <mergeCell ref="L710:T710"/>
    <mergeCell ref="L711:T711"/>
    <mergeCell ref="L712:T712"/>
    <mergeCell ref="L757:T757"/>
    <mergeCell ref="L758:T758"/>
    <mergeCell ref="L803:T803"/>
    <mergeCell ref="L658:T658"/>
    <mergeCell ref="L523:T523"/>
    <mergeCell ref="L524:T524"/>
    <mergeCell ref="L565:T565"/>
    <mergeCell ref="L566:T566"/>
    <mergeCell ref="L567:T567"/>
    <mergeCell ref="L568:T568"/>
    <mergeCell ref="L612:T612"/>
    <mergeCell ref="L613:T613"/>
    <mergeCell ref="L614:T614"/>
    <mergeCell ref="L615:T615"/>
    <mergeCell ref="L657:T657"/>
    <mergeCell ref="L522:T522"/>
    <mergeCell ref="L353:T353"/>
    <mergeCell ref="L354:T354"/>
    <mergeCell ref="L355:T355"/>
    <mergeCell ref="L428:T428"/>
    <mergeCell ref="L429:T429"/>
    <mergeCell ref="L430:T430"/>
    <mergeCell ref="L431:T431"/>
    <mergeCell ref="L478:T478"/>
    <mergeCell ref="L479:T479"/>
    <mergeCell ref="L480:T480"/>
    <mergeCell ref="L521:T521"/>
    <mergeCell ref="L352:T352"/>
    <mergeCell ref="G26:K26"/>
    <mergeCell ref="O26:S26"/>
    <mergeCell ref="G27:K27"/>
    <mergeCell ref="O27:S27"/>
    <mergeCell ref="L341:T341"/>
  </mergeCells>
  <phoneticPr fontId="4" type="noConversion"/>
  <conditionalFormatting sqref="F1:F47">
    <cfRule type="containsText" dxfId="403" priority="28" operator="containsText" text="请注明">
      <formula>NOT(ISERROR(SEARCH("请注明",F1)))</formula>
    </cfRule>
    <cfRule type="containsText" dxfId="402" priority="29" operator="containsText" text="以上均无">
      <formula>NOT(ISERROR(SEARCH("以上均无",F1)))</formula>
    </cfRule>
  </conditionalFormatting>
  <conditionalFormatting sqref="F57:F59">
    <cfRule type="containsText" dxfId="401" priority="24" operator="containsText" text="请注明">
      <formula>NOT(ISERROR(SEARCH("请注明",F57)))</formula>
    </cfRule>
    <cfRule type="containsText" dxfId="400" priority="25" operator="containsText" text="以上均无">
      <formula>NOT(ISERROR(SEARCH("以上均无",F57)))</formula>
    </cfRule>
  </conditionalFormatting>
  <conditionalFormatting sqref="F81:F83">
    <cfRule type="containsText" dxfId="399" priority="27" operator="containsText" text="以上均无">
      <formula>NOT(ISERROR(SEARCH("以上均无",F81)))</formula>
    </cfRule>
  </conditionalFormatting>
  <conditionalFormatting sqref="F81:F160">
    <cfRule type="containsText" dxfId="398" priority="26" operator="containsText" text="请注明">
      <formula>NOT(ISERROR(SEARCH("请注明",F81)))</formula>
    </cfRule>
  </conditionalFormatting>
  <conditionalFormatting sqref="F84:F160">
    <cfRule type="containsText" dxfId="397" priority="386" operator="containsText" text="以上均无">
      <formula>NOT(ISERROR(SEARCH("以上均无",F84)))</formula>
    </cfRule>
  </conditionalFormatting>
  <conditionalFormatting sqref="F114:F127">
    <cfRule type="cellIs" dxfId="396" priority="392" operator="equal">
      <formula>"其他"</formula>
    </cfRule>
    <cfRule type="containsText" dxfId="395" priority="393" operator="containsText" text="（请注明：">
      <formula>NOT(ISERROR(SEARCH("（请注明：",F114)))</formula>
    </cfRule>
  </conditionalFormatting>
  <conditionalFormatting sqref="F134:F145">
    <cfRule type="cellIs" dxfId="394" priority="390" operator="equal">
      <formula>"其他"</formula>
    </cfRule>
    <cfRule type="containsText" dxfId="393" priority="391" operator="containsText" text="（请注明：">
      <formula>NOT(ISERROR(SEARCH("（请注明：",F134)))</formula>
    </cfRule>
  </conditionalFormatting>
  <conditionalFormatting sqref="F165:F195">
    <cfRule type="containsText" dxfId="392" priority="20" operator="containsText" text="请注明">
      <formula>NOT(ISERROR(SEARCH("请注明",F165)))</formula>
    </cfRule>
    <cfRule type="containsText" dxfId="391" priority="21" operator="containsText" text="以上均无">
      <formula>NOT(ISERROR(SEARCH("以上均无",F165)))</formula>
    </cfRule>
  </conditionalFormatting>
  <conditionalFormatting sqref="F201:F206">
    <cfRule type="containsText" dxfId="390" priority="2" operator="containsText" text="请注明">
      <formula>NOT(ISERROR(SEARCH("请注明",F201)))</formula>
    </cfRule>
    <cfRule type="containsText" dxfId="389" priority="3" operator="containsText" text="以上均无">
      <formula>NOT(ISERROR(SEARCH("以上均无",F201)))</formula>
    </cfRule>
  </conditionalFormatting>
  <conditionalFormatting sqref="F210:F228">
    <cfRule type="containsText" dxfId="388" priority="11" operator="containsText" text="请注明">
      <formula>NOT(ISERROR(SEARCH("请注明",F210)))</formula>
    </cfRule>
    <cfRule type="containsText" dxfId="387" priority="12" operator="containsText" text="以上均无">
      <formula>NOT(ISERROR(SEARCH("以上均无",F210)))</formula>
    </cfRule>
  </conditionalFormatting>
  <conditionalFormatting sqref="F231:F237">
    <cfRule type="containsText" dxfId="386" priority="373" operator="containsText" text="请注明">
      <formula>NOT(ISERROR(SEARCH("请注明",F231)))</formula>
    </cfRule>
    <cfRule type="containsText" dxfId="385" priority="374" operator="containsText" text="以上均无">
      <formula>NOT(ISERROR(SEARCH("以上均无",F231)))</formula>
    </cfRule>
  </conditionalFormatting>
  <conditionalFormatting sqref="F251:F270">
    <cfRule type="containsText" dxfId="384" priority="376" operator="containsText" text="请注明">
      <formula>NOT(ISERROR(SEARCH("请注明",F251)))</formula>
    </cfRule>
    <cfRule type="containsText" dxfId="383" priority="377" operator="containsText" text="以上均无">
      <formula>NOT(ISERROR(SEARCH("以上均无",F251)))</formula>
    </cfRule>
  </conditionalFormatting>
  <conditionalFormatting sqref="F271">
    <cfRule type="containsText" dxfId="382" priority="395" operator="containsText" text="以上均无">
      <formula>NOT(ISERROR(SEARCH("以上均无",#REF!)))</formula>
    </cfRule>
  </conditionalFormatting>
  <conditionalFormatting sqref="F271:F274 F280:F282">
    <cfRule type="containsText" dxfId="381" priority="394" operator="containsText" text="请注明">
      <formula>NOT(ISERROR(SEARCH("请注明",#REF!)))</formula>
    </cfRule>
  </conditionalFormatting>
  <conditionalFormatting sqref="F283">
    <cfRule type="containsText" dxfId="380" priority="365" operator="containsText" text="请注明">
      <formula>NOT(ISERROR(SEARCH("请注明",#REF!)))</formula>
    </cfRule>
    <cfRule type="containsText" dxfId="379" priority="366" operator="containsText" text="以上均无">
      <formula>NOT(ISERROR(SEARCH("以上均无",#REF!)))</formula>
    </cfRule>
  </conditionalFormatting>
  <conditionalFormatting sqref="F284">
    <cfRule type="containsText" dxfId="378" priority="361" operator="containsText" text="请注明">
      <formula>NOT(ISERROR(SEARCH("请注明",#REF!)))</formula>
    </cfRule>
    <cfRule type="containsText" dxfId="377" priority="362" operator="containsText" text="以上均无">
      <formula>NOT(ISERROR(SEARCH("以上均无",#REF!)))</formula>
    </cfRule>
  </conditionalFormatting>
  <conditionalFormatting sqref="F285:F286">
    <cfRule type="containsText" dxfId="376" priority="367" operator="containsText" text="请注明">
      <formula>NOT(ISERROR(SEARCH("请注明",#REF!)))</formula>
    </cfRule>
  </conditionalFormatting>
  <conditionalFormatting sqref="F287:F322">
    <cfRule type="containsText" dxfId="375" priority="350" operator="containsText" text="请注明">
      <formula>NOT(ISERROR(SEARCH("请注明",F287)))</formula>
    </cfRule>
    <cfRule type="containsText" dxfId="374" priority="351" operator="containsText" text="以上均无">
      <formula>NOT(ISERROR(SEARCH("以上均无",F287)))</formula>
    </cfRule>
  </conditionalFormatting>
  <conditionalFormatting sqref="F334:F339">
    <cfRule type="containsText" dxfId="373" priority="140" operator="containsText" text="请注明">
      <formula>NOT(ISERROR(SEARCH("请注明",F334)))</formula>
    </cfRule>
    <cfRule type="containsText" dxfId="372" priority="141" operator="containsText" text="以上均无">
      <formula>NOT(ISERROR(SEARCH("以上均无",F334)))</formula>
    </cfRule>
  </conditionalFormatting>
  <conditionalFormatting sqref="F341:F350">
    <cfRule type="containsText" dxfId="371" priority="126" operator="containsText" text="请注明">
      <formula>NOT(ISERROR(SEARCH("请注明",F341)))</formula>
    </cfRule>
    <cfRule type="containsText" dxfId="370" priority="127" operator="containsText" text="以上均无">
      <formula>NOT(ISERROR(SEARCH("以上均无",F341)))</formula>
    </cfRule>
  </conditionalFormatting>
  <conditionalFormatting sqref="F352:F355">
    <cfRule type="containsText" dxfId="369" priority="142" operator="containsText" text="请注明">
      <formula>NOT(ISERROR(SEARCH("请注明",F352)))</formula>
    </cfRule>
    <cfRule type="containsText" dxfId="368" priority="143" operator="containsText" text="以上均无">
      <formula>NOT(ISERROR(SEARCH("以上均无",F352)))</formula>
    </cfRule>
  </conditionalFormatting>
  <conditionalFormatting sqref="F360:F364">
    <cfRule type="containsText" dxfId="367" priority="357" operator="containsText" text="请注明">
      <formula>NOT(ISERROR(SEARCH("请注明",F360)))</formula>
    </cfRule>
    <cfRule type="containsText" dxfId="366" priority="358" operator="containsText" text="以上均无">
      <formula>NOT(ISERROR(SEARCH("以上均无",F360)))</formula>
    </cfRule>
  </conditionalFormatting>
  <conditionalFormatting sqref="F365">
    <cfRule type="containsText" dxfId="365" priority="360" operator="containsText" text="以上均无">
      <formula>NOT(ISERROR(SEARCH("以上均无",#REF!)))</formula>
    </cfRule>
  </conditionalFormatting>
  <conditionalFormatting sqref="F365:F368 F372">
    <cfRule type="containsText" dxfId="364" priority="359" operator="containsText" text="请注明">
      <formula>NOT(ISERROR(SEARCH("请注明",#REF!)))</formula>
    </cfRule>
  </conditionalFormatting>
  <conditionalFormatting sqref="F373:F374 F377:F410">
    <cfRule type="containsText" dxfId="363" priority="363" operator="containsText" text="请注明">
      <formula>NOT(ISERROR(SEARCH("请注明",F373)))</formula>
    </cfRule>
    <cfRule type="containsText" dxfId="362" priority="364" operator="containsText" text="以上均无">
      <formula>NOT(ISERROR(SEARCH("以上均无",F373)))</formula>
    </cfRule>
  </conditionalFormatting>
  <conditionalFormatting sqref="F375">
    <cfRule type="containsText" dxfId="361" priority="348" operator="containsText" text="请注明">
      <formula>NOT(ISERROR(SEARCH("请注明",#REF!)))</formula>
    </cfRule>
    <cfRule type="containsText" dxfId="360" priority="349" operator="containsText" text="以上均无">
      <formula>NOT(ISERROR(SEARCH("以上均无",#REF!)))</formula>
    </cfRule>
  </conditionalFormatting>
  <conditionalFormatting sqref="F376">
    <cfRule type="containsText" dxfId="359" priority="346" operator="containsText" text="请注明">
      <formula>NOT(ISERROR(SEARCH("请注明",#REF!)))</formula>
    </cfRule>
    <cfRule type="containsText" dxfId="358" priority="347" operator="containsText" text="以上均无">
      <formula>NOT(ISERROR(SEARCH("以上均无",#REF!)))</formula>
    </cfRule>
  </conditionalFormatting>
  <conditionalFormatting sqref="F418:F426">
    <cfRule type="containsText" dxfId="357" priority="310" operator="containsText" text="请注明">
      <formula>NOT(ISERROR(SEARCH("请注明",F418)))</formula>
    </cfRule>
    <cfRule type="containsText" dxfId="356" priority="311" operator="containsText" text="以上均无">
      <formula>NOT(ISERROR(SEARCH("以上均无",F418)))</formula>
    </cfRule>
  </conditionalFormatting>
  <conditionalFormatting sqref="F428:F431">
    <cfRule type="containsText" dxfId="355" priority="36" operator="containsText" text="请注明">
      <formula>NOT(ISERROR(SEARCH("请注明",F428)))</formula>
    </cfRule>
    <cfRule type="containsText" dxfId="354" priority="37" operator="containsText" text="以上均无">
      <formula>NOT(ISERROR(SEARCH("以上均无",F428)))</formula>
    </cfRule>
  </conditionalFormatting>
  <conditionalFormatting sqref="F436">
    <cfRule type="containsText" dxfId="353" priority="329" operator="containsText" text="请注明">
      <formula>NOT(ISERROR(SEARCH("请注明",#REF!)))</formula>
    </cfRule>
    <cfRule type="containsText" dxfId="352" priority="330" operator="containsText" text="以上均无">
      <formula>NOT(ISERROR(SEARCH("以上均无",#REF!)))</formula>
    </cfRule>
  </conditionalFormatting>
  <conditionalFormatting sqref="F437">
    <cfRule type="containsText" dxfId="351" priority="327" operator="containsText" text="请注明">
      <formula>NOT(ISERROR(SEARCH("请注明",#REF!)))</formula>
    </cfRule>
    <cfRule type="containsText" dxfId="350" priority="328" operator="containsText" text="以上均无">
      <formula>NOT(ISERROR(SEARCH("以上均无",#REF!)))</formula>
    </cfRule>
  </conditionalFormatting>
  <conditionalFormatting sqref="F438:F476">
    <cfRule type="containsText" dxfId="349" priority="325" operator="containsText" text="请注明">
      <formula>NOT(ISERROR(SEARCH("请注明",F438)))</formula>
    </cfRule>
    <cfRule type="containsText" dxfId="348" priority="326" operator="containsText" text="以上均无">
      <formula>NOT(ISERROR(SEARCH("以上均无",F438)))</formula>
    </cfRule>
  </conditionalFormatting>
  <conditionalFormatting sqref="F478:F480">
    <cfRule type="containsText" dxfId="347" priority="44" operator="containsText" text="请注明">
      <formula>NOT(ISERROR(SEARCH("请注明",F478)))</formula>
    </cfRule>
    <cfRule type="containsText" dxfId="346" priority="45" operator="containsText" text="以上均无">
      <formula>NOT(ISERROR(SEARCH("以上均无",F478)))</formula>
    </cfRule>
  </conditionalFormatting>
  <conditionalFormatting sqref="F485">
    <cfRule type="containsText" dxfId="345" priority="308" operator="containsText" text="请注明">
      <formula>NOT(ISERROR(SEARCH("请注明",#REF!)))</formula>
    </cfRule>
    <cfRule type="containsText" dxfId="344" priority="309" operator="containsText" text="以上均无">
      <formula>NOT(ISERROR(SEARCH("以上均无",#REF!)))</formula>
    </cfRule>
  </conditionalFormatting>
  <conditionalFormatting sqref="F486">
    <cfRule type="containsText" dxfId="343" priority="306" operator="containsText" text="请注明">
      <formula>NOT(ISERROR(SEARCH("请注明",#REF!)))</formula>
    </cfRule>
    <cfRule type="containsText" dxfId="342" priority="307" operator="containsText" text="以上均无">
      <formula>NOT(ISERROR(SEARCH("以上均无",#REF!)))</formula>
    </cfRule>
  </conditionalFormatting>
  <conditionalFormatting sqref="F487:F519">
    <cfRule type="containsText" dxfId="341" priority="304" operator="containsText" text="请注明">
      <formula>NOT(ISERROR(SEARCH("请注明",F487)))</formula>
    </cfRule>
    <cfRule type="containsText" dxfId="340" priority="305" operator="containsText" text="以上均无">
      <formula>NOT(ISERROR(SEARCH("以上均无",F487)))</formula>
    </cfRule>
  </conditionalFormatting>
  <conditionalFormatting sqref="F521:F524">
    <cfRule type="containsText" dxfId="339" priority="52" operator="containsText" text="请注明">
      <formula>NOT(ISERROR(SEARCH("请注明",F521)))</formula>
    </cfRule>
    <cfRule type="containsText" dxfId="338" priority="53" operator="containsText" text="以上均无">
      <formula>NOT(ISERROR(SEARCH("以上均无",F521)))</formula>
    </cfRule>
  </conditionalFormatting>
  <conditionalFormatting sqref="F529">
    <cfRule type="containsText" dxfId="337" priority="289" operator="containsText" text="请注明">
      <formula>NOT(ISERROR(SEARCH("请注明",#REF!)))</formula>
    </cfRule>
    <cfRule type="containsText" dxfId="336" priority="290" operator="containsText" text="以上均无">
      <formula>NOT(ISERROR(SEARCH("以上均无",#REF!)))</formula>
    </cfRule>
  </conditionalFormatting>
  <conditionalFormatting sqref="F530">
    <cfRule type="containsText" dxfId="335" priority="287" operator="containsText" text="请注明">
      <formula>NOT(ISERROR(SEARCH("请注明",#REF!)))</formula>
    </cfRule>
    <cfRule type="containsText" dxfId="334" priority="288" operator="containsText" text="以上均无">
      <formula>NOT(ISERROR(SEARCH("以上均无",#REF!)))</formula>
    </cfRule>
  </conditionalFormatting>
  <conditionalFormatting sqref="F531:F563">
    <cfRule type="containsText" dxfId="333" priority="285" operator="containsText" text="请注明">
      <formula>NOT(ISERROR(SEARCH("请注明",F531)))</formula>
    </cfRule>
    <cfRule type="containsText" dxfId="332" priority="286" operator="containsText" text="以上均无">
      <formula>NOT(ISERROR(SEARCH("以上均无",F531)))</formula>
    </cfRule>
  </conditionalFormatting>
  <conditionalFormatting sqref="F565:F568">
    <cfRule type="containsText" dxfId="331" priority="60" operator="containsText" text="请注明">
      <formula>NOT(ISERROR(SEARCH("请注明",F565)))</formula>
    </cfRule>
    <cfRule type="containsText" dxfId="330" priority="61" operator="containsText" text="以上均无">
      <formula>NOT(ISERROR(SEARCH("以上均无",F565)))</formula>
    </cfRule>
  </conditionalFormatting>
  <conditionalFormatting sqref="F573">
    <cfRule type="containsText" dxfId="329" priority="270" operator="containsText" text="请注明">
      <formula>NOT(ISERROR(SEARCH("请注明",#REF!)))</formula>
    </cfRule>
    <cfRule type="containsText" dxfId="328" priority="271" operator="containsText" text="以上均无">
      <formula>NOT(ISERROR(SEARCH("以上均无",#REF!)))</formula>
    </cfRule>
  </conditionalFormatting>
  <conditionalFormatting sqref="F574">
    <cfRule type="containsText" dxfId="327" priority="268" operator="containsText" text="请注明">
      <formula>NOT(ISERROR(SEARCH("请注明",#REF!)))</formula>
    </cfRule>
    <cfRule type="containsText" dxfId="326" priority="269" operator="containsText" text="以上均无">
      <formula>NOT(ISERROR(SEARCH("以上均无",#REF!)))</formula>
    </cfRule>
  </conditionalFormatting>
  <conditionalFormatting sqref="F575:F610">
    <cfRule type="containsText" dxfId="325" priority="266" operator="containsText" text="请注明">
      <formula>NOT(ISERROR(SEARCH("请注明",F575)))</formula>
    </cfRule>
    <cfRule type="containsText" dxfId="324" priority="267" operator="containsText" text="以上均无">
      <formula>NOT(ISERROR(SEARCH("以上均无",F575)))</formula>
    </cfRule>
  </conditionalFormatting>
  <conditionalFormatting sqref="F612:F615">
    <cfRule type="containsText" dxfId="323" priority="68" operator="containsText" text="请注明">
      <formula>NOT(ISERROR(SEARCH("请注明",F612)))</formula>
    </cfRule>
    <cfRule type="containsText" dxfId="322" priority="69" operator="containsText" text="以上均无">
      <formula>NOT(ISERROR(SEARCH("以上均无",F612)))</formula>
    </cfRule>
  </conditionalFormatting>
  <conditionalFormatting sqref="F620">
    <cfRule type="containsText" dxfId="321" priority="251" operator="containsText" text="请注明">
      <formula>NOT(ISERROR(SEARCH("请注明",#REF!)))</formula>
    </cfRule>
    <cfRule type="containsText" dxfId="320" priority="252" operator="containsText" text="以上均无">
      <formula>NOT(ISERROR(SEARCH("以上均无",#REF!)))</formula>
    </cfRule>
  </conditionalFormatting>
  <conditionalFormatting sqref="F621">
    <cfRule type="containsText" dxfId="319" priority="249" operator="containsText" text="请注明">
      <formula>NOT(ISERROR(SEARCH("请注明",#REF!)))</formula>
    </cfRule>
    <cfRule type="containsText" dxfId="318" priority="250" operator="containsText" text="以上均无">
      <formula>NOT(ISERROR(SEARCH("以上均无",#REF!)))</formula>
    </cfRule>
  </conditionalFormatting>
  <conditionalFormatting sqref="F622:F655">
    <cfRule type="containsText" dxfId="317" priority="247" operator="containsText" text="请注明">
      <formula>NOT(ISERROR(SEARCH("请注明",F622)))</formula>
    </cfRule>
    <cfRule type="containsText" dxfId="316" priority="248" operator="containsText" text="以上均无">
      <formula>NOT(ISERROR(SEARCH("以上均无",F622)))</formula>
    </cfRule>
  </conditionalFormatting>
  <conditionalFormatting sqref="F657:F658">
    <cfRule type="containsText" dxfId="315" priority="76" operator="containsText" text="请注明">
      <formula>NOT(ISERROR(SEARCH("请注明",F657)))</formula>
    </cfRule>
    <cfRule type="containsText" dxfId="314" priority="77" operator="containsText" text="以上均无">
      <formula>NOT(ISERROR(SEARCH("以上均无",F657)))</formula>
    </cfRule>
  </conditionalFormatting>
  <conditionalFormatting sqref="F663">
    <cfRule type="containsText" dxfId="313" priority="232" operator="containsText" text="请注明">
      <formula>NOT(ISERROR(SEARCH("请注明",#REF!)))</formula>
    </cfRule>
    <cfRule type="containsText" dxfId="312" priority="233" operator="containsText" text="以上均无">
      <formula>NOT(ISERROR(SEARCH("以上均无",#REF!)))</formula>
    </cfRule>
  </conditionalFormatting>
  <conditionalFormatting sqref="F664">
    <cfRule type="containsText" dxfId="311" priority="230" operator="containsText" text="请注明">
      <formula>NOT(ISERROR(SEARCH("请注明",#REF!)))</formula>
    </cfRule>
    <cfRule type="containsText" dxfId="310" priority="231" operator="containsText" text="以上均无">
      <formula>NOT(ISERROR(SEARCH("以上均无",#REF!)))</formula>
    </cfRule>
  </conditionalFormatting>
  <conditionalFormatting sqref="F665:F708">
    <cfRule type="containsText" dxfId="309" priority="116" operator="containsText" text="请注明">
      <formula>NOT(ISERROR(SEARCH("请注明",F665)))</formula>
    </cfRule>
    <cfRule type="containsText" dxfId="308" priority="117" operator="containsText" text="以上均无">
      <formula>NOT(ISERROR(SEARCH("以上均无",F665)))</formula>
    </cfRule>
  </conditionalFormatting>
  <conditionalFormatting sqref="F710:F712">
    <cfRule type="containsText" dxfId="307" priority="84" operator="containsText" text="请注明">
      <formula>NOT(ISERROR(SEARCH("请注明",F710)))</formula>
    </cfRule>
    <cfRule type="containsText" dxfId="306" priority="85" operator="containsText" text="以上均无">
      <formula>NOT(ISERROR(SEARCH("以上均无",F710)))</formula>
    </cfRule>
  </conditionalFormatting>
  <conditionalFormatting sqref="F717">
    <cfRule type="containsText" dxfId="305" priority="215" operator="containsText" text="请注明">
      <formula>NOT(ISERROR(SEARCH("请注明",#REF!)))</formula>
    </cfRule>
    <cfRule type="containsText" dxfId="304" priority="216" operator="containsText" text="以上均无">
      <formula>NOT(ISERROR(SEARCH("以上均无",#REF!)))</formula>
    </cfRule>
  </conditionalFormatting>
  <conditionalFormatting sqref="F718">
    <cfRule type="containsText" dxfId="303" priority="213" operator="containsText" text="请注明">
      <formula>NOT(ISERROR(SEARCH("请注明",#REF!)))</formula>
    </cfRule>
    <cfRule type="containsText" dxfId="302" priority="214" operator="containsText" text="以上均无">
      <formula>NOT(ISERROR(SEARCH("以上均无",#REF!)))</formula>
    </cfRule>
  </conditionalFormatting>
  <conditionalFormatting sqref="F719:F755">
    <cfRule type="containsText" dxfId="301" priority="118" operator="containsText" text="请注明">
      <formula>NOT(ISERROR(SEARCH("请注明",F719)))</formula>
    </cfRule>
    <cfRule type="containsText" dxfId="300" priority="119" operator="containsText" text="以上均无">
      <formula>NOT(ISERROR(SEARCH("以上均无",F719)))</formula>
    </cfRule>
  </conditionalFormatting>
  <conditionalFormatting sqref="F757:F758">
    <cfRule type="containsText" dxfId="299" priority="108" operator="containsText" text="请注明">
      <formula>NOT(ISERROR(SEARCH("请注明",F757)))</formula>
    </cfRule>
    <cfRule type="containsText" dxfId="298" priority="109" operator="containsText" text="以上均无">
      <formula>NOT(ISERROR(SEARCH("以上均无",F757)))</formula>
    </cfRule>
  </conditionalFormatting>
  <conditionalFormatting sqref="F763">
    <cfRule type="containsText" dxfId="297" priority="198" operator="containsText" text="请注明">
      <formula>NOT(ISERROR(SEARCH("请注明",#REF!)))</formula>
    </cfRule>
    <cfRule type="containsText" dxfId="296" priority="199" operator="containsText" text="以上均无">
      <formula>NOT(ISERROR(SEARCH("以上均无",#REF!)))</formula>
    </cfRule>
  </conditionalFormatting>
  <conditionalFormatting sqref="F764">
    <cfRule type="containsText" dxfId="295" priority="196" operator="containsText" text="请注明">
      <formula>NOT(ISERROR(SEARCH("请注明",#REF!)))</formula>
    </cfRule>
    <cfRule type="containsText" dxfId="294" priority="197" operator="containsText" text="以上均无">
      <formula>NOT(ISERROR(SEARCH("以上均无",#REF!)))</formula>
    </cfRule>
  </conditionalFormatting>
  <conditionalFormatting sqref="F765:F801">
    <cfRule type="containsText" dxfId="293" priority="120" operator="containsText" text="请注明">
      <formula>NOT(ISERROR(SEARCH("请注明",F765)))</formula>
    </cfRule>
    <cfRule type="containsText" dxfId="292" priority="121" operator="containsText" text="以上均无">
      <formula>NOT(ISERROR(SEARCH("以上均无",F765)))</formula>
    </cfRule>
  </conditionalFormatting>
  <conditionalFormatting sqref="F803:F804">
    <cfRule type="containsText" dxfId="291" priority="100" operator="containsText" text="请注明">
      <formula>NOT(ISERROR(SEARCH("请注明",F803)))</formula>
    </cfRule>
    <cfRule type="containsText" dxfId="290" priority="101" operator="containsText" text="以上均无">
      <formula>NOT(ISERROR(SEARCH("以上均无",F803)))</formula>
    </cfRule>
  </conditionalFormatting>
  <conditionalFormatting sqref="F809">
    <cfRule type="containsText" dxfId="289" priority="181" operator="containsText" text="请注明">
      <formula>NOT(ISERROR(SEARCH("请注明",#REF!)))</formula>
    </cfRule>
    <cfRule type="containsText" dxfId="288" priority="182" operator="containsText" text="以上均无">
      <formula>NOT(ISERROR(SEARCH("以上均无",#REF!)))</formula>
    </cfRule>
  </conditionalFormatting>
  <conditionalFormatting sqref="F810">
    <cfRule type="containsText" dxfId="287" priority="179" operator="containsText" text="请注明">
      <formula>NOT(ISERROR(SEARCH("请注明",#REF!)))</formula>
    </cfRule>
    <cfRule type="containsText" dxfId="286" priority="180" operator="containsText" text="以上均无">
      <formula>NOT(ISERROR(SEARCH("以上均无",#REF!)))</formula>
    </cfRule>
  </conditionalFormatting>
  <conditionalFormatting sqref="F811:F847">
    <cfRule type="containsText" dxfId="285" priority="177" operator="containsText" text="请注明">
      <formula>NOT(ISERROR(SEARCH("请注明",F811)))</formula>
    </cfRule>
    <cfRule type="containsText" dxfId="284" priority="178" operator="containsText" text="以上均无">
      <formula>NOT(ISERROR(SEARCH("以上均无",F811)))</formula>
    </cfRule>
  </conditionalFormatting>
  <conditionalFormatting sqref="F849:F850">
    <cfRule type="containsText" dxfId="283" priority="92" operator="containsText" text="请注明">
      <formula>NOT(ISERROR(SEARCH("请注明",F849)))</formula>
    </cfRule>
    <cfRule type="containsText" dxfId="282" priority="93" operator="containsText" text="以上均无">
      <formula>NOT(ISERROR(SEARCH("以上均无",F849)))</formula>
    </cfRule>
  </conditionalFormatting>
  <conditionalFormatting sqref="F853">
    <cfRule type="containsText" dxfId="281" priority="397" operator="containsText" text="以上均无">
      <formula>NOT(ISERROR(SEARCH("以上均无",F853)))</formula>
    </cfRule>
  </conditionalFormatting>
  <conditionalFormatting sqref="F196:G200">
    <cfRule type="cellIs" dxfId="280" priority="16" operator="equal">
      <formula>"其他"</formula>
    </cfRule>
    <cfRule type="containsText" dxfId="279" priority="17" operator="containsText" text="（请注明：">
      <formula>NOT(ISERROR(SEARCH("（请注明：",F196)))</formula>
    </cfRule>
    <cfRule type="containsText" dxfId="278" priority="18" operator="containsText" text="请注明">
      <formula>NOT(ISERROR(SEARCH("请注明",F196)))</formula>
    </cfRule>
    <cfRule type="containsText" dxfId="277" priority="19" operator="containsText" text="以上均无">
      <formula>NOT(ISERROR(SEARCH("以上均无",F196)))</formula>
    </cfRule>
  </conditionalFormatting>
  <conditionalFormatting sqref="F216:G228 F36:F39">
    <cfRule type="cellIs" dxfId="276" priority="400" operator="equal">
      <formula>"其他"</formula>
    </cfRule>
    <cfRule type="containsText" dxfId="275" priority="401" operator="containsText" text="（请注明：">
      <formula>NOT(ISERROR(SEARCH("（请注明：",F36)))</formula>
    </cfRule>
  </conditionalFormatting>
  <conditionalFormatting sqref="F238:G250">
    <cfRule type="containsText" dxfId="274" priority="382" operator="containsText" text="请注明">
      <formula>NOT(ISERROR(SEARCH("请注明",F238)))</formula>
    </cfRule>
    <cfRule type="containsText" dxfId="273" priority="383" operator="containsText" text="以上均无">
      <formula>NOT(ISERROR(SEARCH("以上均无",F238)))</formula>
    </cfRule>
  </conditionalFormatting>
  <conditionalFormatting sqref="F250:G250">
    <cfRule type="cellIs" dxfId="272" priority="384" operator="equal">
      <formula>"其他"</formula>
    </cfRule>
    <cfRule type="containsText" dxfId="271" priority="385" operator="containsText" text="（请注明：">
      <formula>NOT(ISERROR(SEARCH("（请注明：",F250)))</formula>
    </cfRule>
  </conditionalFormatting>
  <conditionalFormatting sqref="F257:G263">
    <cfRule type="cellIs" dxfId="270" priority="380" operator="equal">
      <formula>"其他"</formula>
    </cfRule>
    <cfRule type="containsText" dxfId="269" priority="381" operator="containsText" text="（请注明：">
      <formula>NOT(ISERROR(SEARCH("（请注明：",F257)))</formula>
    </cfRule>
  </conditionalFormatting>
  <conditionalFormatting sqref="F323:G333">
    <cfRule type="containsText" dxfId="268" priority="352" operator="containsText" text="记不清了">
      <formula>NOT(ISERROR(SEARCH("记不清了",F323)))</formula>
    </cfRule>
    <cfRule type="containsText" dxfId="267" priority="353" operator="containsText" text="请注明">
      <formula>NOT(ISERROR(SEARCH("请注明",F323)))</formula>
    </cfRule>
    <cfRule type="containsText" dxfId="266" priority="354" operator="containsText" text="以上均无">
      <formula>NOT(ISERROR(SEARCH("以上均无",F323)))</formula>
    </cfRule>
    <cfRule type="cellIs" dxfId="265" priority="355" operator="equal">
      <formula>"其他"</formula>
    </cfRule>
    <cfRule type="containsText" dxfId="264" priority="356" operator="containsText" text="（请注明：">
      <formula>NOT(ISERROR(SEARCH("（请注明：",F323)))</formula>
    </cfRule>
  </conditionalFormatting>
  <conditionalFormatting sqref="F356:G359">
    <cfRule type="containsText" dxfId="263" priority="159" operator="containsText" text="记不清了">
      <formula>NOT(ISERROR(SEARCH("记不清了",F356)))</formula>
    </cfRule>
    <cfRule type="containsText" dxfId="262" priority="160" operator="containsText" text="请注明">
      <formula>NOT(ISERROR(SEARCH("请注明",F356)))</formula>
    </cfRule>
    <cfRule type="containsText" dxfId="261" priority="161" operator="containsText" text="以上均无">
      <formula>NOT(ISERROR(SEARCH("以上均无",F356)))</formula>
    </cfRule>
    <cfRule type="cellIs" dxfId="260" priority="162" operator="equal">
      <formula>"其他"</formula>
    </cfRule>
    <cfRule type="containsText" dxfId="259" priority="163" operator="containsText" text="（请注明：">
      <formula>NOT(ISERROR(SEARCH("（请注明：",F356)))</formula>
    </cfRule>
  </conditionalFormatting>
  <conditionalFormatting sqref="F411:G417">
    <cfRule type="containsText" dxfId="258" priority="368" operator="containsText" text="记不清了">
      <formula>NOT(ISERROR(SEARCH("记不清了",F411)))</formula>
    </cfRule>
    <cfRule type="containsText" dxfId="257" priority="369" operator="containsText" text="请注明">
      <formula>NOT(ISERROR(SEARCH("请注明",F411)))</formula>
    </cfRule>
    <cfRule type="containsText" dxfId="256" priority="370" operator="containsText" text="以上均无">
      <formula>NOT(ISERROR(SEARCH("以上均无",F411)))</formula>
    </cfRule>
    <cfRule type="cellIs" dxfId="255" priority="371" operator="equal">
      <formula>"其他"</formula>
    </cfRule>
    <cfRule type="containsText" dxfId="254" priority="372" operator="containsText" text="（请注明：">
      <formula>NOT(ISERROR(SEARCH("（请注明：",F411)))</formula>
    </cfRule>
  </conditionalFormatting>
  <conditionalFormatting sqref="F432:G435">
    <cfRule type="containsText" dxfId="253" priority="340" operator="containsText" text="记不清了">
      <formula>NOT(ISERROR(SEARCH("记不清了",F432)))</formula>
    </cfRule>
    <cfRule type="containsText" dxfId="252" priority="341" operator="containsText" text="请注明">
      <formula>NOT(ISERROR(SEARCH("请注明",F432)))</formula>
    </cfRule>
    <cfRule type="containsText" dxfId="251" priority="342" operator="containsText" text="以上均无">
      <formula>NOT(ISERROR(SEARCH("以上均无",F432)))</formula>
    </cfRule>
    <cfRule type="cellIs" dxfId="250" priority="343" operator="equal">
      <formula>"其他"</formula>
    </cfRule>
    <cfRule type="containsText" dxfId="249" priority="344" operator="containsText" text="（请注明：">
      <formula>NOT(ISERROR(SEARCH("（请注明：",F432)))</formula>
    </cfRule>
  </conditionalFormatting>
  <conditionalFormatting sqref="F481:G484">
    <cfRule type="containsText" dxfId="248" priority="319" operator="containsText" text="记不清了">
      <formula>NOT(ISERROR(SEARCH("记不清了",F481)))</formula>
    </cfRule>
    <cfRule type="containsText" dxfId="247" priority="320" operator="containsText" text="请注明">
      <formula>NOT(ISERROR(SEARCH("请注明",F481)))</formula>
    </cfRule>
    <cfRule type="containsText" dxfId="246" priority="321" operator="containsText" text="以上均无">
      <formula>NOT(ISERROR(SEARCH("以上均无",F481)))</formula>
    </cfRule>
    <cfRule type="cellIs" dxfId="245" priority="322" operator="equal">
      <formula>"其他"</formula>
    </cfRule>
    <cfRule type="containsText" dxfId="244" priority="323" operator="containsText" text="（请注明：">
      <formula>NOT(ISERROR(SEARCH("（请注明：",F481)))</formula>
    </cfRule>
  </conditionalFormatting>
  <conditionalFormatting sqref="F525:G528">
    <cfRule type="containsText" dxfId="243" priority="299" operator="containsText" text="记不清了">
      <formula>NOT(ISERROR(SEARCH("记不清了",F525)))</formula>
    </cfRule>
    <cfRule type="containsText" dxfId="242" priority="300" operator="containsText" text="请注明">
      <formula>NOT(ISERROR(SEARCH("请注明",F525)))</formula>
    </cfRule>
    <cfRule type="containsText" dxfId="241" priority="301" operator="containsText" text="以上均无">
      <formula>NOT(ISERROR(SEARCH("以上均无",F525)))</formula>
    </cfRule>
    <cfRule type="cellIs" dxfId="240" priority="302" operator="equal">
      <formula>"其他"</formula>
    </cfRule>
    <cfRule type="containsText" dxfId="239" priority="303" operator="containsText" text="（请注明：">
      <formula>NOT(ISERROR(SEARCH("（请注明：",F525)))</formula>
    </cfRule>
  </conditionalFormatting>
  <conditionalFormatting sqref="F569:G572">
    <cfRule type="containsText" dxfId="238" priority="280" operator="containsText" text="记不清了">
      <formula>NOT(ISERROR(SEARCH("记不清了",F569)))</formula>
    </cfRule>
    <cfRule type="containsText" dxfId="237" priority="281" operator="containsText" text="请注明">
      <formula>NOT(ISERROR(SEARCH("请注明",F569)))</formula>
    </cfRule>
    <cfRule type="containsText" dxfId="236" priority="282" operator="containsText" text="以上均无">
      <formula>NOT(ISERROR(SEARCH("以上均无",F569)))</formula>
    </cfRule>
    <cfRule type="cellIs" dxfId="235" priority="283" operator="equal">
      <formula>"其他"</formula>
    </cfRule>
    <cfRule type="containsText" dxfId="234" priority="284" operator="containsText" text="（请注明：">
      <formula>NOT(ISERROR(SEARCH("（请注明：",F569)))</formula>
    </cfRule>
  </conditionalFormatting>
  <conditionalFormatting sqref="F616:G619">
    <cfRule type="containsText" dxfId="233" priority="261" operator="containsText" text="记不清了">
      <formula>NOT(ISERROR(SEARCH("记不清了",F616)))</formula>
    </cfRule>
    <cfRule type="containsText" dxfId="232" priority="262" operator="containsText" text="请注明">
      <formula>NOT(ISERROR(SEARCH("请注明",F616)))</formula>
    </cfRule>
    <cfRule type="containsText" dxfId="231" priority="263" operator="containsText" text="以上均无">
      <formula>NOT(ISERROR(SEARCH("以上均无",F616)))</formula>
    </cfRule>
    <cfRule type="cellIs" dxfId="230" priority="264" operator="equal">
      <formula>"其他"</formula>
    </cfRule>
    <cfRule type="containsText" dxfId="229" priority="265" operator="containsText" text="（请注明：">
      <formula>NOT(ISERROR(SEARCH("（请注明：",F616)))</formula>
    </cfRule>
  </conditionalFormatting>
  <conditionalFormatting sqref="F659:G662">
    <cfRule type="containsText" dxfId="228" priority="242" operator="containsText" text="记不清了">
      <formula>NOT(ISERROR(SEARCH("记不清了",F659)))</formula>
    </cfRule>
    <cfRule type="containsText" dxfId="227" priority="243" operator="containsText" text="请注明">
      <formula>NOT(ISERROR(SEARCH("请注明",F659)))</formula>
    </cfRule>
    <cfRule type="containsText" dxfId="226" priority="244" operator="containsText" text="以上均无">
      <formula>NOT(ISERROR(SEARCH("以上均无",F659)))</formula>
    </cfRule>
    <cfRule type="cellIs" dxfId="225" priority="245" operator="equal">
      <formula>"其他"</formula>
    </cfRule>
    <cfRule type="containsText" dxfId="224" priority="246" operator="containsText" text="（请注明：">
      <formula>NOT(ISERROR(SEARCH("（请注明：",F659)))</formula>
    </cfRule>
  </conditionalFormatting>
  <conditionalFormatting sqref="F713:G716">
    <cfRule type="containsText" dxfId="223" priority="225" operator="containsText" text="记不清了">
      <formula>NOT(ISERROR(SEARCH("记不清了",F713)))</formula>
    </cfRule>
    <cfRule type="containsText" dxfId="222" priority="226" operator="containsText" text="请注明">
      <formula>NOT(ISERROR(SEARCH("请注明",F713)))</formula>
    </cfRule>
    <cfRule type="containsText" dxfId="221" priority="227" operator="containsText" text="以上均无">
      <formula>NOT(ISERROR(SEARCH("以上均无",F713)))</formula>
    </cfRule>
    <cfRule type="cellIs" dxfId="220" priority="228" operator="equal">
      <formula>"其他"</formula>
    </cfRule>
    <cfRule type="containsText" dxfId="219" priority="229" operator="containsText" text="（请注明：">
      <formula>NOT(ISERROR(SEARCH("（请注明：",F713)))</formula>
    </cfRule>
  </conditionalFormatting>
  <conditionalFormatting sqref="F759:G762">
    <cfRule type="containsText" dxfId="218" priority="208" operator="containsText" text="记不清了">
      <formula>NOT(ISERROR(SEARCH("记不清了",F759)))</formula>
    </cfRule>
    <cfRule type="containsText" dxfId="217" priority="209" operator="containsText" text="请注明">
      <formula>NOT(ISERROR(SEARCH("请注明",F759)))</formula>
    </cfRule>
    <cfRule type="containsText" dxfId="216" priority="210" operator="containsText" text="以上均无">
      <formula>NOT(ISERROR(SEARCH("以上均无",F759)))</formula>
    </cfRule>
    <cfRule type="cellIs" dxfId="215" priority="211" operator="equal">
      <formula>"其他"</formula>
    </cfRule>
    <cfRule type="containsText" dxfId="214" priority="212" operator="containsText" text="（请注明：">
      <formula>NOT(ISERROR(SEARCH("（请注明：",F759)))</formula>
    </cfRule>
  </conditionalFormatting>
  <conditionalFormatting sqref="F805:G808">
    <cfRule type="containsText" dxfId="213" priority="191" operator="containsText" text="记不清了">
      <formula>NOT(ISERROR(SEARCH("记不清了",F805)))</formula>
    </cfRule>
    <cfRule type="containsText" dxfId="212" priority="192" operator="containsText" text="请注明">
      <formula>NOT(ISERROR(SEARCH("请注明",F805)))</formula>
    </cfRule>
    <cfRule type="containsText" dxfId="211" priority="193" operator="containsText" text="以上均无">
      <formula>NOT(ISERROR(SEARCH("以上均无",F805)))</formula>
    </cfRule>
    <cfRule type="cellIs" dxfId="210" priority="194" operator="equal">
      <formula>"其他"</formula>
    </cfRule>
    <cfRule type="containsText" dxfId="209" priority="195" operator="containsText" text="（请注明：">
      <formula>NOT(ISERROR(SEARCH("（请注明：",F805)))</formula>
    </cfRule>
  </conditionalFormatting>
  <conditionalFormatting sqref="F851:G851">
    <cfRule type="containsText" dxfId="208" priority="172" operator="containsText" text="记不清了">
      <formula>NOT(ISERROR(SEARCH("记不清了",F851)))</formula>
    </cfRule>
    <cfRule type="containsText" dxfId="207" priority="173" operator="containsText" text="请注明">
      <formula>NOT(ISERROR(SEARCH("请注明",F851)))</formula>
    </cfRule>
    <cfRule type="containsText" dxfId="206" priority="174" operator="containsText" text="以上均无">
      <formula>NOT(ISERROR(SEARCH("以上均无",F851)))</formula>
    </cfRule>
    <cfRule type="cellIs" dxfId="205" priority="175" operator="equal">
      <formula>"其他"</formula>
    </cfRule>
    <cfRule type="containsText" dxfId="204" priority="176" operator="containsText" text="（请注明：">
      <formula>NOT(ISERROR(SEARCH("（请注明：",F851)))</formula>
    </cfRule>
  </conditionalFormatting>
  <conditionalFormatting sqref="F207:J208">
    <cfRule type="cellIs" dxfId="203" priority="13" operator="equal">
      <formula>"其他"</formula>
    </cfRule>
    <cfRule type="containsText" dxfId="202" priority="14" operator="containsText" text="（请注明：">
      <formula>NOT(ISERROR(SEARCH("（请注明：",F207)))</formula>
    </cfRule>
  </conditionalFormatting>
  <conditionalFormatting sqref="F207:J209">
    <cfRule type="containsText" dxfId="201" priority="9" operator="containsText" text="请注明">
      <formula>NOT(ISERROR(SEARCH("请注明",F207)))</formula>
    </cfRule>
    <cfRule type="containsText" dxfId="200" priority="10" operator="containsText" text="以上均无">
      <formula>NOT(ISERROR(SEARCH("以上均无",F207)))</formula>
    </cfRule>
  </conditionalFormatting>
  <conditionalFormatting sqref="F209:J209">
    <cfRule type="cellIs" dxfId="199" priority="7" operator="equal">
      <formula>"其他"</formula>
    </cfRule>
    <cfRule type="containsText" dxfId="198" priority="8" operator="containsText" text="（请注明：">
      <formula>NOT(ISERROR(SEARCH("（请注明：",F209)))</formula>
    </cfRule>
  </conditionalFormatting>
  <conditionalFormatting sqref="F341:J341">
    <cfRule type="containsText" dxfId="197" priority="136" operator="containsText" text="请注明">
      <formula>NOT(ISERROR(SEARCH("请注明",F341)))</formula>
    </cfRule>
    <cfRule type="containsText" dxfId="196" priority="137" operator="containsText" text="以上均无">
      <formula>NOT(ISERROR(SEARCH("以上均无",F341)))</formula>
    </cfRule>
  </conditionalFormatting>
  <conditionalFormatting sqref="F352:J355">
    <cfRule type="containsText" dxfId="195" priority="147" operator="containsText" text="请注明">
      <formula>NOT(ISERROR(SEARCH("请注明",F352)))</formula>
    </cfRule>
    <cfRule type="containsText" dxfId="194" priority="148" operator="containsText" text="以上均无">
      <formula>NOT(ISERROR(SEARCH("以上均无",F352)))</formula>
    </cfRule>
  </conditionalFormatting>
  <conditionalFormatting sqref="F428:J428">
    <cfRule type="containsText" dxfId="193" priority="40" operator="containsText" text="请注明">
      <formula>NOT(ISERROR(SEARCH("请注明",F428)))</formula>
    </cfRule>
    <cfRule type="containsText" dxfId="192" priority="41" operator="containsText" text="以上均无">
      <formula>NOT(ISERROR(SEARCH("以上均无",F428)))</formula>
    </cfRule>
  </conditionalFormatting>
  <conditionalFormatting sqref="F478:J478">
    <cfRule type="containsText" dxfId="191" priority="48" operator="containsText" text="请注明">
      <formula>NOT(ISERROR(SEARCH("请注明",F478)))</formula>
    </cfRule>
    <cfRule type="containsText" dxfId="190" priority="49" operator="containsText" text="以上均无">
      <formula>NOT(ISERROR(SEARCH("以上均无",F478)))</formula>
    </cfRule>
  </conditionalFormatting>
  <conditionalFormatting sqref="F521:J521">
    <cfRule type="containsText" dxfId="189" priority="56" operator="containsText" text="请注明">
      <formula>NOT(ISERROR(SEARCH("请注明",F521)))</formula>
    </cfRule>
    <cfRule type="containsText" dxfId="188" priority="57" operator="containsText" text="以上均无">
      <formula>NOT(ISERROR(SEARCH("以上均无",F521)))</formula>
    </cfRule>
  </conditionalFormatting>
  <conditionalFormatting sqref="F565:J565">
    <cfRule type="containsText" dxfId="187" priority="64" operator="containsText" text="请注明">
      <formula>NOT(ISERROR(SEARCH("请注明",F565)))</formula>
    </cfRule>
    <cfRule type="containsText" dxfId="186" priority="65" operator="containsText" text="以上均无">
      <formula>NOT(ISERROR(SEARCH("以上均无",F565)))</formula>
    </cfRule>
  </conditionalFormatting>
  <conditionalFormatting sqref="F612:J612">
    <cfRule type="containsText" dxfId="185" priority="72" operator="containsText" text="请注明">
      <formula>NOT(ISERROR(SEARCH("请注明",F612)))</formula>
    </cfRule>
    <cfRule type="containsText" dxfId="184" priority="73" operator="containsText" text="以上均无">
      <formula>NOT(ISERROR(SEARCH("以上均无",F612)))</formula>
    </cfRule>
  </conditionalFormatting>
  <conditionalFormatting sqref="F657:J657">
    <cfRule type="containsText" dxfId="183" priority="80" operator="containsText" text="请注明">
      <formula>NOT(ISERROR(SEARCH("请注明",F657)))</formula>
    </cfRule>
    <cfRule type="containsText" dxfId="182" priority="81" operator="containsText" text="以上均无">
      <formula>NOT(ISERROR(SEARCH("以上均无",F657)))</formula>
    </cfRule>
  </conditionalFormatting>
  <conditionalFormatting sqref="F710:J710">
    <cfRule type="containsText" dxfId="181" priority="88" operator="containsText" text="请注明">
      <formula>NOT(ISERROR(SEARCH("请注明",F710)))</formula>
    </cfRule>
    <cfRule type="containsText" dxfId="180" priority="89" operator="containsText" text="以上均无">
      <formula>NOT(ISERROR(SEARCH("以上均无",F710)))</formula>
    </cfRule>
  </conditionalFormatting>
  <conditionalFormatting sqref="F757:J757">
    <cfRule type="containsText" dxfId="179" priority="112" operator="containsText" text="请注明">
      <formula>NOT(ISERROR(SEARCH("请注明",F757)))</formula>
    </cfRule>
    <cfRule type="containsText" dxfId="178" priority="113" operator="containsText" text="以上均无">
      <formula>NOT(ISERROR(SEARCH("以上均无",F757)))</formula>
    </cfRule>
  </conditionalFormatting>
  <conditionalFormatting sqref="F803:J803">
    <cfRule type="containsText" dxfId="177" priority="104" operator="containsText" text="请注明">
      <formula>NOT(ISERROR(SEARCH("请注明",F803)))</formula>
    </cfRule>
    <cfRule type="containsText" dxfId="176" priority="105" operator="containsText" text="以上均无">
      <formula>NOT(ISERROR(SEARCH("以上均无",F803)))</formula>
    </cfRule>
  </conditionalFormatting>
  <conditionalFormatting sqref="F849:J849">
    <cfRule type="containsText" dxfId="175" priority="96" operator="containsText" text="请注明">
      <formula>NOT(ISERROR(SEARCH("请注明",F849)))</formula>
    </cfRule>
    <cfRule type="containsText" dxfId="174" priority="97" operator="containsText" text="以上均无">
      <formula>NOT(ISERROR(SEARCH("以上均无",F849)))</formula>
    </cfRule>
  </conditionalFormatting>
  <conditionalFormatting sqref="F429:K431">
    <cfRule type="containsText" dxfId="173" priority="345" operator="containsText" text="以上均无">
      <formula>NOT(ISERROR(SEARCH("以上均无",F429)))</formula>
    </cfRule>
  </conditionalFormatting>
  <conditionalFormatting sqref="F479:K480">
    <cfRule type="containsText" dxfId="172" priority="324" operator="containsText" text="以上均无">
      <formula>NOT(ISERROR(SEARCH("以上均无",F479)))</formula>
    </cfRule>
  </conditionalFormatting>
  <conditionalFormatting sqref="F522:K524">
    <cfRule type="containsText" dxfId="171" priority="292" operator="containsText" text="以上均无">
      <formula>NOT(ISERROR(SEARCH("以上均无",F522)))</formula>
    </cfRule>
  </conditionalFormatting>
  <conditionalFormatting sqref="F566:K568">
    <cfRule type="containsText" dxfId="170" priority="273" operator="containsText" text="以上均无">
      <formula>NOT(ISERROR(SEARCH("以上均无",F566)))</formula>
    </cfRule>
  </conditionalFormatting>
  <conditionalFormatting sqref="F613:K615">
    <cfRule type="containsText" dxfId="169" priority="254" operator="containsText" text="以上均无">
      <formula>NOT(ISERROR(SEARCH("以上均无",F613)))</formula>
    </cfRule>
  </conditionalFormatting>
  <conditionalFormatting sqref="F658:K658">
    <cfRule type="containsText" dxfId="168" priority="235" operator="containsText" text="以上均无">
      <formula>NOT(ISERROR(SEARCH("以上均无",F658)))</formula>
    </cfRule>
  </conditionalFormatting>
  <conditionalFormatting sqref="F711:K712">
    <cfRule type="containsText" dxfId="167" priority="218" operator="containsText" text="以上均无">
      <formula>NOT(ISERROR(SEARCH("以上均无",F711)))</formula>
    </cfRule>
  </conditionalFormatting>
  <conditionalFormatting sqref="F758:K758">
    <cfRule type="containsText" dxfId="166" priority="201" operator="containsText" text="以上均无">
      <formula>NOT(ISERROR(SEARCH("以上均无",F758)))</formula>
    </cfRule>
  </conditionalFormatting>
  <conditionalFormatting sqref="F804:K804">
    <cfRule type="containsText" dxfId="165" priority="184" operator="containsText" text="以上均无">
      <formula>NOT(ISERROR(SEARCH("以上均无",F804)))</formula>
    </cfRule>
  </conditionalFormatting>
  <conditionalFormatting sqref="F850:K850">
    <cfRule type="containsText" dxfId="164" priority="165" operator="containsText" text="以上均无">
      <formula>NOT(ISERROR(SEARCH("以上均无",F850)))</formula>
    </cfRule>
  </conditionalFormatting>
  <conditionalFormatting sqref="F429:L431">
    <cfRule type="containsText" dxfId="163" priority="339" operator="containsText" text="请注明">
      <formula>NOT(ISERROR(SEARCH("请注明",F429)))</formula>
    </cfRule>
  </conditionalFormatting>
  <conditionalFormatting sqref="F479:L480">
    <cfRule type="containsText" dxfId="162" priority="318" operator="containsText" text="请注明">
      <formula>NOT(ISERROR(SEARCH("请注明",F479)))</formula>
    </cfRule>
  </conditionalFormatting>
  <conditionalFormatting sqref="F522:L524">
    <cfRule type="containsText" dxfId="161" priority="291" operator="containsText" text="请注明">
      <formula>NOT(ISERROR(SEARCH("请注明",F522)))</formula>
    </cfRule>
  </conditionalFormatting>
  <conditionalFormatting sqref="F566:L568">
    <cfRule type="containsText" dxfId="160" priority="272" operator="containsText" text="请注明">
      <formula>NOT(ISERROR(SEARCH("请注明",F566)))</formula>
    </cfRule>
  </conditionalFormatting>
  <conditionalFormatting sqref="F613:L615">
    <cfRule type="containsText" dxfId="159" priority="253" operator="containsText" text="请注明">
      <formula>NOT(ISERROR(SEARCH("请注明",F613)))</formula>
    </cfRule>
  </conditionalFormatting>
  <conditionalFormatting sqref="F658:L658">
    <cfRule type="containsText" dxfId="158" priority="234" operator="containsText" text="请注明">
      <formula>NOT(ISERROR(SEARCH("请注明",F658)))</formula>
    </cfRule>
  </conditionalFormatting>
  <conditionalFormatting sqref="F711:L712">
    <cfRule type="containsText" dxfId="157" priority="217" operator="containsText" text="请注明">
      <formula>NOT(ISERROR(SEARCH("请注明",F711)))</formula>
    </cfRule>
  </conditionalFormatting>
  <conditionalFormatting sqref="F758:L758">
    <cfRule type="containsText" dxfId="156" priority="200" operator="containsText" text="请注明">
      <formula>NOT(ISERROR(SEARCH("请注明",F758)))</formula>
    </cfRule>
  </conditionalFormatting>
  <conditionalFormatting sqref="F804:L804">
    <cfRule type="containsText" dxfId="155" priority="183" operator="containsText" text="请注明">
      <formula>NOT(ISERROR(SEARCH("请注明",F804)))</formula>
    </cfRule>
  </conditionalFormatting>
  <conditionalFormatting sqref="F850:L850">
    <cfRule type="containsText" dxfId="154" priority="164" operator="containsText" text="请注明">
      <formula>NOT(ISERROR(SEARCH("请注明",F850)))</formula>
    </cfRule>
  </conditionalFormatting>
  <conditionalFormatting sqref="F159:M164">
    <cfRule type="cellIs" dxfId="153" priority="30" operator="equal">
      <formula>"其他"</formula>
    </cfRule>
    <cfRule type="containsText" dxfId="152" priority="31" operator="containsText" text="（请注明：">
      <formula>NOT(ISERROR(SEARCH("（请注明：",F159)))</formula>
    </cfRule>
  </conditionalFormatting>
  <conditionalFormatting sqref="F161:M164">
    <cfRule type="containsText" dxfId="151" priority="32" operator="containsText" text="请注明">
      <formula>NOT(ISERROR(SEARCH("请注明",F161)))</formula>
    </cfRule>
    <cfRule type="containsText" dxfId="150" priority="33" operator="containsText" text="以上均无">
      <formula>NOT(ISERROR(SEARCH("以上均无",F161)))</formula>
    </cfRule>
  </conditionalFormatting>
  <conditionalFormatting sqref="G36:G39">
    <cfRule type="containsText" dxfId="149" priority="398" operator="containsText" text="割付設定">
      <formula>NOT(ISERROR(SEARCH("割付設定",G36)))</formula>
    </cfRule>
  </conditionalFormatting>
  <conditionalFormatting sqref="G47:G52">
    <cfRule type="containsText" dxfId="148" priority="35" operator="containsText" text="割付設定">
      <formula>NOT(ISERROR(SEARCH("割付設定",G47)))</formula>
    </cfRule>
  </conditionalFormatting>
  <conditionalFormatting sqref="G216:G228 F853">
    <cfRule type="containsText" dxfId="147" priority="396" operator="containsText" text="请注明">
      <formula>NOT(ISERROR(SEARCH("请注明",F216)))</formula>
    </cfRule>
  </conditionalFormatting>
  <conditionalFormatting sqref="G216:G228">
    <cfRule type="containsText" dxfId="146" priority="399" operator="containsText" text="以上均无">
      <formula>NOT(ISERROR(SEARCH("以上均无",G216)))</formula>
    </cfRule>
  </conditionalFormatting>
  <conditionalFormatting sqref="G257:G263">
    <cfRule type="containsText" dxfId="145" priority="378" operator="containsText" text="请注明">
      <formula>NOT(ISERROR(SEARCH("请注明",G257)))</formula>
    </cfRule>
    <cfRule type="containsText" dxfId="144" priority="379" operator="containsText" text="以上均无">
      <formula>NOT(ISERROR(SEARCH("以上均无",G257)))</formula>
    </cfRule>
  </conditionalFormatting>
  <conditionalFormatting sqref="G340">
    <cfRule type="containsText" dxfId="143" priority="128" operator="containsText" text="请注明">
      <formula>NOT(ISERROR(SEARCH("请注明",G340)))</formula>
    </cfRule>
    <cfRule type="containsText" dxfId="142" priority="129" operator="containsText" text="以上均无">
      <formula>NOT(ISERROR(SEARCH("以上均无",G340)))</formula>
    </cfRule>
  </conditionalFormatting>
  <conditionalFormatting sqref="G351">
    <cfRule type="containsText" dxfId="141" priority="151" operator="containsText" text="请注明">
      <formula>NOT(ISERROR(SEARCH("请注明",G351)))</formula>
    </cfRule>
    <cfRule type="containsText" dxfId="140" priority="152" operator="containsText" text="以上均无">
      <formula>NOT(ISERROR(SEARCH("以上均无",G351)))</formula>
    </cfRule>
  </conditionalFormatting>
  <conditionalFormatting sqref="G427">
    <cfRule type="containsText" dxfId="139" priority="331" operator="containsText" text="请注明">
      <formula>NOT(ISERROR(SEARCH("请注明",G427)))</formula>
    </cfRule>
    <cfRule type="containsText" dxfId="138" priority="332" operator="containsText" text="以上均无">
      <formula>NOT(ISERROR(SEARCH("以上均无",G427)))</formula>
    </cfRule>
  </conditionalFormatting>
  <conditionalFormatting sqref="G477">
    <cfRule type="containsText" dxfId="137" priority="312" operator="containsText" text="请注明">
      <formula>NOT(ISERROR(SEARCH("请注明",G477)))</formula>
    </cfRule>
    <cfRule type="containsText" dxfId="136" priority="313" operator="containsText" text="以上均无">
      <formula>NOT(ISERROR(SEARCH("以上均无",G477)))</formula>
    </cfRule>
  </conditionalFormatting>
  <conditionalFormatting sqref="G520">
    <cfRule type="containsText" dxfId="135" priority="293" operator="containsText" text="请注明">
      <formula>NOT(ISERROR(SEARCH("请注明",G520)))</formula>
    </cfRule>
    <cfRule type="containsText" dxfId="134" priority="294" operator="containsText" text="以上均无">
      <formula>NOT(ISERROR(SEARCH("以上均无",G520)))</formula>
    </cfRule>
  </conditionalFormatting>
  <conditionalFormatting sqref="G564">
    <cfRule type="containsText" dxfId="133" priority="274" operator="containsText" text="请注明">
      <formula>NOT(ISERROR(SEARCH("请注明",G564)))</formula>
    </cfRule>
    <cfRule type="containsText" dxfId="132" priority="275" operator="containsText" text="以上均无">
      <formula>NOT(ISERROR(SEARCH("以上均无",G564)))</formula>
    </cfRule>
  </conditionalFormatting>
  <conditionalFormatting sqref="G611">
    <cfRule type="containsText" dxfId="131" priority="255" operator="containsText" text="请注明">
      <formula>NOT(ISERROR(SEARCH("请注明",G611)))</formula>
    </cfRule>
    <cfRule type="containsText" dxfId="130" priority="256" operator="containsText" text="以上均无">
      <formula>NOT(ISERROR(SEARCH("以上均无",G611)))</formula>
    </cfRule>
  </conditionalFormatting>
  <conditionalFormatting sqref="G656">
    <cfRule type="containsText" dxfId="129" priority="236" operator="containsText" text="请注明">
      <formula>NOT(ISERROR(SEARCH("请注明",G656)))</formula>
    </cfRule>
    <cfRule type="containsText" dxfId="128" priority="237" operator="containsText" text="以上均无">
      <formula>NOT(ISERROR(SEARCH("以上均无",G656)))</formula>
    </cfRule>
  </conditionalFormatting>
  <conditionalFormatting sqref="G709">
    <cfRule type="containsText" dxfId="127" priority="219" operator="containsText" text="请注明">
      <formula>NOT(ISERROR(SEARCH("请注明",G709)))</formula>
    </cfRule>
    <cfRule type="containsText" dxfId="126" priority="220" operator="containsText" text="以上均无">
      <formula>NOT(ISERROR(SEARCH("以上均无",G709)))</formula>
    </cfRule>
  </conditionalFormatting>
  <conditionalFormatting sqref="G756">
    <cfRule type="containsText" dxfId="125" priority="202" operator="containsText" text="请注明">
      <formula>NOT(ISERROR(SEARCH("请注明",G756)))</formula>
    </cfRule>
    <cfRule type="containsText" dxfId="124" priority="203" operator="containsText" text="以上均无">
      <formula>NOT(ISERROR(SEARCH("以上均无",G756)))</formula>
    </cfRule>
  </conditionalFormatting>
  <conditionalFormatting sqref="G802">
    <cfRule type="containsText" dxfId="123" priority="185" operator="containsText" text="请注明">
      <formula>NOT(ISERROR(SEARCH("请注明",G802)))</formula>
    </cfRule>
    <cfRule type="containsText" dxfId="122" priority="186" operator="containsText" text="以上均无">
      <formula>NOT(ISERROR(SEARCH("以上均无",G802)))</formula>
    </cfRule>
  </conditionalFormatting>
  <conditionalFormatting sqref="G848">
    <cfRule type="containsText" dxfId="121" priority="166" operator="containsText" text="请注明">
      <formula>NOT(ISERROR(SEARCH("请注明",G848)))</formula>
    </cfRule>
    <cfRule type="containsText" dxfId="120" priority="167" operator="containsText" text="以上均无">
      <formula>NOT(ISERROR(SEARCH("以上均无",G848)))</formula>
    </cfRule>
  </conditionalFormatting>
  <conditionalFormatting sqref="G159:M160">
    <cfRule type="containsText" dxfId="119" priority="388" operator="containsText" text="请注明">
      <formula>NOT(ISERROR(SEARCH("请注明",G159)))</formula>
    </cfRule>
    <cfRule type="containsText" dxfId="118" priority="389" operator="containsText" text="以上均无">
      <formula>NOT(ISERROR(SEARCH("以上均无",G159)))</formula>
    </cfRule>
  </conditionalFormatting>
  <conditionalFormatting sqref="H196:H197">
    <cfRule type="containsText" dxfId="117" priority="15" operator="containsText" text="割付設定">
      <formula>NOT(ISERROR(SEARCH("割付設定",H196)))</formula>
    </cfRule>
  </conditionalFormatting>
  <conditionalFormatting sqref="H259:H263">
    <cfRule type="containsText" dxfId="116" priority="375" operator="containsText" text="割付設定">
      <formula>NOT(ISERROR(SEARCH("割付設定",H259)))</formula>
    </cfRule>
  </conditionalFormatting>
  <conditionalFormatting sqref="K209">
    <cfRule type="containsText" dxfId="115" priority="1" operator="containsText" text="割付設定">
      <formula>NOT(ISERROR(SEARCH("割付設定",K209)))</formula>
    </cfRule>
  </conditionalFormatting>
  <conditionalFormatting sqref="K340:K341">
    <cfRule type="containsText" dxfId="114" priority="138" operator="containsText" text="请注明">
      <formula>NOT(ISERROR(SEARCH("请注明",K340)))</formula>
    </cfRule>
    <cfRule type="containsText" dxfId="113" priority="139" operator="containsText" text="以上均无">
      <formula>NOT(ISERROR(SEARCH("以上均无",K340)))</formula>
    </cfRule>
  </conditionalFormatting>
  <conditionalFormatting sqref="K351:K355">
    <cfRule type="containsText" dxfId="112" priority="149" operator="containsText" text="请注明">
      <formula>NOT(ISERROR(SEARCH("请注明",K351)))</formula>
    </cfRule>
    <cfRule type="containsText" dxfId="111" priority="150" operator="containsText" text="以上均无">
      <formula>NOT(ISERROR(SEARCH("以上均无",K351)))</formula>
    </cfRule>
  </conditionalFormatting>
  <conditionalFormatting sqref="K427:K428">
    <cfRule type="containsText" dxfId="110" priority="42" operator="containsText" text="请注明">
      <formula>NOT(ISERROR(SEARCH("请注明",K427)))</formula>
    </cfRule>
    <cfRule type="containsText" dxfId="109" priority="43" operator="containsText" text="以上均无">
      <formula>NOT(ISERROR(SEARCH("以上均无",K427)))</formula>
    </cfRule>
  </conditionalFormatting>
  <conditionalFormatting sqref="K477:K478">
    <cfRule type="containsText" dxfId="108" priority="50" operator="containsText" text="请注明">
      <formula>NOT(ISERROR(SEARCH("请注明",K477)))</formula>
    </cfRule>
    <cfRule type="containsText" dxfId="107" priority="51" operator="containsText" text="以上均无">
      <formula>NOT(ISERROR(SEARCH("以上均无",K477)))</formula>
    </cfRule>
  </conditionalFormatting>
  <conditionalFormatting sqref="K520:K521">
    <cfRule type="containsText" dxfId="106" priority="58" operator="containsText" text="请注明">
      <formula>NOT(ISERROR(SEARCH("请注明",K520)))</formula>
    </cfRule>
    <cfRule type="containsText" dxfId="105" priority="59" operator="containsText" text="以上均无">
      <formula>NOT(ISERROR(SEARCH("以上均无",K520)))</formula>
    </cfRule>
  </conditionalFormatting>
  <conditionalFormatting sqref="K564:K565">
    <cfRule type="containsText" dxfId="104" priority="66" operator="containsText" text="请注明">
      <formula>NOT(ISERROR(SEARCH("请注明",K564)))</formula>
    </cfRule>
    <cfRule type="containsText" dxfId="103" priority="67" operator="containsText" text="以上均无">
      <formula>NOT(ISERROR(SEARCH("以上均无",K564)))</formula>
    </cfRule>
  </conditionalFormatting>
  <conditionalFormatting sqref="K611:K612">
    <cfRule type="containsText" dxfId="102" priority="74" operator="containsText" text="请注明">
      <formula>NOT(ISERROR(SEARCH("请注明",K611)))</formula>
    </cfRule>
    <cfRule type="containsText" dxfId="101" priority="75" operator="containsText" text="以上均无">
      <formula>NOT(ISERROR(SEARCH("以上均无",K611)))</formula>
    </cfRule>
  </conditionalFormatting>
  <conditionalFormatting sqref="K656:K657">
    <cfRule type="containsText" dxfId="100" priority="82" operator="containsText" text="请注明">
      <formula>NOT(ISERROR(SEARCH("请注明",K656)))</formula>
    </cfRule>
    <cfRule type="containsText" dxfId="99" priority="83" operator="containsText" text="以上均无">
      <formula>NOT(ISERROR(SEARCH("以上均无",K656)))</formula>
    </cfRule>
  </conditionalFormatting>
  <conditionalFormatting sqref="K709:K710">
    <cfRule type="containsText" dxfId="98" priority="90" operator="containsText" text="请注明">
      <formula>NOT(ISERROR(SEARCH("请注明",K709)))</formula>
    </cfRule>
    <cfRule type="containsText" dxfId="97" priority="91" operator="containsText" text="以上均无">
      <formula>NOT(ISERROR(SEARCH("以上均无",K709)))</formula>
    </cfRule>
  </conditionalFormatting>
  <conditionalFormatting sqref="K756:K757">
    <cfRule type="containsText" dxfId="96" priority="114" operator="containsText" text="请注明">
      <formula>NOT(ISERROR(SEARCH("请注明",K756)))</formula>
    </cfRule>
    <cfRule type="containsText" dxfId="95" priority="115" operator="containsText" text="以上均无">
      <formula>NOT(ISERROR(SEARCH("以上均无",K756)))</formula>
    </cfRule>
  </conditionalFormatting>
  <conditionalFormatting sqref="K802:K803">
    <cfRule type="containsText" dxfId="94" priority="106" operator="containsText" text="请注明">
      <formula>NOT(ISERROR(SEARCH("请注明",K802)))</formula>
    </cfRule>
    <cfRule type="containsText" dxfId="93" priority="107" operator="containsText" text="以上均无">
      <formula>NOT(ISERROR(SEARCH("以上均无",K802)))</formula>
    </cfRule>
  </conditionalFormatting>
  <conditionalFormatting sqref="K848:K849">
    <cfRule type="containsText" dxfId="92" priority="98" operator="containsText" text="请注明">
      <formula>NOT(ISERROR(SEARCH("请注明",K848)))</formula>
    </cfRule>
    <cfRule type="containsText" dxfId="91" priority="99" operator="containsText" text="以上均无">
      <formula>NOT(ISERROR(SEARCH("以上均无",K848)))</formula>
    </cfRule>
  </conditionalFormatting>
  <conditionalFormatting sqref="L341">
    <cfRule type="containsText" dxfId="90" priority="134" operator="containsText" text="以上均无">
      <formula>NOT(ISERROR(SEARCH("以上均无",L341)))</formula>
    </cfRule>
    <cfRule type="containsText" dxfId="89" priority="135" operator="containsText" text="请注明">
      <formula>NOT(ISERROR(SEARCH("请注明",L341)))</formula>
    </cfRule>
  </conditionalFormatting>
  <conditionalFormatting sqref="L352:L354">
    <cfRule type="containsText" dxfId="88" priority="153" operator="containsText" text="以上均无">
      <formula>NOT(ISERROR(SEARCH("以上均无",L352)))</formula>
    </cfRule>
    <cfRule type="containsText" dxfId="87" priority="158" operator="containsText" text="请注明">
      <formula>NOT(ISERROR(SEARCH("请注明",L352)))</formula>
    </cfRule>
  </conditionalFormatting>
  <conditionalFormatting sqref="L354:L355">
    <cfRule type="containsText" dxfId="86" priority="146" operator="containsText" text="请注明">
      <formula>NOT(ISERROR(SEARCH("请注明",L354)))</formula>
    </cfRule>
  </conditionalFormatting>
  <conditionalFormatting sqref="L355">
    <cfRule type="containsText" dxfId="85" priority="144" operator="containsText" text="请注明">
      <formula>NOT(ISERROR(SEARCH("请注明",L355)))</formula>
    </cfRule>
    <cfRule type="containsText" dxfId="84" priority="145" operator="containsText" text="以上均无">
      <formula>NOT(ISERROR(SEARCH("以上均无",L355)))</formula>
    </cfRule>
  </conditionalFormatting>
  <conditionalFormatting sqref="L428">
    <cfRule type="containsText" dxfId="83" priority="38" operator="containsText" text="以上均无">
      <formula>NOT(ISERROR(SEARCH("以上均无",L428)))</formula>
    </cfRule>
    <cfRule type="containsText" dxfId="82" priority="39" operator="containsText" text="请注明">
      <formula>NOT(ISERROR(SEARCH("请注明",L428)))</formula>
    </cfRule>
  </conditionalFormatting>
  <conditionalFormatting sqref="L429:L431">
    <cfRule type="containsText" dxfId="81" priority="334" operator="containsText" text="以上均无">
      <formula>NOT(ISERROR(SEARCH("以上均无",L429)))</formula>
    </cfRule>
  </conditionalFormatting>
  <conditionalFormatting sqref="L431">
    <cfRule type="containsText" dxfId="80" priority="333" operator="containsText" text="请注明">
      <formula>NOT(ISERROR(SEARCH("请注明",L431)))</formula>
    </cfRule>
  </conditionalFormatting>
  <conditionalFormatting sqref="L478">
    <cfRule type="containsText" dxfId="79" priority="47" operator="containsText" text="请注明">
      <formula>NOT(ISERROR(SEARCH("请注明",L478)))</formula>
    </cfRule>
  </conditionalFormatting>
  <conditionalFormatting sqref="L478:L480">
    <cfRule type="containsText" dxfId="78" priority="46" operator="containsText" text="以上均无">
      <formula>NOT(ISERROR(SEARCH("以上均无",L478)))</formula>
    </cfRule>
  </conditionalFormatting>
  <conditionalFormatting sqref="L521">
    <cfRule type="containsText" dxfId="77" priority="55" operator="containsText" text="请注明">
      <formula>NOT(ISERROR(SEARCH("请注明",L521)))</formula>
    </cfRule>
  </conditionalFormatting>
  <conditionalFormatting sqref="L521:L524">
    <cfRule type="containsText" dxfId="76" priority="54" operator="containsText" text="以上均无">
      <formula>NOT(ISERROR(SEARCH("以上均无",L521)))</formula>
    </cfRule>
  </conditionalFormatting>
  <conditionalFormatting sqref="L565">
    <cfRule type="containsText" dxfId="75" priority="63" operator="containsText" text="请注明">
      <formula>NOT(ISERROR(SEARCH("请注明",L565)))</formula>
    </cfRule>
  </conditionalFormatting>
  <conditionalFormatting sqref="L565:L568">
    <cfRule type="containsText" dxfId="74" priority="62" operator="containsText" text="以上均无">
      <formula>NOT(ISERROR(SEARCH("以上均无",L565)))</formula>
    </cfRule>
  </conditionalFormatting>
  <conditionalFormatting sqref="L612">
    <cfRule type="containsText" dxfId="73" priority="71" operator="containsText" text="请注明">
      <formula>NOT(ISERROR(SEARCH("请注明",L612)))</formula>
    </cfRule>
  </conditionalFormatting>
  <conditionalFormatting sqref="L612:L615">
    <cfRule type="containsText" dxfId="72" priority="70" operator="containsText" text="以上均无">
      <formula>NOT(ISERROR(SEARCH("以上均无",L612)))</formula>
    </cfRule>
  </conditionalFormatting>
  <conditionalFormatting sqref="L657">
    <cfRule type="containsText" dxfId="71" priority="79" operator="containsText" text="请注明">
      <formula>NOT(ISERROR(SEARCH("请注明",L657)))</formula>
    </cfRule>
  </conditionalFormatting>
  <conditionalFormatting sqref="L657:L658">
    <cfRule type="containsText" dxfId="70" priority="78" operator="containsText" text="以上均无">
      <formula>NOT(ISERROR(SEARCH("以上均无",L657)))</formula>
    </cfRule>
  </conditionalFormatting>
  <conditionalFormatting sqref="L710">
    <cfRule type="containsText" dxfId="69" priority="87" operator="containsText" text="请注明">
      <formula>NOT(ISERROR(SEARCH("请注明",L710)))</formula>
    </cfRule>
  </conditionalFormatting>
  <conditionalFormatting sqref="L710:L712">
    <cfRule type="containsText" dxfId="68" priority="86" operator="containsText" text="以上均无">
      <formula>NOT(ISERROR(SEARCH("以上均无",L710)))</formula>
    </cfRule>
  </conditionalFormatting>
  <conditionalFormatting sqref="L757">
    <cfRule type="containsText" dxfId="67" priority="111" operator="containsText" text="请注明">
      <formula>NOT(ISERROR(SEARCH("请注明",L757)))</formula>
    </cfRule>
  </conditionalFormatting>
  <conditionalFormatting sqref="L757:L758">
    <cfRule type="containsText" dxfId="66" priority="110" operator="containsText" text="以上均无">
      <formula>NOT(ISERROR(SEARCH("以上均无",L757)))</formula>
    </cfRule>
  </conditionalFormatting>
  <conditionalFormatting sqref="L803">
    <cfRule type="containsText" dxfId="65" priority="103" operator="containsText" text="请注明">
      <formula>NOT(ISERROR(SEARCH("请注明",L803)))</formula>
    </cfRule>
  </conditionalFormatting>
  <conditionalFormatting sqref="L803:L804">
    <cfRule type="containsText" dxfId="64" priority="102" operator="containsText" text="以上均无">
      <formula>NOT(ISERROR(SEARCH("以上均无",L803)))</formula>
    </cfRule>
  </conditionalFormatting>
  <conditionalFormatting sqref="L849">
    <cfRule type="containsText" dxfId="63" priority="95" operator="containsText" text="请注明">
      <formula>NOT(ISERROR(SEARCH("请注明",L849)))</formula>
    </cfRule>
  </conditionalFormatting>
  <conditionalFormatting sqref="L849:L850">
    <cfRule type="containsText" dxfId="62" priority="94" operator="containsText" text="以上均无">
      <formula>NOT(ISERROR(SEARCH("以上均无",L849)))</formula>
    </cfRule>
  </conditionalFormatting>
  <conditionalFormatting sqref="L339:M339">
    <cfRule type="containsText" dxfId="61" priority="130" operator="containsText" text="请注明">
      <formula>NOT(ISERROR(SEARCH("请注明",L339)))</formula>
    </cfRule>
    <cfRule type="containsText" dxfId="60" priority="131" operator="containsText" text="以上均无">
      <formula>NOT(ISERROR(SEARCH("以上均无",L339)))</formula>
    </cfRule>
  </conditionalFormatting>
  <conditionalFormatting sqref="L350:M350">
    <cfRule type="containsText" dxfId="59" priority="154" operator="containsText" text="请注明">
      <formula>NOT(ISERROR(SEARCH("请注明",L350)))</formula>
    </cfRule>
    <cfRule type="containsText" dxfId="58" priority="155" operator="containsText" text="以上均无">
      <formula>NOT(ISERROR(SEARCH("以上均无",L350)))</formula>
    </cfRule>
  </conditionalFormatting>
  <conditionalFormatting sqref="L426:M426">
    <cfRule type="containsText" dxfId="57" priority="335" operator="containsText" text="请注明">
      <formula>NOT(ISERROR(SEARCH("请注明",L426)))</formula>
    </cfRule>
    <cfRule type="containsText" dxfId="56" priority="336" operator="containsText" text="以上均无">
      <formula>NOT(ISERROR(SEARCH("以上均无",L426)))</formula>
    </cfRule>
  </conditionalFormatting>
  <conditionalFormatting sqref="L476:M476">
    <cfRule type="containsText" dxfId="55" priority="314" operator="containsText" text="请注明">
      <formula>NOT(ISERROR(SEARCH("请注明",L476)))</formula>
    </cfRule>
    <cfRule type="containsText" dxfId="54" priority="315" operator="containsText" text="以上均无">
      <formula>NOT(ISERROR(SEARCH("以上均无",L476)))</formula>
    </cfRule>
  </conditionalFormatting>
  <conditionalFormatting sqref="L519:M519">
    <cfRule type="containsText" dxfId="53" priority="295" operator="containsText" text="请注明">
      <formula>NOT(ISERROR(SEARCH("请注明",L519)))</formula>
    </cfRule>
    <cfRule type="containsText" dxfId="52" priority="296" operator="containsText" text="以上均无">
      <formula>NOT(ISERROR(SEARCH("以上均无",L519)))</formula>
    </cfRule>
  </conditionalFormatting>
  <conditionalFormatting sqref="L563:M563">
    <cfRule type="containsText" dxfId="51" priority="276" operator="containsText" text="请注明">
      <formula>NOT(ISERROR(SEARCH("请注明",L563)))</formula>
    </cfRule>
    <cfRule type="containsText" dxfId="50" priority="277" operator="containsText" text="以上均无">
      <formula>NOT(ISERROR(SEARCH("以上均无",L563)))</formula>
    </cfRule>
  </conditionalFormatting>
  <conditionalFormatting sqref="L610:M610">
    <cfRule type="containsText" dxfId="49" priority="257" operator="containsText" text="请注明">
      <formula>NOT(ISERROR(SEARCH("请注明",L610)))</formula>
    </cfRule>
    <cfRule type="containsText" dxfId="48" priority="258" operator="containsText" text="以上均无">
      <formula>NOT(ISERROR(SEARCH("以上均无",L610)))</formula>
    </cfRule>
  </conditionalFormatting>
  <conditionalFormatting sqref="L655:M655">
    <cfRule type="containsText" dxfId="47" priority="238" operator="containsText" text="请注明">
      <formula>NOT(ISERROR(SEARCH("请注明",L655)))</formula>
    </cfRule>
    <cfRule type="containsText" dxfId="46" priority="239" operator="containsText" text="以上均无">
      <formula>NOT(ISERROR(SEARCH("以上均无",L655)))</formula>
    </cfRule>
  </conditionalFormatting>
  <conditionalFormatting sqref="L708:M708">
    <cfRule type="containsText" dxfId="45" priority="221" operator="containsText" text="请注明">
      <formula>NOT(ISERROR(SEARCH("请注明",L708)))</formula>
    </cfRule>
    <cfRule type="containsText" dxfId="44" priority="222" operator="containsText" text="以上均无">
      <formula>NOT(ISERROR(SEARCH("以上均无",L708)))</formula>
    </cfRule>
  </conditionalFormatting>
  <conditionalFormatting sqref="L755:M755">
    <cfRule type="containsText" dxfId="43" priority="204" operator="containsText" text="请注明">
      <formula>NOT(ISERROR(SEARCH("请注明",L755)))</formula>
    </cfRule>
    <cfRule type="containsText" dxfId="42" priority="205" operator="containsText" text="以上均无">
      <formula>NOT(ISERROR(SEARCH("以上均无",L755)))</formula>
    </cfRule>
  </conditionalFormatting>
  <conditionalFormatting sqref="L801:M801">
    <cfRule type="containsText" dxfId="41" priority="187" operator="containsText" text="请注明">
      <formula>NOT(ISERROR(SEARCH("请注明",L801)))</formula>
    </cfRule>
    <cfRule type="containsText" dxfId="40" priority="188" operator="containsText" text="以上均无">
      <formula>NOT(ISERROR(SEARCH("以上均无",L801)))</formula>
    </cfRule>
  </conditionalFormatting>
  <conditionalFormatting sqref="L847:M847">
    <cfRule type="containsText" dxfId="39" priority="168" operator="containsText" text="请注明">
      <formula>NOT(ISERROR(SEARCH("请注明",L847)))</formula>
    </cfRule>
    <cfRule type="containsText" dxfId="38" priority="169" operator="containsText" text="以上均无">
      <formula>NOT(ISERROR(SEARCH("以上均无",L847)))</formula>
    </cfRule>
  </conditionalFormatting>
  <conditionalFormatting sqref="M339:N339">
    <cfRule type="containsText" dxfId="37" priority="132" operator="containsText" text="请注明">
      <formula>NOT(ISERROR(SEARCH("请注明",M339)))</formula>
    </cfRule>
    <cfRule type="containsText" dxfId="36" priority="133" operator="containsText" text="以上均无">
      <formula>NOT(ISERROR(SEARCH("以上均无",M339)))</formula>
    </cfRule>
  </conditionalFormatting>
  <conditionalFormatting sqref="M350:N350">
    <cfRule type="containsText" dxfId="35" priority="156" operator="containsText" text="请注明">
      <formula>NOT(ISERROR(SEARCH("请注明",M350)))</formula>
    </cfRule>
    <cfRule type="containsText" dxfId="34" priority="157" operator="containsText" text="以上均无">
      <formula>NOT(ISERROR(SEARCH("以上均无",M350)))</formula>
    </cfRule>
  </conditionalFormatting>
  <conditionalFormatting sqref="M426:N426">
    <cfRule type="containsText" dxfId="33" priority="337" operator="containsText" text="请注明">
      <formula>NOT(ISERROR(SEARCH("请注明",M426)))</formula>
    </cfRule>
    <cfRule type="containsText" dxfId="32" priority="338" operator="containsText" text="以上均无">
      <formula>NOT(ISERROR(SEARCH("以上均无",M426)))</formula>
    </cfRule>
  </conditionalFormatting>
  <conditionalFormatting sqref="M476:N476">
    <cfRule type="containsText" dxfId="31" priority="316" operator="containsText" text="请注明">
      <formula>NOT(ISERROR(SEARCH("请注明",M476)))</formula>
    </cfRule>
    <cfRule type="containsText" dxfId="30" priority="317" operator="containsText" text="以上均无">
      <formula>NOT(ISERROR(SEARCH("以上均无",M476)))</formula>
    </cfRule>
  </conditionalFormatting>
  <conditionalFormatting sqref="M519:N519">
    <cfRule type="containsText" dxfId="29" priority="297" operator="containsText" text="请注明">
      <formula>NOT(ISERROR(SEARCH("请注明",M519)))</formula>
    </cfRule>
    <cfRule type="containsText" dxfId="28" priority="298" operator="containsText" text="以上均无">
      <formula>NOT(ISERROR(SEARCH("以上均无",M519)))</formula>
    </cfRule>
  </conditionalFormatting>
  <conditionalFormatting sqref="M563:N563">
    <cfRule type="containsText" dxfId="27" priority="278" operator="containsText" text="请注明">
      <formula>NOT(ISERROR(SEARCH("请注明",M563)))</formula>
    </cfRule>
    <cfRule type="containsText" dxfId="26" priority="279" operator="containsText" text="以上均无">
      <formula>NOT(ISERROR(SEARCH("以上均无",M563)))</formula>
    </cfRule>
  </conditionalFormatting>
  <conditionalFormatting sqref="M610:N610">
    <cfRule type="containsText" dxfId="25" priority="259" operator="containsText" text="请注明">
      <formula>NOT(ISERROR(SEARCH("请注明",M610)))</formula>
    </cfRule>
    <cfRule type="containsText" dxfId="24" priority="260" operator="containsText" text="以上均无">
      <formula>NOT(ISERROR(SEARCH("以上均无",M610)))</formula>
    </cfRule>
  </conditionalFormatting>
  <conditionalFormatting sqref="M655:N655">
    <cfRule type="containsText" dxfId="23" priority="240" operator="containsText" text="请注明">
      <formula>NOT(ISERROR(SEARCH("请注明",M655)))</formula>
    </cfRule>
    <cfRule type="containsText" dxfId="22" priority="241" operator="containsText" text="以上均无">
      <formula>NOT(ISERROR(SEARCH("以上均无",M655)))</formula>
    </cfRule>
  </conditionalFormatting>
  <conditionalFormatting sqref="M708:N708">
    <cfRule type="containsText" dxfId="21" priority="223" operator="containsText" text="请注明">
      <formula>NOT(ISERROR(SEARCH("请注明",M708)))</formula>
    </cfRule>
    <cfRule type="containsText" dxfId="20" priority="224" operator="containsText" text="以上均无">
      <formula>NOT(ISERROR(SEARCH("以上均无",M708)))</formula>
    </cfRule>
  </conditionalFormatting>
  <conditionalFormatting sqref="M755:N755">
    <cfRule type="containsText" dxfId="19" priority="206" operator="containsText" text="请注明">
      <formula>NOT(ISERROR(SEARCH("请注明",M755)))</formula>
    </cfRule>
    <cfRule type="containsText" dxfId="18" priority="207" operator="containsText" text="以上均无">
      <formula>NOT(ISERROR(SEARCH("以上均无",M755)))</formula>
    </cfRule>
  </conditionalFormatting>
  <conditionalFormatting sqref="M801:N801">
    <cfRule type="containsText" dxfId="17" priority="189" operator="containsText" text="请注明">
      <formula>NOT(ISERROR(SEARCH("请注明",M801)))</formula>
    </cfRule>
    <cfRule type="containsText" dxfId="16" priority="190" operator="containsText" text="以上均无">
      <formula>NOT(ISERROR(SEARCH("以上均无",M801)))</formula>
    </cfRule>
  </conditionalFormatting>
  <conditionalFormatting sqref="M847:N847">
    <cfRule type="containsText" dxfId="15" priority="170" operator="containsText" text="请注明">
      <formula>NOT(ISERROR(SEARCH("请注明",M847)))</formula>
    </cfRule>
    <cfRule type="containsText" dxfId="14" priority="171" operator="containsText" text="以上均无">
      <formula>NOT(ISERROR(SEARCH("以上均无",M847)))</formula>
    </cfRule>
  </conditionalFormatting>
  <conditionalFormatting sqref="N162:N164">
    <cfRule type="containsText" dxfId="13" priority="387" operator="containsText" text="割付設定">
      <formula>NOT(ISERROR(SEARCH("割付設定",N162)))</formula>
    </cfRule>
  </conditionalFormatting>
  <conditionalFormatting sqref="O406">
    <cfRule type="containsText" dxfId="12" priority="124" operator="containsText" text="请注明">
      <formula>NOT(ISERROR(SEARCH("请注明",O406)))</formula>
    </cfRule>
    <cfRule type="containsText" dxfId="11" priority="125" operator="containsText" text="以上均无">
      <formula>NOT(ISERROR(SEARCH("以上均无",O406)))</formula>
    </cfRule>
  </conditionalFormatting>
  <conditionalFormatting sqref="O697">
    <cfRule type="containsText" dxfId="10" priority="122" operator="containsText" text="请注明">
      <formula>NOT(ISERROR(SEARCH("请注明",O697)))</formula>
    </cfRule>
    <cfRule type="containsText" dxfId="9" priority="123" operator="containsText" text="以上均无">
      <formula>NOT(ISERROR(SEARCH("以上均无",O697)))</formula>
    </cfRule>
  </conditionalFormatting>
  <conditionalFormatting sqref="R62">
    <cfRule type="containsText" dxfId="8" priority="22" operator="containsText" text="请注明">
      <formula>NOT(ISERROR(SEARCH("请注明",R62)))</formula>
    </cfRule>
    <cfRule type="containsText" dxfId="7" priority="23" operator="containsText" text="以上均无">
      <formula>NOT(ISERROR(SEARCH("以上均无",R62)))</formula>
    </cfRule>
  </conditionalFormatting>
  <conditionalFormatting sqref="X47:X52">
    <cfRule type="containsText" dxfId="6" priority="34" operator="containsText" text="割付設定">
      <formula>NOT(ISERROR(SEARCH("割付設定",X47)))</formula>
    </cfRule>
  </conditionalFormatting>
  <conditionalFormatting sqref="AE1:AE853">
    <cfRule type="cellIs" dxfId="5" priority="4" operator="equal">
      <formula>3</formula>
    </cfRule>
    <cfRule type="cellIs" dxfId="4" priority="5" operator="equal">
      <formula>2</formula>
    </cfRule>
    <cfRule type="cellIs" dxfId="3" priority="6" operator="equal">
      <formula>1</formula>
    </cfRule>
  </conditionalFormatting>
  <printOptions horizontalCentered="1"/>
  <pageMargins left="0.15748031496062992" right="0.23622047244094491" top="0.51181102362204722" bottom="0.43307086614173229" header="0.19685039370078741" footer="0.15748031496062992"/>
  <pageSetup paperSize="9" scale="42" fitToHeight="0" orientation="portrait" cellComments="asDisplayed" errors="dash" horizontalDpi="300" verticalDpi="300" r:id="rId1"/>
  <headerFooter alignWithMargins="0">
    <oddHeader>&amp;L&amp;"Impact,標準"&amp;12confidential</oddHeader>
    <oddFooter>&amp;C&amp;"MS PGothic,常规"&amp;9&amp;P/&amp;N&amp;R&amp;"MS PGothic,常规"&amp;9&amp;A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F137"/>
  <sheetViews>
    <sheetView workbookViewId="0">
      <selection activeCell="H13" sqref="H13"/>
    </sheetView>
  </sheetViews>
  <sheetFormatPr defaultColWidth="22" defaultRowHeight="13.8"/>
  <cols>
    <col min="1" max="1" width="4.21875" customWidth="1"/>
    <col min="3" max="3" width="22" customWidth="1"/>
    <col min="4" max="5" width="22" hidden="1" customWidth="1"/>
    <col min="6" max="6" width="22" style="142"/>
  </cols>
  <sheetData>
    <row r="1" spans="1:6">
      <c r="B1" s="2" t="s">
        <v>55</v>
      </c>
      <c r="C1" s="2" t="s">
        <v>56</v>
      </c>
      <c r="D1" s="2" t="s">
        <v>57</v>
      </c>
      <c r="E1" s="2" t="s">
        <v>58</v>
      </c>
      <c r="F1" s="3" t="s">
        <v>59</v>
      </c>
    </row>
    <row r="2" spans="1:6">
      <c r="A2">
        <v>123</v>
      </c>
      <c r="B2" s="4"/>
      <c r="C2" s="5" t="s">
        <v>60</v>
      </c>
      <c r="D2" s="5" t="s">
        <v>61</v>
      </c>
      <c r="E2" s="5" t="s">
        <v>62</v>
      </c>
      <c r="F2" s="6" t="s">
        <v>63</v>
      </c>
    </row>
    <row r="3" spans="1:6">
      <c r="A3">
        <v>28</v>
      </c>
      <c r="B3" s="7"/>
      <c r="C3" s="5" t="s">
        <v>64</v>
      </c>
      <c r="D3" s="5" t="s">
        <v>65</v>
      </c>
      <c r="E3" s="5" t="s">
        <v>66</v>
      </c>
      <c r="F3" s="6" t="s">
        <v>67</v>
      </c>
    </row>
    <row r="4" spans="1:6">
      <c r="A4">
        <v>71</v>
      </c>
      <c r="B4" s="8"/>
      <c r="C4" s="5" t="s">
        <v>68</v>
      </c>
      <c r="D4" s="5" t="s">
        <v>69</v>
      </c>
      <c r="E4" s="5" t="s">
        <v>70</v>
      </c>
      <c r="F4" s="6" t="s">
        <v>71</v>
      </c>
    </row>
    <row r="5" spans="1:6">
      <c r="A5">
        <v>136</v>
      </c>
      <c r="B5" s="9"/>
      <c r="C5" s="5" t="s">
        <v>72</v>
      </c>
      <c r="D5" s="5" t="s">
        <v>73</v>
      </c>
      <c r="E5" s="5" t="s">
        <v>74</v>
      </c>
      <c r="F5" s="6" t="s">
        <v>75</v>
      </c>
    </row>
    <row r="6" spans="1:6">
      <c r="A6">
        <v>18</v>
      </c>
      <c r="B6" s="10"/>
      <c r="C6" s="5" t="s">
        <v>76</v>
      </c>
      <c r="D6" s="5" t="s">
        <v>77</v>
      </c>
      <c r="E6" s="5" t="s">
        <v>78</v>
      </c>
      <c r="F6" s="6" t="s">
        <v>79</v>
      </c>
    </row>
    <row r="7" spans="1:6">
      <c r="A7">
        <v>82</v>
      </c>
      <c r="B7" s="11"/>
      <c r="C7" s="5" t="s">
        <v>80</v>
      </c>
      <c r="D7" s="5" t="s">
        <v>81</v>
      </c>
      <c r="E7" s="5" t="s">
        <v>82</v>
      </c>
      <c r="F7" s="6" t="s">
        <v>83</v>
      </c>
    </row>
    <row r="8" spans="1:6">
      <c r="A8">
        <v>103</v>
      </c>
      <c r="B8" s="12"/>
      <c r="C8" s="5" t="s">
        <v>84</v>
      </c>
      <c r="D8" s="5" t="s">
        <v>85</v>
      </c>
      <c r="E8" s="5" t="s">
        <v>86</v>
      </c>
      <c r="F8" s="6" t="s">
        <v>87</v>
      </c>
    </row>
    <row r="9" spans="1:6">
      <c r="A9">
        <v>50</v>
      </c>
      <c r="B9" s="13"/>
      <c r="C9" s="5" t="s">
        <v>88</v>
      </c>
      <c r="D9" s="5" t="s">
        <v>89</v>
      </c>
      <c r="E9" s="5" t="s">
        <v>90</v>
      </c>
      <c r="F9" s="6" t="s">
        <v>91</v>
      </c>
    </row>
    <row r="10" spans="1:6">
      <c r="A10">
        <v>95</v>
      </c>
      <c r="B10" s="14"/>
      <c r="C10" s="5" t="s">
        <v>92</v>
      </c>
      <c r="D10" s="5" t="s">
        <v>93</v>
      </c>
      <c r="E10" s="5" t="s">
        <v>94</v>
      </c>
      <c r="F10" s="6" t="s">
        <v>95</v>
      </c>
    </row>
    <row r="11" spans="1:6">
      <c r="A11">
        <v>83</v>
      </c>
      <c r="B11" s="15"/>
      <c r="C11" s="5" t="s">
        <v>96</v>
      </c>
      <c r="D11" s="5" t="s">
        <v>97</v>
      </c>
      <c r="E11" s="5" t="s">
        <v>98</v>
      </c>
      <c r="F11" s="6" t="s">
        <v>99</v>
      </c>
    </row>
    <row r="12" spans="1:6">
      <c r="A12">
        <v>100</v>
      </c>
      <c r="B12" s="16"/>
      <c r="C12" s="5" t="s">
        <v>100</v>
      </c>
      <c r="D12" s="5" t="s">
        <v>101</v>
      </c>
      <c r="E12" s="5" t="s">
        <v>102</v>
      </c>
      <c r="F12" s="17">
        <v>210180140</v>
      </c>
    </row>
    <row r="13" spans="1:6">
      <c r="A13">
        <v>13</v>
      </c>
      <c r="B13" s="18"/>
      <c r="C13" s="5" t="s">
        <v>103</v>
      </c>
      <c r="D13" s="5" t="s">
        <v>104</v>
      </c>
      <c r="E13" s="5" t="s">
        <v>105</v>
      </c>
      <c r="F13" s="6" t="s">
        <v>106</v>
      </c>
    </row>
    <row r="14" spans="1:6">
      <c r="A14">
        <v>131</v>
      </c>
      <c r="B14" s="19"/>
      <c r="C14" s="5" t="s">
        <v>107</v>
      </c>
      <c r="D14" s="5" t="s">
        <v>108</v>
      </c>
      <c r="E14" s="5" t="s">
        <v>109</v>
      </c>
      <c r="F14" s="17">
        <v>211211211</v>
      </c>
    </row>
    <row r="15" spans="1:6">
      <c r="A15">
        <v>1</v>
      </c>
      <c r="B15" s="20"/>
      <c r="C15" s="5" t="s">
        <v>110</v>
      </c>
      <c r="D15" s="5" t="s">
        <v>111</v>
      </c>
      <c r="E15" s="5" t="s">
        <v>112</v>
      </c>
      <c r="F15" s="17">
        <v>255182193</v>
      </c>
    </row>
    <row r="16" spans="1:6">
      <c r="A16">
        <v>2</v>
      </c>
      <c r="B16" s="21"/>
      <c r="C16" s="5" t="s">
        <v>113</v>
      </c>
      <c r="D16" s="5" t="s">
        <v>114</v>
      </c>
      <c r="E16" s="5" t="s">
        <v>115</v>
      </c>
      <c r="F16" s="17">
        <v>255192203</v>
      </c>
    </row>
    <row r="17" spans="1:6">
      <c r="A17">
        <v>3</v>
      </c>
      <c r="B17" s="23"/>
      <c r="C17" s="5" t="s">
        <v>116</v>
      </c>
      <c r="D17" s="5" t="s">
        <v>117</v>
      </c>
      <c r="E17" s="5" t="s">
        <v>118</v>
      </c>
      <c r="F17" s="6" t="s">
        <v>119</v>
      </c>
    </row>
    <row r="18" spans="1:6">
      <c r="A18">
        <v>4</v>
      </c>
      <c r="B18" s="24"/>
      <c r="C18" s="5" t="s">
        <v>120</v>
      </c>
      <c r="D18" s="5" t="s">
        <v>121</v>
      </c>
      <c r="E18" s="5" t="s">
        <v>122</v>
      </c>
      <c r="F18" s="17">
        <v>255240245</v>
      </c>
    </row>
    <row r="19" spans="1:6">
      <c r="A19">
        <v>5</v>
      </c>
      <c r="B19" s="25"/>
      <c r="C19" s="5" t="s">
        <v>123</v>
      </c>
      <c r="D19" s="5" t="s">
        <v>124</v>
      </c>
      <c r="E19" s="5" t="s">
        <v>125</v>
      </c>
      <c r="F19" s="17">
        <v>219112147</v>
      </c>
    </row>
    <row r="20" spans="1:6">
      <c r="A20">
        <v>6</v>
      </c>
      <c r="B20" s="26"/>
      <c r="C20" s="5" t="s">
        <v>126</v>
      </c>
      <c r="D20" s="5" t="s">
        <v>127</v>
      </c>
      <c r="E20" s="5" t="s">
        <v>128</v>
      </c>
      <c r="F20" s="17">
        <v>255105180</v>
      </c>
    </row>
    <row r="21" spans="1:6">
      <c r="A21">
        <v>7</v>
      </c>
      <c r="B21" s="27"/>
      <c r="C21" s="5" t="s">
        <v>129</v>
      </c>
      <c r="D21" s="5" t="s">
        <v>130</v>
      </c>
      <c r="E21" s="5" t="s">
        <v>131</v>
      </c>
      <c r="F21" s="6" t="s">
        <v>132</v>
      </c>
    </row>
    <row r="22" spans="1:6">
      <c r="A22">
        <v>8</v>
      </c>
      <c r="B22" s="28"/>
      <c r="C22" s="5" t="s">
        <v>133</v>
      </c>
      <c r="D22" s="5" t="s">
        <v>134</v>
      </c>
      <c r="E22" s="5" t="s">
        <v>135</v>
      </c>
      <c r="F22" s="6" t="s">
        <v>136</v>
      </c>
    </row>
    <row r="23" spans="1:6">
      <c r="A23">
        <v>9</v>
      </c>
      <c r="B23" s="29"/>
      <c r="C23" s="5" t="s">
        <v>137</v>
      </c>
      <c r="D23" s="5" t="s">
        <v>138</v>
      </c>
      <c r="E23" s="5" t="s">
        <v>139</v>
      </c>
      <c r="F23" s="17">
        <v>218112214</v>
      </c>
    </row>
    <row r="24" spans="1:6">
      <c r="A24">
        <v>10</v>
      </c>
      <c r="B24" s="30"/>
      <c r="C24" s="5" t="s">
        <v>140</v>
      </c>
      <c r="D24" s="5" t="s">
        <v>141</v>
      </c>
      <c r="E24" s="5" t="s">
        <v>142</v>
      </c>
      <c r="F24" s="17">
        <v>216191216</v>
      </c>
    </row>
    <row r="25" spans="1:6">
      <c r="A25">
        <v>11</v>
      </c>
      <c r="B25" s="31"/>
      <c r="C25" s="5" t="s">
        <v>143</v>
      </c>
      <c r="D25" s="5" t="s">
        <v>144</v>
      </c>
      <c r="E25" s="5" t="s">
        <v>145</v>
      </c>
      <c r="F25" s="17">
        <v>221160221</v>
      </c>
    </row>
    <row r="26" spans="1:6">
      <c r="A26">
        <v>12</v>
      </c>
      <c r="B26" s="32"/>
      <c r="C26" s="5" t="s">
        <v>146</v>
      </c>
      <c r="D26" s="5" t="s">
        <v>147</v>
      </c>
      <c r="E26" s="5" t="s">
        <v>148</v>
      </c>
      <c r="F26" s="17">
        <v>238130238</v>
      </c>
    </row>
    <row r="27" spans="1:6">
      <c r="A27">
        <v>14</v>
      </c>
      <c r="B27" s="18"/>
      <c r="C27" s="5" t="s">
        <v>149</v>
      </c>
      <c r="D27" s="5" t="s">
        <v>150</v>
      </c>
      <c r="E27" s="5" t="s">
        <v>105</v>
      </c>
      <c r="F27" s="6" t="s">
        <v>106</v>
      </c>
    </row>
    <row r="28" spans="1:6">
      <c r="A28">
        <v>15</v>
      </c>
      <c r="B28" s="33"/>
      <c r="C28" s="5" t="s">
        <v>151</v>
      </c>
      <c r="D28" s="5" t="s">
        <v>152</v>
      </c>
      <c r="E28" s="5" t="s">
        <v>153</v>
      </c>
      <c r="F28" s="6" t="s">
        <v>154</v>
      </c>
    </row>
    <row r="29" spans="1:6">
      <c r="A29">
        <v>16</v>
      </c>
      <c r="B29" s="34"/>
      <c r="C29" s="5" t="s">
        <v>155</v>
      </c>
      <c r="D29" s="5" t="s">
        <v>156</v>
      </c>
      <c r="E29" s="5" t="s">
        <v>157</v>
      </c>
      <c r="F29" s="6" t="s">
        <v>158</v>
      </c>
    </row>
    <row r="30" spans="1:6">
      <c r="A30">
        <v>17</v>
      </c>
      <c r="B30" s="35"/>
      <c r="C30" s="5" t="s">
        <v>159</v>
      </c>
      <c r="D30" s="5" t="s">
        <v>160</v>
      </c>
      <c r="E30" s="5" t="s">
        <v>161</v>
      </c>
      <c r="F30" s="6" t="s">
        <v>162</v>
      </c>
    </row>
    <row r="31" spans="1:6">
      <c r="A31">
        <v>19</v>
      </c>
      <c r="B31" s="36"/>
      <c r="C31" s="5" t="s">
        <v>163</v>
      </c>
      <c r="D31" s="5" t="s">
        <v>164</v>
      </c>
      <c r="E31" s="5" t="s">
        <v>165</v>
      </c>
      <c r="F31" s="6" t="s">
        <v>166</v>
      </c>
    </row>
    <row r="32" spans="1:6">
      <c r="A32">
        <v>20</v>
      </c>
      <c r="B32" s="37"/>
      <c r="C32" s="5" t="s">
        <v>167</v>
      </c>
      <c r="D32" s="5" t="s">
        <v>168</v>
      </c>
      <c r="E32" s="5" t="s">
        <v>169</v>
      </c>
      <c r="F32" s="6" t="s">
        <v>170</v>
      </c>
    </row>
    <row r="33" spans="1:6">
      <c r="A33">
        <v>21</v>
      </c>
      <c r="B33" s="38"/>
      <c r="C33" s="5" t="s">
        <v>171</v>
      </c>
      <c r="D33" s="5" t="s">
        <v>172</v>
      </c>
      <c r="E33" s="5" t="s">
        <v>173</v>
      </c>
      <c r="F33" s="6" t="s">
        <v>174</v>
      </c>
    </row>
    <row r="34" spans="1:6">
      <c r="A34">
        <v>22</v>
      </c>
      <c r="B34" s="39"/>
      <c r="C34" s="5" t="s">
        <v>175</v>
      </c>
      <c r="D34" s="5" t="s">
        <v>176</v>
      </c>
      <c r="E34" s="5" t="s">
        <v>177</v>
      </c>
      <c r="F34" s="17">
        <v>147112219</v>
      </c>
    </row>
    <row r="35" spans="1:6">
      <c r="A35">
        <v>23</v>
      </c>
      <c r="B35" s="40"/>
      <c r="C35" s="5" t="s">
        <v>178</v>
      </c>
      <c r="D35" s="5" t="s">
        <v>179</v>
      </c>
      <c r="E35" s="5" t="s">
        <v>180</v>
      </c>
      <c r="F35" s="17">
        <v>123104238</v>
      </c>
    </row>
    <row r="36" spans="1:6">
      <c r="A36">
        <v>24</v>
      </c>
      <c r="B36" s="41"/>
      <c r="C36" s="5" t="s">
        <v>181</v>
      </c>
      <c r="D36" s="5" t="s">
        <v>182</v>
      </c>
      <c r="E36" s="5" t="s">
        <v>183</v>
      </c>
      <c r="F36" s="6" t="s">
        <v>184</v>
      </c>
    </row>
    <row r="37" spans="1:6">
      <c r="A37">
        <v>25</v>
      </c>
      <c r="B37" s="42"/>
      <c r="C37" s="5" t="s">
        <v>185</v>
      </c>
      <c r="D37" s="5" t="s">
        <v>186</v>
      </c>
      <c r="E37" s="5" t="s">
        <v>187</v>
      </c>
      <c r="F37" s="6" t="s">
        <v>188</v>
      </c>
    </row>
    <row r="38" spans="1:6">
      <c r="A38">
        <v>26</v>
      </c>
      <c r="B38" s="43"/>
      <c r="C38" s="5" t="s">
        <v>189</v>
      </c>
      <c r="D38" s="5" t="s">
        <v>190</v>
      </c>
      <c r="E38" s="5" t="s">
        <v>191</v>
      </c>
      <c r="F38" s="17">
        <v>230230250</v>
      </c>
    </row>
    <row r="39" spans="1:6">
      <c r="A39">
        <v>27</v>
      </c>
      <c r="B39" s="44"/>
      <c r="C39" s="5" t="s">
        <v>192</v>
      </c>
      <c r="D39" s="5" t="s">
        <v>193</v>
      </c>
      <c r="E39" s="5" t="s">
        <v>194</v>
      </c>
      <c r="F39" s="17">
        <v>248248255</v>
      </c>
    </row>
    <row r="40" spans="1:6">
      <c r="A40">
        <v>29</v>
      </c>
      <c r="B40" s="45"/>
      <c r="C40" s="5" t="s">
        <v>195</v>
      </c>
      <c r="D40" s="5" t="s">
        <v>196</v>
      </c>
      <c r="E40" s="5" t="s">
        <v>197</v>
      </c>
      <c r="F40" s="6" t="s">
        <v>198</v>
      </c>
    </row>
    <row r="41" spans="1:6">
      <c r="A41">
        <v>30</v>
      </c>
      <c r="B41" s="46"/>
      <c r="C41" s="5" t="s">
        <v>199</v>
      </c>
      <c r="D41" s="5" t="s">
        <v>200</v>
      </c>
      <c r="E41" s="5" t="s">
        <v>201</v>
      </c>
      <c r="F41" s="6" t="s">
        <v>202</v>
      </c>
    </row>
    <row r="42" spans="1:6">
      <c r="A42">
        <v>31</v>
      </c>
      <c r="B42" s="47"/>
      <c r="C42" s="5" t="s">
        <v>203</v>
      </c>
      <c r="D42" s="5" t="s">
        <v>204</v>
      </c>
      <c r="E42" s="5" t="s">
        <v>205</v>
      </c>
      <c r="F42" s="6" t="s">
        <v>206</v>
      </c>
    </row>
    <row r="43" spans="1:6">
      <c r="A43">
        <v>32</v>
      </c>
      <c r="B43" s="48"/>
      <c r="C43" s="5" t="s">
        <v>207</v>
      </c>
      <c r="D43" s="5" t="s">
        <v>208</v>
      </c>
      <c r="E43" s="5" t="s">
        <v>209</v>
      </c>
      <c r="F43" s="6" t="s">
        <v>210</v>
      </c>
    </row>
    <row r="44" spans="1:6">
      <c r="A44">
        <v>33</v>
      </c>
      <c r="B44" s="49"/>
      <c r="C44" s="5" t="s">
        <v>211</v>
      </c>
      <c r="D44" s="5" t="s">
        <v>212</v>
      </c>
      <c r="E44" s="5" t="s">
        <v>213</v>
      </c>
      <c r="F44" s="17">
        <v>65105225</v>
      </c>
    </row>
    <row r="45" spans="1:6">
      <c r="A45">
        <v>34</v>
      </c>
      <c r="B45" s="50"/>
      <c r="C45" s="5" t="s">
        <v>214</v>
      </c>
      <c r="D45" s="5" t="s">
        <v>215</v>
      </c>
      <c r="E45" s="5" t="s">
        <v>216</v>
      </c>
      <c r="F45" s="17">
        <v>100149237</v>
      </c>
    </row>
    <row r="46" spans="1:6">
      <c r="A46">
        <v>35</v>
      </c>
      <c r="B46" s="51"/>
      <c r="C46" s="5" t="s">
        <v>217</v>
      </c>
      <c r="D46" s="5" t="s">
        <v>218</v>
      </c>
      <c r="E46" s="5" t="s">
        <v>219</v>
      </c>
      <c r="F46" s="17">
        <v>176196222</v>
      </c>
    </row>
    <row r="47" spans="1:6">
      <c r="A47">
        <v>36</v>
      </c>
      <c r="B47" s="52"/>
      <c r="C47" s="5" t="s">
        <v>220</v>
      </c>
      <c r="D47" s="5" t="s">
        <v>221</v>
      </c>
      <c r="E47" s="5" t="s">
        <v>222</v>
      </c>
      <c r="F47" s="17">
        <v>119136153</v>
      </c>
    </row>
    <row r="48" spans="1:6">
      <c r="A48">
        <v>37</v>
      </c>
      <c r="B48" s="53"/>
      <c r="C48" s="5" t="s">
        <v>223</v>
      </c>
      <c r="D48" s="5" t="s">
        <v>224</v>
      </c>
      <c r="E48" s="5" t="s">
        <v>225</v>
      </c>
      <c r="F48" s="17">
        <v>112128144</v>
      </c>
    </row>
    <row r="49" spans="1:6">
      <c r="A49">
        <v>38</v>
      </c>
      <c r="B49" s="54"/>
      <c r="C49" s="5" t="s">
        <v>226</v>
      </c>
      <c r="D49" s="5" t="s">
        <v>227</v>
      </c>
      <c r="E49" s="5" t="s">
        <v>228</v>
      </c>
      <c r="F49" s="17">
        <v>30144255</v>
      </c>
    </row>
    <row r="50" spans="1:6">
      <c r="A50">
        <v>39</v>
      </c>
      <c r="B50" s="55"/>
      <c r="C50" s="5" t="s">
        <v>229</v>
      </c>
      <c r="D50" s="5" t="s">
        <v>230</v>
      </c>
      <c r="E50" s="5" t="s">
        <v>231</v>
      </c>
      <c r="F50" s="17">
        <v>240248255</v>
      </c>
    </row>
    <row r="51" spans="1:6">
      <c r="A51">
        <v>40</v>
      </c>
      <c r="B51" s="56"/>
      <c r="C51" s="5" t="s">
        <v>232</v>
      </c>
      <c r="D51" s="5" t="s">
        <v>233</v>
      </c>
      <c r="E51" s="5" t="s">
        <v>234</v>
      </c>
      <c r="F51" s="17">
        <v>70130180</v>
      </c>
    </row>
    <row r="52" spans="1:6">
      <c r="A52">
        <v>41</v>
      </c>
      <c r="B52" s="57"/>
      <c r="C52" s="5" t="s">
        <v>235</v>
      </c>
      <c r="D52" s="5" t="s">
        <v>236</v>
      </c>
      <c r="E52" s="5" t="s">
        <v>237</v>
      </c>
      <c r="F52" s="17">
        <v>135206250</v>
      </c>
    </row>
    <row r="53" spans="1:6">
      <c r="A53">
        <v>42</v>
      </c>
      <c r="B53" s="58"/>
      <c r="C53" s="5" t="s">
        <v>238</v>
      </c>
      <c r="D53" s="5" t="s">
        <v>239</v>
      </c>
      <c r="E53" s="5" t="s">
        <v>240</v>
      </c>
      <c r="F53" s="17">
        <v>135206235</v>
      </c>
    </row>
    <row r="54" spans="1:6">
      <c r="A54">
        <v>43</v>
      </c>
      <c r="B54" s="59"/>
      <c r="C54" s="5" t="s">
        <v>241</v>
      </c>
      <c r="D54" s="5" t="s">
        <v>242</v>
      </c>
      <c r="E54" s="5" t="s">
        <v>243</v>
      </c>
      <c r="F54" s="6" t="s">
        <v>244</v>
      </c>
    </row>
    <row r="55" spans="1:6">
      <c r="A55">
        <v>44</v>
      </c>
      <c r="B55" s="60"/>
      <c r="C55" s="5" t="s">
        <v>245</v>
      </c>
      <c r="D55" s="5" t="s">
        <v>246</v>
      </c>
      <c r="E55" s="5" t="s">
        <v>247</v>
      </c>
      <c r="F55" s="17">
        <v>173216230</v>
      </c>
    </row>
    <row r="56" spans="1:6">
      <c r="A56">
        <v>45</v>
      </c>
      <c r="B56" s="61"/>
      <c r="C56" s="5" t="s">
        <v>248</v>
      </c>
      <c r="D56" s="5" t="s">
        <v>249</v>
      </c>
      <c r="E56" s="5" t="s">
        <v>250</v>
      </c>
      <c r="F56" s="17">
        <v>176224230</v>
      </c>
    </row>
    <row r="57" spans="1:6">
      <c r="A57">
        <v>46</v>
      </c>
      <c r="B57" s="62"/>
      <c r="C57" s="5" t="s">
        <v>251</v>
      </c>
      <c r="D57" s="5" t="s">
        <v>252</v>
      </c>
      <c r="E57" s="5" t="s">
        <v>253</v>
      </c>
      <c r="F57" s="17">
        <v>95158160</v>
      </c>
    </row>
    <row r="58" spans="1:6">
      <c r="A58">
        <v>47</v>
      </c>
      <c r="B58" s="63"/>
      <c r="C58" s="5" t="s">
        <v>254</v>
      </c>
      <c r="D58" s="5" t="s">
        <v>255</v>
      </c>
      <c r="E58" s="5" t="s">
        <v>256</v>
      </c>
      <c r="F58" s="17">
        <v>240255255</v>
      </c>
    </row>
    <row r="59" spans="1:6">
      <c r="A59">
        <v>48</v>
      </c>
      <c r="B59" s="64"/>
      <c r="C59" s="5" t="s">
        <v>257</v>
      </c>
      <c r="D59" s="5" t="s">
        <v>258</v>
      </c>
      <c r="E59" s="5" t="s">
        <v>259</v>
      </c>
      <c r="F59" s="17">
        <v>225255255</v>
      </c>
    </row>
    <row r="60" spans="1:6">
      <c r="A60">
        <v>49</v>
      </c>
      <c r="B60" s="65"/>
      <c r="C60" s="5" t="s">
        <v>260</v>
      </c>
      <c r="D60" s="5" t="s">
        <v>261</v>
      </c>
      <c r="E60" s="5" t="s">
        <v>262</v>
      </c>
      <c r="F60" s="17">
        <v>175238238</v>
      </c>
    </row>
    <row r="61" spans="1:6">
      <c r="A61">
        <v>51</v>
      </c>
      <c r="B61" s="66"/>
      <c r="C61" s="5" t="s">
        <v>263</v>
      </c>
      <c r="D61" s="5" t="s">
        <v>264</v>
      </c>
      <c r="E61" s="5" t="s">
        <v>265</v>
      </c>
      <c r="F61" s="17">
        <v>212242231</v>
      </c>
    </row>
    <row r="62" spans="1:6">
      <c r="A62">
        <v>52</v>
      </c>
      <c r="B62" s="67"/>
      <c r="C62" s="5" t="s">
        <v>266</v>
      </c>
      <c r="D62" s="5" t="s">
        <v>267</v>
      </c>
      <c r="E62" s="5" t="s">
        <v>268</v>
      </c>
      <c r="F62" s="6" t="s">
        <v>269</v>
      </c>
    </row>
    <row r="63" spans="1:6">
      <c r="A63">
        <v>53</v>
      </c>
      <c r="B63" s="68"/>
      <c r="C63" s="5" t="s">
        <v>270</v>
      </c>
      <c r="D63" s="5" t="s">
        <v>271</v>
      </c>
      <c r="E63" s="5" t="s">
        <v>272</v>
      </c>
      <c r="F63" s="6" t="s">
        <v>273</v>
      </c>
    </row>
    <row r="64" spans="1:6">
      <c r="A64">
        <v>54</v>
      </c>
      <c r="B64" s="69"/>
      <c r="C64" s="5" t="s">
        <v>274</v>
      </c>
      <c r="D64" s="5" t="s">
        <v>275</v>
      </c>
      <c r="E64" s="5" t="s">
        <v>276</v>
      </c>
      <c r="F64" s="6" t="s">
        <v>277</v>
      </c>
    </row>
    <row r="65" spans="1:6">
      <c r="A65">
        <v>55</v>
      </c>
      <c r="B65" s="70"/>
      <c r="C65" s="5" t="s">
        <v>278</v>
      </c>
      <c r="D65" s="5" t="s">
        <v>279</v>
      </c>
      <c r="E65" s="5" t="s">
        <v>280</v>
      </c>
      <c r="F65" s="6" t="s">
        <v>281</v>
      </c>
    </row>
    <row r="66" spans="1:6">
      <c r="A66">
        <v>56</v>
      </c>
      <c r="B66" s="71"/>
      <c r="C66" s="5" t="s">
        <v>282</v>
      </c>
      <c r="D66" s="5" t="s">
        <v>283</v>
      </c>
      <c r="E66" s="5" t="s">
        <v>284</v>
      </c>
      <c r="F66" s="17">
        <v>72209204</v>
      </c>
    </row>
    <row r="67" spans="1:6">
      <c r="A67">
        <v>57</v>
      </c>
      <c r="B67" s="72"/>
      <c r="C67" s="5" t="s">
        <v>285</v>
      </c>
      <c r="D67" s="5" t="s">
        <v>286</v>
      </c>
      <c r="E67" s="5" t="s">
        <v>287</v>
      </c>
      <c r="F67" s="17">
        <v>32178170</v>
      </c>
    </row>
    <row r="68" spans="1:6">
      <c r="A68">
        <v>58</v>
      </c>
      <c r="B68" s="73"/>
      <c r="C68" s="5" t="s">
        <v>288</v>
      </c>
      <c r="D68" s="5" t="s">
        <v>289</v>
      </c>
      <c r="E68" s="5" t="s">
        <v>290</v>
      </c>
      <c r="F68" s="17">
        <v>64224208</v>
      </c>
    </row>
    <row r="69" spans="1:6">
      <c r="A69">
        <v>59</v>
      </c>
      <c r="B69" s="74"/>
      <c r="C69" s="5" t="s">
        <v>291</v>
      </c>
      <c r="D69" s="5" t="s">
        <v>292</v>
      </c>
      <c r="E69" s="5" t="s">
        <v>293</v>
      </c>
      <c r="F69" s="17">
        <v>127255170</v>
      </c>
    </row>
    <row r="70" spans="1:6">
      <c r="A70">
        <v>60</v>
      </c>
      <c r="B70" s="75"/>
      <c r="C70" s="5" t="s">
        <v>294</v>
      </c>
      <c r="D70" s="5" t="s">
        <v>295</v>
      </c>
      <c r="E70" s="5" t="s">
        <v>296</v>
      </c>
      <c r="F70" s="6" t="s">
        <v>297</v>
      </c>
    </row>
    <row r="71" spans="1:6">
      <c r="A71">
        <v>61</v>
      </c>
      <c r="B71" s="76"/>
      <c r="C71" s="5" t="s">
        <v>298</v>
      </c>
      <c r="D71" s="5" t="s">
        <v>299</v>
      </c>
      <c r="E71" s="5" t="s">
        <v>300</v>
      </c>
      <c r="F71" s="6" t="s">
        <v>301</v>
      </c>
    </row>
    <row r="72" spans="1:6">
      <c r="A72">
        <v>62</v>
      </c>
      <c r="B72" s="77"/>
      <c r="C72" s="5" t="s">
        <v>302</v>
      </c>
      <c r="D72" s="5" t="s">
        <v>303</v>
      </c>
      <c r="E72" s="5" t="s">
        <v>304</v>
      </c>
      <c r="F72" s="17">
        <v>245255250</v>
      </c>
    </row>
    <row r="73" spans="1:6">
      <c r="A73">
        <v>63</v>
      </c>
      <c r="B73" s="78"/>
      <c r="C73" s="5" t="s">
        <v>305</v>
      </c>
      <c r="D73" s="5" t="s">
        <v>306</v>
      </c>
      <c r="E73" s="5" t="s">
        <v>307</v>
      </c>
      <c r="F73" s="17">
        <v>60179113</v>
      </c>
    </row>
    <row r="74" spans="1:6">
      <c r="A74">
        <v>64</v>
      </c>
      <c r="B74" s="79"/>
      <c r="C74" s="5" t="s">
        <v>308</v>
      </c>
      <c r="D74" s="5" t="s">
        <v>309</v>
      </c>
      <c r="E74" s="5" t="s">
        <v>310</v>
      </c>
      <c r="F74" s="6" t="s">
        <v>311</v>
      </c>
    </row>
    <row r="75" spans="1:6">
      <c r="A75">
        <v>65</v>
      </c>
      <c r="B75" s="80"/>
      <c r="C75" s="5" t="s">
        <v>312</v>
      </c>
      <c r="D75" s="5" t="s">
        <v>313</v>
      </c>
      <c r="E75" s="5" t="s">
        <v>314</v>
      </c>
      <c r="F75" s="17">
        <v>240255240</v>
      </c>
    </row>
    <row r="76" spans="1:6">
      <c r="A76">
        <v>66</v>
      </c>
      <c r="B76" s="81"/>
      <c r="C76" s="5" t="s">
        <v>315</v>
      </c>
      <c r="D76" s="5" t="s">
        <v>316</v>
      </c>
      <c r="E76" s="5" t="s">
        <v>317</v>
      </c>
      <c r="F76" s="17">
        <v>144238144</v>
      </c>
    </row>
    <row r="77" spans="1:6">
      <c r="A77">
        <v>67</v>
      </c>
      <c r="B77" s="82"/>
      <c r="C77" s="5" t="s">
        <v>318</v>
      </c>
      <c r="D77" s="5" t="s">
        <v>319</v>
      </c>
      <c r="E77" s="5" t="s">
        <v>320</v>
      </c>
      <c r="F77" s="17">
        <v>152251152</v>
      </c>
    </row>
    <row r="78" spans="1:6">
      <c r="A78">
        <v>68</v>
      </c>
      <c r="B78" s="83"/>
      <c r="C78" s="5" t="s">
        <v>321</v>
      </c>
      <c r="D78" s="5" t="s">
        <v>322</v>
      </c>
      <c r="E78" s="5" t="s">
        <v>323</v>
      </c>
      <c r="F78" s="17">
        <v>143188143</v>
      </c>
    </row>
    <row r="79" spans="1:6">
      <c r="A79">
        <v>69</v>
      </c>
      <c r="B79" s="84"/>
      <c r="C79" s="5" t="s">
        <v>324</v>
      </c>
      <c r="D79" s="5" t="s">
        <v>325</v>
      </c>
      <c r="E79" s="5" t="s">
        <v>326</v>
      </c>
      <c r="F79" s="6" t="s">
        <v>327</v>
      </c>
    </row>
    <row r="80" spans="1:6">
      <c r="A80">
        <v>70</v>
      </c>
      <c r="B80" s="85"/>
      <c r="C80" s="5" t="s">
        <v>328</v>
      </c>
      <c r="D80" s="5" t="s">
        <v>329</v>
      </c>
      <c r="E80" s="5" t="s">
        <v>330</v>
      </c>
      <c r="F80" s="6" t="s">
        <v>331</v>
      </c>
    </row>
    <row r="81" spans="1:6">
      <c r="A81">
        <v>72</v>
      </c>
      <c r="B81" s="86"/>
      <c r="C81" s="5" t="s">
        <v>332</v>
      </c>
      <c r="D81" s="5" t="s">
        <v>333</v>
      </c>
      <c r="E81" s="5" t="s">
        <v>334</v>
      </c>
      <c r="F81" s="6" t="s">
        <v>335</v>
      </c>
    </row>
    <row r="82" spans="1:6">
      <c r="A82">
        <v>73</v>
      </c>
      <c r="B82" s="87"/>
      <c r="C82" s="5" t="s">
        <v>336</v>
      </c>
      <c r="D82" s="5" t="s">
        <v>337</v>
      </c>
      <c r="E82" s="5" t="s">
        <v>338</v>
      </c>
      <c r="F82" s="6" t="s">
        <v>339</v>
      </c>
    </row>
    <row r="83" spans="1:6">
      <c r="A83">
        <v>74</v>
      </c>
      <c r="B83" s="88"/>
      <c r="C83" s="5" t="s">
        <v>340</v>
      </c>
      <c r="D83" s="5" t="s">
        <v>341</v>
      </c>
      <c r="E83" s="5" t="s">
        <v>342</v>
      </c>
      <c r="F83" s="6" t="s">
        <v>343</v>
      </c>
    </row>
    <row r="84" spans="1:6">
      <c r="A84">
        <v>75</v>
      </c>
      <c r="B84" s="89"/>
      <c r="C84" s="5" t="s">
        <v>344</v>
      </c>
      <c r="D84" s="5" t="s">
        <v>345</v>
      </c>
      <c r="E84" s="5" t="s">
        <v>346</v>
      </c>
      <c r="F84" s="6" t="s">
        <v>347</v>
      </c>
    </row>
    <row r="85" spans="1:6">
      <c r="A85">
        <v>76</v>
      </c>
      <c r="B85" s="90"/>
      <c r="C85" s="5" t="s">
        <v>348</v>
      </c>
      <c r="D85" s="5" t="s">
        <v>349</v>
      </c>
      <c r="E85" s="5" t="s">
        <v>350</v>
      </c>
      <c r="F85" s="6" t="s">
        <v>351</v>
      </c>
    </row>
    <row r="86" spans="1:6">
      <c r="A86">
        <v>77</v>
      </c>
      <c r="B86" s="91"/>
      <c r="C86" s="5" t="s">
        <v>352</v>
      </c>
      <c r="D86" s="5" t="s">
        <v>353</v>
      </c>
      <c r="E86" s="5" t="s">
        <v>354</v>
      </c>
      <c r="F86" s="6" t="s">
        <v>355</v>
      </c>
    </row>
    <row r="87" spans="1:6">
      <c r="A87">
        <v>78</v>
      </c>
      <c r="B87" s="92"/>
      <c r="C87" s="5" t="s">
        <v>356</v>
      </c>
      <c r="D87" s="5" t="s">
        <v>357</v>
      </c>
      <c r="E87" s="5" t="s">
        <v>358</v>
      </c>
      <c r="F87" s="17">
        <v>245245220</v>
      </c>
    </row>
    <row r="88" spans="1:6">
      <c r="A88">
        <v>79</v>
      </c>
      <c r="B88" s="93"/>
      <c r="C88" s="5" t="s">
        <v>359</v>
      </c>
      <c r="D88" s="5" t="s">
        <v>360</v>
      </c>
      <c r="E88" s="5" t="s">
        <v>361</v>
      </c>
      <c r="F88" s="17">
        <v>250250210</v>
      </c>
    </row>
    <row r="89" spans="1:6">
      <c r="A89">
        <v>80</v>
      </c>
      <c r="B89" s="94"/>
      <c r="C89" s="5" t="s">
        <v>362</v>
      </c>
      <c r="D89" s="5" t="s">
        <v>363</v>
      </c>
      <c r="E89" s="5" t="s">
        <v>364</v>
      </c>
      <c r="F89" s="17">
        <v>255255240</v>
      </c>
    </row>
    <row r="90" spans="1:6">
      <c r="A90">
        <v>81</v>
      </c>
      <c r="B90" s="95"/>
      <c r="C90" s="5" t="s">
        <v>365</v>
      </c>
      <c r="D90" s="5" t="s">
        <v>366</v>
      </c>
      <c r="E90" s="5" t="s">
        <v>367</v>
      </c>
      <c r="F90" s="17">
        <v>255255224</v>
      </c>
    </row>
    <row r="91" spans="1:6">
      <c r="A91">
        <v>84</v>
      </c>
      <c r="B91" s="96"/>
      <c r="C91" s="5" t="s">
        <v>368</v>
      </c>
      <c r="D91" s="5" t="s">
        <v>369</v>
      </c>
      <c r="E91" s="5" t="s">
        <v>370</v>
      </c>
      <c r="F91" s="17">
        <v>189183107</v>
      </c>
    </row>
    <row r="92" spans="1:6">
      <c r="A92">
        <v>85</v>
      </c>
      <c r="B92" s="97"/>
      <c r="C92" s="5" t="s">
        <v>371</v>
      </c>
      <c r="D92" s="5" t="s">
        <v>372</v>
      </c>
      <c r="E92" s="5" t="s">
        <v>373</v>
      </c>
      <c r="F92" s="17">
        <v>255250205</v>
      </c>
    </row>
    <row r="93" spans="1:6">
      <c r="A93">
        <v>86</v>
      </c>
      <c r="B93" s="98"/>
      <c r="C93" s="5" t="s">
        <v>374</v>
      </c>
      <c r="D93" s="5" t="s">
        <v>375</v>
      </c>
      <c r="E93" s="5" t="s">
        <v>376</v>
      </c>
      <c r="F93" s="17">
        <v>238232170</v>
      </c>
    </row>
    <row r="94" spans="1:6">
      <c r="A94">
        <v>87</v>
      </c>
      <c r="B94" s="99"/>
      <c r="C94" s="5" t="s">
        <v>377</v>
      </c>
      <c r="D94" s="5" t="s">
        <v>378</v>
      </c>
      <c r="E94" s="5" t="s">
        <v>379</v>
      </c>
      <c r="F94" s="17">
        <v>240230140</v>
      </c>
    </row>
    <row r="95" spans="1:6">
      <c r="A95">
        <v>88</v>
      </c>
      <c r="B95" s="100"/>
      <c r="C95" s="5" t="s">
        <v>380</v>
      </c>
      <c r="D95" s="5" t="s">
        <v>381</v>
      </c>
      <c r="E95" s="5" t="s">
        <v>382</v>
      </c>
      <c r="F95" s="6" t="s">
        <v>383</v>
      </c>
    </row>
    <row r="96" spans="1:6">
      <c r="A96">
        <v>89</v>
      </c>
      <c r="B96" s="101"/>
      <c r="C96" s="5" t="s">
        <v>384</v>
      </c>
      <c r="D96" s="5" t="s">
        <v>385</v>
      </c>
      <c r="E96" s="5" t="s">
        <v>386</v>
      </c>
      <c r="F96" s="17">
        <v>255248220</v>
      </c>
    </row>
    <row r="97" spans="1:6">
      <c r="A97">
        <v>90</v>
      </c>
      <c r="B97" s="102"/>
      <c r="C97" s="5" t="s">
        <v>387</v>
      </c>
      <c r="D97" s="5" t="s">
        <v>388</v>
      </c>
      <c r="E97" s="5" t="s">
        <v>389</v>
      </c>
      <c r="F97" s="6" t="s">
        <v>390</v>
      </c>
    </row>
    <row r="98" spans="1:6">
      <c r="A98">
        <v>91</v>
      </c>
      <c r="B98" s="103"/>
      <c r="C98" s="5" t="s">
        <v>391</v>
      </c>
      <c r="D98" s="5" t="s">
        <v>392</v>
      </c>
      <c r="E98" s="5" t="s">
        <v>393</v>
      </c>
      <c r="F98" s="17">
        <v>255250240</v>
      </c>
    </row>
    <row r="99" spans="1:6">
      <c r="A99">
        <v>92</v>
      </c>
      <c r="B99" s="104"/>
      <c r="C99" s="5" t="s">
        <v>394</v>
      </c>
      <c r="D99" s="5" t="s">
        <v>395</v>
      </c>
      <c r="E99" s="5" t="s">
        <v>396</v>
      </c>
      <c r="F99" s="17">
        <v>253245230</v>
      </c>
    </row>
    <row r="100" spans="1:6">
      <c r="A100">
        <v>93</v>
      </c>
      <c r="B100" s="105"/>
      <c r="C100" s="5" t="s">
        <v>397</v>
      </c>
      <c r="D100" s="5" t="s">
        <v>398</v>
      </c>
      <c r="E100" s="5" t="s">
        <v>399</v>
      </c>
      <c r="F100" s="17">
        <v>245222179</v>
      </c>
    </row>
    <row r="101" spans="1:6">
      <c r="A101">
        <v>94</v>
      </c>
      <c r="B101" s="106"/>
      <c r="C101" s="5" t="s">
        <v>400</v>
      </c>
      <c r="D101" s="5" t="s">
        <v>401</v>
      </c>
      <c r="E101" s="5" t="s">
        <v>402</v>
      </c>
      <c r="F101" s="17">
        <v>255228181</v>
      </c>
    </row>
    <row r="102" spans="1:6">
      <c r="A102">
        <v>96</v>
      </c>
      <c r="B102" s="107"/>
      <c r="C102" s="5" t="s">
        <v>403</v>
      </c>
      <c r="D102" s="5" t="s">
        <v>404</v>
      </c>
      <c r="E102" s="5" t="s">
        <v>405</v>
      </c>
      <c r="F102" s="17">
        <v>255239213</v>
      </c>
    </row>
    <row r="103" spans="1:6">
      <c r="A103">
        <v>97</v>
      </c>
      <c r="B103" s="108"/>
      <c r="C103" s="5" t="s">
        <v>406</v>
      </c>
      <c r="D103" s="5" t="s">
        <v>407</v>
      </c>
      <c r="E103" s="5" t="s">
        <v>408</v>
      </c>
      <c r="F103" s="17">
        <v>255235205</v>
      </c>
    </row>
    <row r="104" spans="1:6">
      <c r="A104">
        <v>98</v>
      </c>
      <c r="B104" s="109"/>
      <c r="C104" s="5" t="s">
        <v>409</v>
      </c>
      <c r="D104" s="5" t="s">
        <v>410</v>
      </c>
      <c r="E104" s="5" t="s">
        <v>411</v>
      </c>
      <c r="F104" s="17">
        <v>255222173</v>
      </c>
    </row>
    <row r="105" spans="1:6">
      <c r="A105">
        <v>99</v>
      </c>
      <c r="B105" s="110"/>
      <c r="C105" s="5" t="s">
        <v>412</v>
      </c>
      <c r="D105" s="5" t="s">
        <v>413</v>
      </c>
      <c r="E105" s="5" t="s">
        <v>414</v>
      </c>
      <c r="F105" s="17">
        <v>250235215</v>
      </c>
    </row>
    <row r="106" spans="1:6">
      <c r="A106">
        <v>101</v>
      </c>
      <c r="B106" s="111"/>
      <c r="C106" s="5" t="s">
        <v>415</v>
      </c>
      <c r="D106" s="5" t="s">
        <v>416</v>
      </c>
      <c r="E106" s="5" t="s">
        <v>417</v>
      </c>
      <c r="F106" s="17">
        <v>222184135</v>
      </c>
    </row>
    <row r="107" spans="1:6">
      <c r="A107">
        <v>102</v>
      </c>
      <c r="B107" s="112"/>
      <c r="C107" s="5" t="s">
        <v>418</v>
      </c>
      <c r="D107" s="5" t="s">
        <v>419</v>
      </c>
      <c r="E107" s="5" t="s">
        <v>420</v>
      </c>
      <c r="F107" s="17">
        <v>255228196</v>
      </c>
    </row>
    <row r="108" spans="1:6">
      <c r="A108">
        <v>104</v>
      </c>
      <c r="B108" s="113"/>
      <c r="C108" s="5" t="s">
        <v>421</v>
      </c>
      <c r="D108" s="5" t="s">
        <v>422</v>
      </c>
      <c r="E108" s="5" t="s">
        <v>423</v>
      </c>
      <c r="F108" s="17">
        <v>250240230</v>
      </c>
    </row>
    <row r="109" spans="1:6">
      <c r="A109">
        <v>105</v>
      </c>
      <c r="B109" s="114"/>
      <c r="C109" s="5" t="s">
        <v>424</v>
      </c>
      <c r="D109" s="5" t="s">
        <v>425</v>
      </c>
      <c r="E109" s="5" t="s">
        <v>426</v>
      </c>
      <c r="F109" s="6" t="s">
        <v>427</v>
      </c>
    </row>
    <row r="110" spans="1:6">
      <c r="A110">
        <v>106</v>
      </c>
      <c r="B110" s="115"/>
      <c r="C110" s="5" t="s">
        <v>428</v>
      </c>
      <c r="D110" s="5" t="s">
        <v>429</v>
      </c>
      <c r="E110" s="5" t="s">
        <v>430</v>
      </c>
      <c r="F110" s="17">
        <v>255218185</v>
      </c>
    </row>
    <row r="111" spans="1:6">
      <c r="A111">
        <v>107</v>
      </c>
      <c r="B111" s="116"/>
      <c r="C111" s="5" t="s">
        <v>431</v>
      </c>
      <c r="D111" s="5" t="s">
        <v>432</v>
      </c>
      <c r="E111" s="5" t="s">
        <v>433</v>
      </c>
      <c r="F111" s="6" t="s">
        <v>434</v>
      </c>
    </row>
    <row r="112" spans="1:6">
      <c r="A112">
        <v>108</v>
      </c>
      <c r="B112" s="117"/>
      <c r="C112" s="5" t="s">
        <v>435</v>
      </c>
      <c r="D112" s="5" t="s">
        <v>436</v>
      </c>
      <c r="E112" s="5" t="s">
        <v>437</v>
      </c>
      <c r="F112" s="6" t="s">
        <v>438</v>
      </c>
    </row>
    <row r="113" spans="1:6">
      <c r="A113">
        <v>109</v>
      </c>
      <c r="B113" s="118"/>
      <c r="C113" s="5" t="s">
        <v>439</v>
      </c>
      <c r="D113" s="5" t="s">
        <v>440</v>
      </c>
      <c r="E113" s="5" t="s">
        <v>441</v>
      </c>
      <c r="F113" s="6" t="s">
        <v>442</v>
      </c>
    </row>
    <row r="114" spans="1:6">
      <c r="A114">
        <v>110</v>
      </c>
      <c r="B114" s="119"/>
      <c r="C114" s="5" t="s">
        <v>443</v>
      </c>
      <c r="D114" s="5" t="s">
        <v>444</v>
      </c>
      <c r="E114" s="5" t="s">
        <v>445</v>
      </c>
      <c r="F114" s="17">
        <v>255245238</v>
      </c>
    </row>
    <row r="115" spans="1:6">
      <c r="A115">
        <v>111</v>
      </c>
      <c r="B115" s="120"/>
      <c r="C115" s="5" t="s">
        <v>446</v>
      </c>
      <c r="D115" s="5" t="s">
        <v>447</v>
      </c>
      <c r="E115" s="5" t="s">
        <v>448</v>
      </c>
      <c r="F115" s="6" t="s">
        <v>449</v>
      </c>
    </row>
    <row r="116" spans="1:6">
      <c r="A116">
        <v>112</v>
      </c>
      <c r="B116" s="121"/>
      <c r="C116" s="5" t="s">
        <v>450</v>
      </c>
      <c r="D116" s="5" t="s">
        <v>451</v>
      </c>
      <c r="E116" s="5" t="s">
        <v>452</v>
      </c>
      <c r="F116" s="17">
        <v>255160122</v>
      </c>
    </row>
    <row r="117" spans="1:6">
      <c r="A117">
        <v>113</v>
      </c>
      <c r="B117" s="122"/>
      <c r="C117" s="5" t="s">
        <v>453</v>
      </c>
      <c r="D117" s="5" t="s">
        <v>454</v>
      </c>
      <c r="E117" s="5" t="s">
        <v>455</v>
      </c>
      <c r="F117" s="6" t="s">
        <v>456</v>
      </c>
    </row>
    <row r="118" spans="1:6">
      <c r="A118">
        <v>114</v>
      </c>
      <c r="B118" s="123"/>
      <c r="C118" s="5" t="s">
        <v>457</v>
      </c>
      <c r="D118" s="5" t="s">
        <v>458</v>
      </c>
      <c r="E118" s="5" t="s">
        <v>459</v>
      </c>
      <c r="F118" s="6" t="s">
        <v>460</v>
      </c>
    </row>
    <row r="119" spans="1:6">
      <c r="A119">
        <v>115</v>
      </c>
      <c r="B119" s="124"/>
      <c r="C119" s="5" t="s">
        <v>461</v>
      </c>
      <c r="D119" s="5" t="s">
        <v>462</v>
      </c>
      <c r="E119" s="5" t="s">
        <v>463</v>
      </c>
      <c r="F119" s="17">
        <v>233150122</v>
      </c>
    </row>
    <row r="120" spans="1:6">
      <c r="A120">
        <v>116</v>
      </c>
      <c r="B120" s="125"/>
      <c r="C120" s="5" t="s">
        <v>464</v>
      </c>
      <c r="D120" s="5" t="s">
        <v>465</v>
      </c>
      <c r="E120" s="5" t="s">
        <v>466</v>
      </c>
      <c r="F120" s="6" t="s">
        <v>467</v>
      </c>
    </row>
    <row r="121" spans="1:6">
      <c r="A121">
        <v>117</v>
      </c>
      <c r="B121" s="126"/>
      <c r="C121" s="5" t="s">
        <v>468</v>
      </c>
      <c r="D121" s="5" t="s">
        <v>469</v>
      </c>
      <c r="E121" s="5" t="s">
        <v>470</v>
      </c>
      <c r="F121" s="17">
        <v>255228225</v>
      </c>
    </row>
    <row r="122" spans="1:6">
      <c r="A122">
        <v>118</v>
      </c>
      <c r="B122" s="127"/>
      <c r="C122" s="5" t="s">
        <v>471</v>
      </c>
      <c r="D122" s="5" t="s">
        <v>472</v>
      </c>
      <c r="E122" s="5" t="s">
        <v>473</v>
      </c>
      <c r="F122" s="17">
        <v>250128114</v>
      </c>
    </row>
    <row r="123" spans="1:6">
      <c r="A123">
        <v>119</v>
      </c>
      <c r="B123" s="128"/>
      <c r="C123" s="5" t="s">
        <v>474</v>
      </c>
      <c r="D123" s="5" t="s">
        <v>475</v>
      </c>
      <c r="E123" s="5" t="s">
        <v>476</v>
      </c>
      <c r="F123" s="17">
        <v>255250250</v>
      </c>
    </row>
    <row r="124" spans="1:6">
      <c r="A124">
        <v>120</v>
      </c>
      <c r="B124" s="129"/>
      <c r="C124" s="5" t="s">
        <v>477</v>
      </c>
      <c r="D124" s="5" t="s">
        <v>478</v>
      </c>
      <c r="E124" s="5" t="s">
        <v>479</v>
      </c>
      <c r="F124" s="17">
        <v>240128128</v>
      </c>
    </row>
    <row r="125" spans="1:6">
      <c r="A125">
        <v>121</v>
      </c>
      <c r="B125" s="130"/>
      <c r="C125" s="5" t="s">
        <v>480</v>
      </c>
      <c r="D125" s="5" t="s">
        <v>481</v>
      </c>
      <c r="E125" s="5" t="s">
        <v>482</v>
      </c>
      <c r="F125" s="17">
        <v>188143143</v>
      </c>
    </row>
    <row r="126" spans="1:6">
      <c r="A126">
        <v>122</v>
      </c>
      <c r="B126" s="131"/>
      <c r="C126" s="5" t="s">
        <v>483</v>
      </c>
      <c r="D126" s="5" t="s">
        <v>484</v>
      </c>
      <c r="E126" s="5" t="s">
        <v>485</v>
      </c>
      <c r="F126" s="6" t="s">
        <v>486</v>
      </c>
    </row>
    <row r="127" spans="1:6">
      <c r="A127">
        <v>124</v>
      </c>
      <c r="B127" s="132"/>
      <c r="C127" s="5" t="s">
        <v>487</v>
      </c>
      <c r="D127" s="5" t="s">
        <v>488</v>
      </c>
      <c r="E127" s="5" t="s">
        <v>489</v>
      </c>
      <c r="F127" s="6" t="s">
        <v>490</v>
      </c>
    </row>
    <row r="128" spans="1:6">
      <c r="A128">
        <v>125</v>
      </c>
      <c r="B128" s="133"/>
      <c r="C128" s="5" t="s">
        <v>491</v>
      </c>
      <c r="D128" s="5" t="s">
        <v>492</v>
      </c>
      <c r="E128" s="5" t="s">
        <v>493</v>
      </c>
      <c r="F128" s="6" t="s">
        <v>494</v>
      </c>
    </row>
    <row r="129" spans="1:6">
      <c r="A129">
        <v>126</v>
      </c>
      <c r="B129" s="134"/>
      <c r="C129" s="5" t="s">
        <v>495</v>
      </c>
      <c r="D129" s="5" t="s">
        <v>496</v>
      </c>
      <c r="E129" s="5" t="s">
        <v>497</v>
      </c>
      <c r="F129" s="6" t="s">
        <v>498</v>
      </c>
    </row>
    <row r="130" spans="1:6">
      <c r="A130">
        <v>127</v>
      </c>
      <c r="B130" s="135"/>
      <c r="C130" s="5" t="s">
        <v>499</v>
      </c>
      <c r="D130" s="5" t="s">
        <v>500</v>
      </c>
      <c r="E130" s="5" t="s">
        <v>501</v>
      </c>
      <c r="F130" s="6" t="s">
        <v>502</v>
      </c>
    </row>
    <row r="131" spans="1:6">
      <c r="A131">
        <v>128</v>
      </c>
      <c r="B131" s="5"/>
      <c r="C131" s="5" t="s">
        <v>503</v>
      </c>
      <c r="D131" s="5" t="s">
        <v>504</v>
      </c>
      <c r="E131" s="5" t="s">
        <v>505</v>
      </c>
      <c r="F131" s="17">
        <v>255255255</v>
      </c>
    </row>
    <row r="132" spans="1:6">
      <c r="A132">
        <v>129</v>
      </c>
      <c r="B132" s="136"/>
      <c r="C132" s="5" t="s">
        <v>506</v>
      </c>
      <c r="D132" s="5" t="s">
        <v>507</v>
      </c>
      <c r="E132" s="5" t="s">
        <v>508</v>
      </c>
      <c r="F132" s="17">
        <v>245245245</v>
      </c>
    </row>
    <row r="133" spans="1:6">
      <c r="A133">
        <v>130</v>
      </c>
      <c r="B133" s="137"/>
      <c r="C133" s="5" t="s">
        <v>509</v>
      </c>
      <c r="D133" s="5" t="s">
        <v>510</v>
      </c>
      <c r="E133" s="5" t="s">
        <v>511</v>
      </c>
      <c r="F133" s="17">
        <v>220220220</v>
      </c>
    </row>
    <row r="134" spans="1:6">
      <c r="A134">
        <v>132</v>
      </c>
      <c r="B134" s="138"/>
      <c r="C134" s="5" t="s">
        <v>512</v>
      </c>
      <c r="D134" s="5" t="s">
        <v>513</v>
      </c>
      <c r="E134" s="5" t="s">
        <v>514</v>
      </c>
      <c r="F134" s="17">
        <v>192192192</v>
      </c>
    </row>
    <row r="135" spans="1:6">
      <c r="A135">
        <v>133</v>
      </c>
      <c r="B135" s="139"/>
      <c r="C135" s="5" t="s">
        <v>515</v>
      </c>
      <c r="D135" s="5" t="s">
        <v>516</v>
      </c>
      <c r="E135" s="5" t="s">
        <v>517</v>
      </c>
      <c r="F135" s="17">
        <v>169169169</v>
      </c>
    </row>
    <row r="136" spans="1:6">
      <c r="A136">
        <v>134</v>
      </c>
      <c r="B136" s="140"/>
      <c r="C136" s="5" t="s">
        <v>518</v>
      </c>
      <c r="D136" s="5" t="s">
        <v>519</v>
      </c>
      <c r="E136" s="5" t="s">
        <v>520</v>
      </c>
      <c r="F136" s="17">
        <v>128128128</v>
      </c>
    </row>
    <row r="137" spans="1:6">
      <c r="A137">
        <v>135</v>
      </c>
      <c r="B137" s="141"/>
      <c r="C137" s="5" t="s">
        <v>521</v>
      </c>
      <c r="D137" s="5" t="s">
        <v>522</v>
      </c>
      <c r="E137" s="5" t="s">
        <v>523</v>
      </c>
      <c r="F137" s="17">
        <v>105105105</v>
      </c>
    </row>
  </sheetData>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1"/>
  <sheetViews>
    <sheetView workbookViewId="0">
      <selection activeCell="E2" sqref="E2"/>
    </sheetView>
  </sheetViews>
  <sheetFormatPr defaultRowHeight="13.8"/>
  <cols>
    <col min="4" max="4" width="21.21875" customWidth="1"/>
  </cols>
  <sheetData>
    <row r="1" spans="1:13">
      <c r="A1" s="601"/>
      <c r="B1" s="601"/>
      <c r="C1" s="601"/>
      <c r="D1" s="601"/>
      <c r="E1" s="601"/>
      <c r="F1" s="601"/>
      <c r="G1" s="601"/>
      <c r="H1" s="601"/>
      <c r="I1" s="601"/>
      <c r="J1" s="601"/>
    </row>
    <row r="2" spans="1:13">
      <c r="A2" s="603" t="s">
        <v>649</v>
      </c>
      <c r="B2" s="603" t="s">
        <v>986</v>
      </c>
      <c r="C2" s="603" t="s">
        <v>987</v>
      </c>
      <c r="D2" s="602" t="s">
        <v>2349</v>
      </c>
      <c r="E2" s="601" t="e">
        <v>#NAME?</v>
      </c>
      <c r="F2" s="601"/>
      <c r="G2" s="601"/>
      <c r="H2" s="601"/>
      <c r="I2" s="601"/>
      <c r="J2" s="601"/>
    </row>
    <row r="3" spans="1:13">
      <c r="A3" s="601"/>
      <c r="B3" s="601"/>
      <c r="C3" s="601"/>
      <c r="D3" s="602" t="s">
        <v>2345</v>
      </c>
      <c r="E3" s="601" t="e">
        <v>#NAME?</v>
      </c>
      <c r="F3" s="601"/>
      <c r="G3" s="601"/>
      <c r="H3" s="601"/>
      <c r="I3" s="601"/>
      <c r="J3" s="601"/>
    </row>
    <row r="4" spans="1:13">
      <c r="A4" s="601"/>
      <c r="B4" s="601"/>
      <c r="C4" s="601"/>
      <c r="D4" s="602" t="s">
        <v>2346</v>
      </c>
      <c r="E4" s="601" t="e">
        <v>#NAME?</v>
      </c>
      <c r="F4" s="601"/>
      <c r="G4" s="601"/>
      <c r="H4" s="601"/>
      <c r="I4" s="601"/>
      <c r="J4" s="601"/>
    </row>
    <row r="5" spans="1:13">
      <c r="A5" s="601" t="s">
        <v>2347</v>
      </c>
      <c r="B5" s="601"/>
      <c r="C5" s="601"/>
      <c r="D5" s="602" t="s">
        <v>2348</v>
      </c>
      <c r="E5" s="601" t="e">
        <v>#NAME?</v>
      </c>
      <c r="F5" s="601" t="e">
        <v>#NAME?</v>
      </c>
      <c r="G5" s="601"/>
      <c r="H5" s="601"/>
      <c r="I5" s="601"/>
      <c r="J5" s="601"/>
    </row>
    <row r="6" spans="1:13">
      <c r="A6" s="601"/>
      <c r="B6" s="601"/>
      <c r="C6" s="601"/>
      <c r="D6" s="601"/>
      <c r="E6" s="601" t="e">
        <v>#NAME?</v>
      </c>
      <c r="F6" s="601"/>
      <c r="G6" s="601"/>
      <c r="H6" s="601"/>
      <c r="I6" s="601"/>
      <c r="J6" s="601"/>
    </row>
    <row r="7" spans="1:13">
      <c r="A7" s="601"/>
      <c r="B7" s="601"/>
      <c r="C7" s="601"/>
      <c r="D7" s="601"/>
      <c r="E7" s="601"/>
      <c r="F7" s="601"/>
      <c r="G7" s="601"/>
      <c r="H7" s="601"/>
      <c r="I7" s="601"/>
      <c r="J7" s="601"/>
    </row>
    <row r="8" spans="1:13">
      <c r="A8" s="601"/>
      <c r="B8" s="601"/>
      <c r="C8" s="601"/>
      <c r="D8" s="601"/>
      <c r="E8" s="601"/>
      <c r="F8" s="601"/>
      <c r="G8" s="601"/>
      <c r="H8" s="601"/>
      <c r="I8" s="601"/>
      <c r="J8" s="601"/>
    </row>
    <row r="9" spans="1:13">
      <c r="A9" s="601"/>
      <c r="B9" s="601"/>
      <c r="C9" s="601"/>
      <c r="D9" s="601"/>
      <c r="E9" s="601"/>
      <c r="F9" s="601"/>
      <c r="G9" s="601"/>
      <c r="H9" s="601"/>
      <c r="I9" s="601"/>
      <c r="J9" s="601"/>
    </row>
    <row r="10" spans="1:13">
      <c r="A10" s="601"/>
      <c r="B10" s="601"/>
      <c r="C10" s="601"/>
      <c r="D10" s="601"/>
      <c r="E10" s="601"/>
      <c r="F10" s="601"/>
      <c r="G10" s="601"/>
      <c r="H10" s="601"/>
      <c r="I10" s="601"/>
      <c r="J10" s="601"/>
    </row>
    <row r="11" spans="1:13">
      <c r="A11" s="601"/>
      <c r="B11" s="601"/>
      <c r="C11" s="601"/>
      <c r="D11" s="601"/>
      <c r="E11" s="601"/>
      <c r="F11" s="601"/>
      <c r="G11" s="601"/>
      <c r="H11" s="601"/>
      <c r="I11" s="601"/>
      <c r="J11" s="601"/>
    </row>
    <row r="16" spans="1:13">
      <c r="M16" t="s">
        <v>2350</v>
      </c>
    </row>
    <row r="17" spans="13:16">
      <c r="M17" s="22"/>
      <c r="N17" s="22"/>
      <c r="O17" s="22"/>
      <c r="P17" s="22"/>
    </row>
    <row r="18" spans="13:16">
      <c r="M18" s="599"/>
      <c r="N18" s="22"/>
      <c r="O18" s="22"/>
      <c r="P18" s="22"/>
    </row>
    <row r="19" spans="13:16">
      <c r="M19" s="22"/>
      <c r="N19" s="22"/>
      <c r="O19" s="600"/>
      <c r="P19" s="22"/>
    </row>
    <row r="20" spans="13:16">
      <c r="M20" s="600"/>
      <c r="N20" s="22"/>
      <c r="O20" s="22"/>
      <c r="P20" s="22"/>
    </row>
    <row r="21" spans="13:16">
      <c r="M21" s="22"/>
      <c r="N21" s="22"/>
      <c r="O21" s="22"/>
      <c r="P21" s="22"/>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1"/>
  <sheetViews>
    <sheetView workbookViewId="0">
      <selection activeCell="G25" sqref="G25"/>
    </sheetView>
  </sheetViews>
  <sheetFormatPr defaultRowHeight="13.8"/>
  <sheetData>
    <row r="1" spans="1:2">
      <c r="A1" t="s">
        <v>3773</v>
      </c>
      <c r="B1" t="s">
        <v>3774</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1"/>
  <sheetViews>
    <sheetView workbookViewId="0">
      <selection activeCell="B2" sqref="B2"/>
    </sheetView>
  </sheetViews>
  <sheetFormatPr defaultRowHeight="13.8"/>
  <sheetData>
    <row r="1" spans="1:2">
      <c r="A1" t="s">
        <v>4105</v>
      </c>
      <c r="B1" t="s">
        <v>4106</v>
      </c>
    </row>
  </sheetData>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3:P38"/>
  <sheetViews>
    <sheetView workbookViewId="0">
      <selection activeCell="H16" sqref="H16"/>
    </sheetView>
  </sheetViews>
  <sheetFormatPr defaultRowHeight="13.8"/>
  <cols>
    <col min="8" max="8" width="18.21875" style="146" customWidth="1"/>
    <col min="9" max="9" width="28.21875" customWidth="1"/>
  </cols>
  <sheetData>
    <row r="3" spans="1:16">
      <c r="A3" t="s">
        <v>3771</v>
      </c>
    </row>
    <row r="7" spans="1:16">
      <c r="L7" t="s">
        <v>3746</v>
      </c>
      <c r="M7" t="s">
        <v>3743</v>
      </c>
    </row>
    <row r="8" spans="1:16">
      <c r="L8" t="s">
        <v>3743</v>
      </c>
      <c r="M8" t="s">
        <v>3743</v>
      </c>
    </row>
    <row r="9" spans="1:16">
      <c r="D9" t="s">
        <v>3753</v>
      </c>
      <c r="E9" t="s">
        <v>3754</v>
      </c>
      <c r="L9" t="s">
        <v>3743</v>
      </c>
      <c r="M9" t="s">
        <v>3743</v>
      </c>
      <c r="N9" t="s">
        <v>3747</v>
      </c>
      <c r="O9" t="s">
        <v>3743</v>
      </c>
      <c r="P9" t="s">
        <v>3743</v>
      </c>
    </row>
    <row r="10" spans="1:16">
      <c r="D10" t="s">
        <v>3754</v>
      </c>
      <c r="E10" t="s">
        <v>3754</v>
      </c>
      <c r="L10" t="s">
        <v>3743</v>
      </c>
      <c r="M10" t="s">
        <v>3743</v>
      </c>
      <c r="N10" t="s">
        <v>3748</v>
      </c>
      <c r="O10" t="s">
        <v>3743</v>
      </c>
      <c r="P10" t="s">
        <v>3743</v>
      </c>
    </row>
    <row r="11" spans="1:16">
      <c r="D11" t="s">
        <v>3754</v>
      </c>
      <c r="E11" t="s">
        <v>3754</v>
      </c>
      <c r="G11" t="s">
        <v>3763</v>
      </c>
      <c r="H11" s="146" t="s">
        <v>3757</v>
      </c>
      <c r="I11" t="s">
        <v>3750</v>
      </c>
      <c r="J11" t="s">
        <v>3750</v>
      </c>
      <c r="K11" t="s">
        <v>3743</v>
      </c>
      <c r="N11" t="s">
        <v>3743</v>
      </c>
      <c r="O11" t="s">
        <v>3743</v>
      </c>
      <c r="P11" t="s">
        <v>3743</v>
      </c>
    </row>
    <row r="12" spans="1:16">
      <c r="D12" t="s">
        <v>3755</v>
      </c>
      <c r="E12" t="s">
        <v>3754</v>
      </c>
      <c r="G12" t="s">
        <v>4107</v>
      </c>
      <c r="H12" s="146" t="s">
        <v>4108</v>
      </c>
      <c r="I12" t="s">
        <v>4109</v>
      </c>
      <c r="J12" t="s">
        <v>3752</v>
      </c>
      <c r="K12" t="s">
        <v>3743</v>
      </c>
      <c r="N12" t="s">
        <v>3743</v>
      </c>
      <c r="O12" t="s">
        <v>3743</v>
      </c>
      <c r="P12" t="s">
        <v>3743</v>
      </c>
    </row>
    <row r="13" spans="1:16">
      <c r="D13" t="s">
        <v>3754</v>
      </c>
      <c r="E13" t="s">
        <v>3754</v>
      </c>
      <c r="G13" t="s">
        <v>3764</v>
      </c>
      <c r="H13" s="146" t="s">
        <v>3758</v>
      </c>
      <c r="I13" t="s">
        <v>3752</v>
      </c>
      <c r="J13" t="s">
        <v>3750</v>
      </c>
      <c r="K13" t="s">
        <v>3743</v>
      </c>
      <c r="N13" t="s">
        <v>3749</v>
      </c>
      <c r="O13" t="s">
        <v>3749</v>
      </c>
      <c r="P13" t="s">
        <v>3749</v>
      </c>
    </row>
    <row r="14" spans="1:16">
      <c r="D14" t="s">
        <v>3754</v>
      </c>
      <c r="E14" t="s">
        <v>3756</v>
      </c>
      <c r="G14" t="s">
        <v>3765</v>
      </c>
      <c r="H14" s="146" t="s">
        <v>3758</v>
      </c>
      <c r="I14" t="s">
        <v>3751</v>
      </c>
      <c r="J14" t="s">
        <v>3762</v>
      </c>
      <c r="K14" t="s">
        <v>3743</v>
      </c>
      <c r="N14" t="s">
        <v>3743</v>
      </c>
      <c r="O14" t="s">
        <v>3743</v>
      </c>
      <c r="P14" t="s">
        <v>3743</v>
      </c>
    </row>
    <row r="15" spans="1:16">
      <c r="D15" t="s">
        <v>3754</v>
      </c>
      <c r="E15" t="s">
        <v>3754</v>
      </c>
      <c r="G15" t="s">
        <v>3766</v>
      </c>
      <c r="H15" s="146" t="s">
        <v>3758</v>
      </c>
      <c r="I15" t="s">
        <v>3762</v>
      </c>
      <c r="J15" t="s">
        <v>3743</v>
      </c>
      <c r="K15" t="s">
        <v>3743</v>
      </c>
      <c r="N15" t="s">
        <v>3744</v>
      </c>
      <c r="O15" t="s">
        <v>3743</v>
      </c>
      <c r="P15" t="s">
        <v>3743</v>
      </c>
    </row>
    <row r="16" spans="1:16">
      <c r="G16" t="s">
        <v>3766</v>
      </c>
      <c r="H16" s="145" t="s">
        <v>3759</v>
      </c>
      <c r="I16" s="145" t="s">
        <v>3762</v>
      </c>
      <c r="J16" t="s">
        <v>3743</v>
      </c>
      <c r="K16" t="s">
        <v>3743</v>
      </c>
      <c r="N16" t="s">
        <v>3743</v>
      </c>
      <c r="O16" t="s">
        <v>3745</v>
      </c>
      <c r="P16" t="s">
        <v>3743</v>
      </c>
    </row>
    <row r="17" spans="4:16">
      <c r="G17" t="s">
        <v>3766</v>
      </c>
      <c r="H17" s="145" t="s">
        <v>3760</v>
      </c>
      <c r="I17" s="145" t="s">
        <v>3762</v>
      </c>
      <c r="J17" t="s">
        <v>3743</v>
      </c>
      <c r="K17" t="s">
        <v>3743</v>
      </c>
      <c r="L17" t="s">
        <v>3743</v>
      </c>
      <c r="M17" t="s">
        <v>3743</v>
      </c>
      <c r="N17" t="s">
        <v>3743</v>
      </c>
      <c r="O17" t="s">
        <v>3743</v>
      </c>
      <c r="P17" t="s">
        <v>3743</v>
      </c>
    </row>
    <row r="18" spans="4:16">
      <c r="G18" t="s">
        <v>3766</v>
      </c>
      <c r="H18" s="145" t="s">
        <v>3761</v>
      </c>
      <c r="I18" s="982" t="s">
        <v>3762</v>
      </c>
      <c r="J18" t="s">
        <v>3743</v>
      </c>
      <c r="K18" t="s">
        <v>3743</v>
      </c>
      <c r="L18" t="s">
        <v>3743</v>
      </c>
      <c r="M18" t="s">
        <v>3743</v>
      </c>
      <c r="N18" t="s">
        <v>3743</v>
      </c>
      <c r="O18" t="s">
        <v>3743</v>
      </c>
      <c r="P18" t="s">
        <v>3743</v>
      </c>
    </row>
    <row r="19" spans="4:16">
      <c r="E19" t="s">
        <v>3772</v>
      </c>
      <c r="G19" t="s">
        <v>3766</v>
      </c>
      <c r="J19" t="s">
        <v>3743</v>
      </c>
      <c r="K19" t="s">
        <v>3743</v>
      </c>
      <c r="L19" t="s">
        <v>3743</v>
      </c>
      <c r="M19" t="s">
        <v>3743</v>
      </c>
    </row>
    <row r="20" spans="4:16">
      <c r="G20" t="s">
        <v>3766</v>
      </c>
      <c r="J20" t="s">
        <v>3743</v>
      </c>
      <c r="K20" t="s">
        <v>3743</v>
      </c>
      <c r="L20" t="s">
        <v>3743</v>
      </c>
      <c r="M20" t="s">
        <v>3743</v>
      </c>
    </row>
    <row r="21" spans="4:16">
      <c r="G21" t="s">
        <v>3766</v>
      </c>
      <c r="J21" t="s">
        <v>3743</v>
      </c>
      <c r="K21" t="s">
        <v>3743</v>
      </c>
    </row>
    <row r="22" spans="4:16">
      <c r="G22" t="s">
        <v>3765</v>
      </c>
      <c r="J22" t="s">
        <v>3743</v>
      </c>
      <c r="K22" t="s">
        <v>3743</v>
      </c>
    </row>
    <row r="23" spans="4:16">
      <c r="G23" t="s">
        <v>3765</v>
      </c>
    </row>
    <row r="27" spans="4:16">
      <c r="H27" s="146" t="str">
        <f>TH0!B1</f>
        <v>TH0</v>
      </c>
    </row>
    <row r="31" spans="4:16">
      <c r="D31" s="741">
        <v>1</v>
      </c>
    </row>
    <row r="32" spans="4:16">
      <c r="D32" s="741"/>
      <c r="H32" s="146">
        <v>1.2</v>
      </c>
      <c r="I32" t="s">
        <v>3742</v>
      </c>
    </row>
    <row r="33" spans="4:9">
      <c r="D33" s="741">
        <v>3</v>
      </c>
      <c r="H33" s="146" t="s">
        <v>3767</v>
      </c>
      <c r="I33" t="s">
        <v>3769</v>
      </c>
    </row>
    <row r="34" spans="4:9">
      <c r="D34" s="741"/>
      <c r="H34" s="146" t="s">
        <v>3768</v>
      </c>
      <c r="I34" t="s">
        <v>3770</v>
      </c>
    </row>
    <row r="35" spans="4:9">
      <c r="D35" s="742">
        <v>4</v>
      </c>
      <c r="H35" s="146">
        <v>111</v>
      </c>
      <c r="I35">
        <v>111</v>
      </c>
    </row>
    <row r="36" spans="4:9">
      <c r="D36" s="742">
        <v>4</v>
      </c>
    </row>
    <row r="37" spans="4:9">
      <c r="D37" s="741"/>
    </row>
    <row r="38" spans="4:9">
      <c r="D38" s="743">
        <v>10</v>
      </c>
    </row>
  </sheetData>
  <phoneticPr fontId="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C1:BK805"/>
  <sheetViews>
    <sheetView workbookViewId="0">
      <selection activeCell="E28" sqref="E28"/>
    </sheetView>
  </sheetViews>
  <sheetFormatPr defaultRowHeight="13.8"/>
  <sheetData>
    <row r="1" spans="3:63">
      <c r="C1" s="190" t="s">
        <v>668</v>
      </c>
      <c r="D1" t="s">
        <v>832</v>
      </c>
      <c r="E1" t="s">
        <v>833</v>
      </c>
      <c r="F1" t="s">
        <v>834</v>
      </c>
      <c r="G1" t="s">
        <v>835</v>
      </c>
      <c r="H1" t="s">
        <v>836</v>
      </c>
      <c r="I1" t="s">
        <v>837</v>
      </c>
      <c r="J1" t="s">
        <v>838</v>
      </c>
      <c r="K1" t="s">
        <v>839</v>
      </c>
      <c r="L1" t="s">
        <v>840</v>
      </c>
      <c r="M1" t="s">
        <v>841</v>
      </c>
      <c r="N1" t="s">
        <v>842</v>
      </c>
      <c r="O1" t="s">
        <v>843</v>
      </c>
      <c r="P1" t="s">
        <v>844</v>
      </c>
      <c r="Q1" t="s">
        <v>845</v>
      </c>
      <c r="R1" t="s">
        <v>846</v>
      </c>
      <c r="S1" t="s">
        <v>847</v>
      </c>
      <c r="T1" t="s">
        <v>848</v>
      </c>
      <c r="U1" t="s">
        <v>849</v>
      </c>
      <c r="V1" t="s">
        <v>850</v>
      </c>
      <c r="W1" t="s">
        <v>851</v>
      </c>
      <c r="X1" t="s">
        <v>852</v>
      </c>
      <c r="Y1" t="s">
        <v>853</v>
      </c>
      <c r="Z1" t="s">
        <v>854</v>
      </c>
      <c r="AA1" t="s">
        <v>855</v>
      </c>
      <c r="AB1" t="s">
        <v>856</v>
      </c>
      <c r="AC1" t="s">
        <v>857</v>
      </c>
      <c r="AD1" t="s">
        <v>858</v>
      </c>
      <c r="AE1" t="s">
        <v>859</v>
      </c>
      <c r="AF1" t="s">
        <v>860</v>
      </c>
      <c r="AG1" t="s">
        <v>861</v>
      </c>
      <c r="AH1" t="s">
        <v>862</v>
      </c>
      <c r="AI1" t="s">
        <v>863</v>
      </c>
      <c r="AJ1" t="s">
        <v>864</v>
      </c>
      <c r="AK1" t="s">
        <v>865</v>
      </c>
      <c r="AL1" t="s">
        <v>866</v>
      </c>
      <c r="AM1" t="s">
        <v>867</v>
      </c>
      <c r="AN1" t="s">
        <v>868</v>
      </c>
      <c r="AO1" t="s">
        <v>869</v>
      </c>
      <c r="AP1" t="s">
        <v>870</v>
      </c>
      <c r="AQ1" t="s">
        <v>871</v>
      </c>
      <c r="AR1" t="s">
        <v>872</v>
      </c>
      <c r="AS1" t="s">
        <v>873</v>
      </c>
      <c r="AT1" t="s">
        <v>874</v>
      </c>
      <c r="AU1" t="s">
        <v>875</v>
      </c>
      <c r="AV1" t="s">
        <v>876</v>
      </c>
      <c r="AW1" t="s">
        <v>877</v>
      </c>
      <c r="AX1" t="s">
        <v>878</v>
      </c>
      <c r="AY1" t="s">
        <v>879</v>
      </c>
      <c r="AZ1" t="s">
        <v>880</v>
      </c>
      <c r="BA1" t="s">
        <v>881</v>
      </c>
      <c r="BB1" t="s">
        <v>882</v>
      </c>
      <c r="BC1" t="s">
        <v>883</v>
      </c>
      <c r="BD1" t="s">
        <v>884</v>
      </c>
      <c r="BE1" t="s">
        <v>885</v>
      </c>
      <c r="BF1" t="s">
        <v>886</v>
      </c>
      <c r="BG1" t="s">
        <v>887</v>
      </c>
      <c r="BH1" t="s">
        <v>888</v>
      </c>
      <c r="BI1" t="s">
        <v>889</v>
      </c>
      <c r="BJ1" t="s">
        <v>890</v>
      </c>
      <c r="BK1" t="s">
        <v>891</v>
      </c>
    </row>
    <row r="2" spans="3:63">
      <c r="C2" s="145" t="s">
        <v>892</v>
      </c>
      <c r="D2">
        <v>1</v>
      </c>
      <c r="E2">
        <v>1</v>
      </c>
      <c r="F2">
        <v>0</v>
      </c>
      <c r="G2">
        <v>0</v>
      </c>
      <c r="H2">
        <v>0</v>
      </c>
      <c r="I2">
        <v>1</v>
      </c>
      <c r="J2">
        <v>0</v>
      </c>
      <c r="K2">
        <v>0</v>
      </c>
      <c r="L2">
        <v>0</v>
      </c>
      <c r="M2">
        <v>0</v>
      </c>
      <c r="N2">
        <v>0</v>
      </c>
      <c r="O2">
        <v>0</v>
      </c>
      <c r="P2">
        <v>0</v>
      </c>
      <c r="Q2">
        <v>0</v>
      </c>
      <c r="R2">
        <v>0</v>
      </c>
      <c r="S2">
        <v>0</v>
      </c>
      <c r="T2">
        <v>0</v>
      </c>
      <c r="U2">
        <v>0</v>
      </c>
      <c r="V2">
        <v>0</v>
      </c>
      <c r="W2">
        <v>0</v>
      </c>
      <c r="X2">
        <v>0</v>
      </c>
      <c r="Y2">
        <v>0</v>
      </c>
      <c r="Z2">
        <v>1</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row>
    <row r="3" spans="3:63">
      <c r="C3" s="145" t="s">
        <v>30</v>
      </c>
      <c r="D3">
        <v>1</v>
      </c>
      <c r="E3">
        <v>1</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row>
    <row r="4" spans="3:63">
      <c r="C4" s="145" t="s">
        <v>893</v>
      </c>
      <c r="D4">
        <v>0</v>
      </c>
      <c r="E4">
        <v>1</v>
      </c>
      <c r="F4">
        <v>1</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row>
    <row r="5" spans="3:63">
      <c r="C5" s="145" t="s">
        <v>894</v>
      </c>
      <c r="D5">
        <v>0</v>
      </c>
      <c r="E5">
        <v>1</v>
      </c>
      <c r="F5">
        <v>0</v>
      </c>
      <c r="G5">
        <v>0</v>
      </c>
      <c r="H5">
        <v>0</v>
      </c>
      <c r="I5">
        <v>1</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row>
    <row r="6" spans="3:63">
      <c r="C6" s="145" t="s">
        <v>26</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row>
    <row r="7" spans="3:63">
      <c r="C7" s="145" t="s">
        <v>26</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row>
    <row r="8" spans="3:63">
      <c r="C8" s="145" t="s">
        <v>895</v>
      </c>
      <c r="D8">
        <v>1</v>
      </c>
      <c r="E8">
        <v>0</v>
      </c>
      <c r="F8">
        <v>0</v>
      </c>
      <c r="G8">
        <v>0</v>
      </c>
      <c r="H8">
        <v>1</v>
      </c>
      <c r="I8">
        <v>0</v>
      </c>
      <c r="J8">
        <v>0</v>
      </c>
      <c r="K8">
        <v>0</v>
      </c>
      <c r="L8">
        <v>0</v>
      </c>
      <c r="M8">
        <v>0</v>
      </c>
      <c r="N8">
        <v>0</v>
      </c>
      <c r="O8">
        <v>0</v>
      </c>
      <c r="P8">
        <v>0</v>
      </c>
      <c r="Q8">
        <v>1</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row>
    <row r="9" spans="3:63">
      <c r="C9" s="145" t="s">
        <v>26</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row>
    <row r="10" spans="3:63">
      <c r="C10" s="145" t="s">
        <v>43</v>
      </c>
      <c r="D10">
        <v>1</v>
      </c>
      <c r="E10">
        <v>0</v>
      </c>
      <c r="F10">
        <v>1</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row>
    <row r="11" spans="3:63">
      <c r="C11" s="145" t="s">
        <v>896</v>
      </c>
      <c r="D11">
        <v>1</v>
      </c>
      <c r="E11">
        <v>0</v>
      </c>
      <c r="F11">
        <v>0</v>
      </c>
      <c r="G11">
        <v>0</v>
      </c>
      <c r="H11">
        <v>0</v>
      </c>
      <c r="I11">
        <v>0</v>
      </c>
      <c r="J11">
        <v>0</v>
      </c>
      <c r="K11">
        <v>1</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row>
    <row r="12" spans="3:63">
      <c r="C12" s="145" t="s">
        <v>26</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row>
    <row r="13" spans="3:63">
      <c r="C13" s="145" t="s">
        <v>26</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row>
    <row r="14" spans="3:63">
      <c r="C14" s="145" t="s">
        <v>26</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row>
    <row r="15" spans="3:63">
      <c r="C15" s="145" t="s">
        <v>32</v>
      </c>
      <c r="D15">
        <v>1</v>
      </c>
      <c r="E15">
        <v>0</v>
      </c>
      <c r="F15">
        <v>0</v>
      </c>
      <c r="G15">
        <v>0</v>
      </c>
      <c r="H15">
        <v>0</v>
      </c>
      <c r="I15">
        <v>0</v>
      </c>
      <c r="J15">
        <v>0</v>
      </c>
      <c r="K15">
        <v>0</v>
      </c>
      <c r="L15">
        <v>0</v>
      </c>
      <c r="M15">
        <v>0</v>
      </c>
      <c r="N15">
        <v>0</v>
      </c>
      <c r="O15">
        <v>0</v>
      </c>
      <c r="P15">
        <v>0</v>
      </c>
      <c r="Q15">
        <v>1</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row>
    <row r="16" spans="3:63">
      <c r="C16" s="145" t="s">
        <v>26</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row>
    <row r="17" spans="3:63">
      <c r="C17" s="145" t="s">
        <v>897</v>
      </c>
      <c r="D17">
        <v>1</v>
      </c>
      <c r="E17">
        <v>1</v>
      </c>
      <c r="F17">
        <v>0</v>
      </c>
      <c r="G17">
        <v>0</v>
      </c>
      <c r="H17">
        <v>0</v>
      </c>
      <c r="I17">
        <v>1</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row>
    <row r="18" spans="3:63">
      <c r="C18" s="145" t="s">
        <v>32</v>
      </c>
      <c r="D18">
        <v>1</v>
      </c>
      <c r="E18">
        <v>0</v>
      </c>
      <c r="F18">
        <v>0</v>
      </c>
      <c r="G18">
        <v>0</v>
      </c>
      <c r="H18">
        <v>0</v>
      </c>
      <c r="I18">
        <v>0</v>
      </c>
      <c r="J18">
        <v>0</v>
      </c>
      <c r="K18">
        <v>0</v>
      </c>
      <c r="L18">
        <v>0</v>
      </c>
      <c r="M18">
        <v>0</v>
      </c>
      <c r="N18">
        <v>0</v>
      </c>
      <c r="O18">
        <v>0</v>
      </c>
      <c r="P18">
        <v>0</v>
      </c>
      <c r="Q18">
        <v>1</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row>
    <row r="19" spans="3:63">
      <c r="C19" s="145" t="s">
        <v>898</v>
      </c>
      <c r="D19">
        <v>1</v>
      </c>
      <c r="E19">
        <v>0</v>
      </c>
      <c r="F19">
        <v>0</v>
      </c>
      <c r="G19">
        <v>0</v>
      </c>
      <c r="H19">
        <v>0</v>
      </c>
      <c r="I19">
        <v>1</v>
      </c>
      <c r="J19">
        <v>0</v>
      </c>
      <c r="K19">
        <v>0</v>
      </c>
      <c r="L19">
        <v>0</v>
      </c>
      <c r="M19">
        <v>0</v>
      </c>
      <c r="N19">
        <v>0</v>
      </c>
      <c r="O19">
        <v>1</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row>
    <row r="20" spans="3:63">
      <c r="C20" s="145" t="s">
        <v>899</v>
      </c>
      <c r="D20">
        <v>1</v>
      </c>
      <c r="E20">
        <v>0</v>
      </c>
      <c r="F20">
        <v>1</v>
      </c>
      <c r="G20">
        <v>0</v>
      </c>
      <c r="H20">
        <v>0</v>
      </c>
      <c r="I20">
        <v>0</v>
      </c>
      <c r="J20">
        <v>0</v>
      </c>
      <c r="K20">
        <v>0</v>
      </c>
      <c r="L20">
        <v>1</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row>
    <row r="21" spans="3:63">
      <c r="C21" s="145" t="s">
        <v>900</v>
      </c>
      <c r="D21">
        <v>1</v>
      </c>
      <c r="E21">
        <v>1</v>
      </c>
      <c r="F21">
        <v>1</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row>
    <row r="22" spans="3:63">
      <c r="C22" s="145" t="s">
        <v>30</v>
      </c>
      <c r="D22">
        <v>1</v>
      </c>
      <c r="E22">
        <v>1</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row>
    <row r="23" spans="3:63">
      <c r="C23" s="145" t="s">
        <v>901</v>
      </c>
      <c r="D23">
        <v>1</v>
      </c>
      <c r="E23">
        <v>0</v>
      </c>
      <c r="F23">
        <v>0</v>
      </c>
      <c r="G23">
        <v>0</v>
      </c>
      <c r="H23">
        <v>0</v>
      </c>
      <c r="I23">
        <v>0</v>
      </c>
      <c r="J23">
        <v>0</v>
      </c>
      <c r="K23">
        <v>0</v>
      </c>
      <c r="L23">
        <v>0</v>
      </c>
      <c r="M23">
        <v>0</v>
      </c>
      <c r="N23">
        <v>1</v>
      </c>
      <c r="O23">
        <v>0</v>
      </c>
      <c r="P23">
        <v>0</v>
      </c>
      <c r="Q23">
        <v>1</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row>
    <row r="24" spans="3:63">
      <c r="C24" s="145" t="s">
        <v>28</v>
      </c>
      <c r="D24">
        <v>0</v>
      </c>
      <c r="E24">
        <v>0</v>
      </c>
      <c r="F24">
        <v>0</v>
      </c>
      <c r="G24">
        <v>0</v>
      </c>
      <c r="H24">
        <v>0</v>
      </c>
      <c r="I24">
        <v>0</v>
      </c>
      <c r="J24">
        <v>0</v>
      </c>
      <c r="K24">
        <v>0</v>
      </c>
      <c r="L24">
        <v>0</v>
      </c>
      <c r="M24">
        <v>0</v>
      </c>
      <c r="N24">
        <v>0</v>
      </c>
      <c r="O24">
        <v>0</v>
      </c>
      <c r="P24">
        <v>0</v>
      </c>
      <c r="Q24">
        <v>1</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row>
    <row r="25" spans="3:63">
      <c r="C25" s="145" t="s">
        <v>26</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row>
    <row r="26" spans="3:63">
      <c r="C26" s="145" t="s">
        <v>26</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row>
    <row r="27" spans="3:63">
      <c r="C27" s="145" t="s">
        <v>26</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row>
    <row r="28" spans="3:63">
      <c r="C28" s="145" t="s">
        <v>40</v>
      </c>
      <c r="D28">
        <v>1</v>
      </c>
      <c r="E28">
        <v>1</v>
      </c>
      <c r="F28">
        <v>0</v>
      </c>
      <c r="G28">
        <v>0</v>
      </c>
      <c r="H28">
        <v>0</v>
      </c>
      <c r="I28">
        <v>0</v>
      </c>
      <c r="J28">
        <v>0</v>
      </c>
      <c r="K28">
        <v>0</v>
      </c>
      <c r="L28">
        <v>0</v>
      </c>
      <c r="M28">
        <v>0</v>
      </c>
      <c r="N28">
        <v>0</v>
      </c>
      <c r="O28">
        <v>1</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row>
    <row r="29" spans="3:63">
      <c r="C29" s="145" t="s">
        <v>47</v>
      </c>
      <c r="D29">
        <v>0</v>
      </c>
      <c r="E29">
        <v>1</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row>
    <row r="30" spans="3:63">
      <c r="C30" s="145" t="s">
        <v>902</v>
      </c>
      <c r="D30">
        <v>0</v>
      </c>
      <c r="E30">
        <v>1</v>
      </c>
      <c r="F30">
        <v>0</v>
      </c>
      <c r="G30">
        <v>0</v>
      </c>
      <c r="H30">
        <v>0</v>
      </c>
      <c r="I30">
        <v>0</v>
      </c>
      <c r="J30">
        <v>0</v>
      </c>
      <c r="K30">
        <v>0</v>
      </c>
      <c r="L30">
        <v>0</v>
      </c>
      <c r="M30">
        <v>0</v>
      </c>
      <c r="N30">
        <v>0</v>
      </c>
      <c r="O30">
        <v>0</v>
      </c>
      <c r="P30">
        <v>0</v>
      </c>
      <c r="Q30">
        <v>1</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row>
    <row r="31" spans="3:63">
      <c r="C31" s="145" t="s">
        <v>897</v>
      </c>
      <c r="D31">
        <v>1</v>
      </c>
      <c r="E31">
        <v>1</v>
      </c>
      <c r="F31">
        <v>0</v>
      </c>
      <c r="G31">
        <v>0</v>
      </c>
      <c r="H31">
        <v>0</v>
      </c>
      <c r="I31">
        <v>1</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row>
    <row r="32" spans="3:63">
      <c r="C32" s="145" t="s">
        <v>39</v>
      </c>
      <c r="D32">
        <v>0</v>
      </c>
      <c r="E32">
        <v>0</v>
      </c>
      <c r="F32">
        <v>0</v>
      </c>
      <c r="G32">
        <v>1</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row>
    <row r="33" spans="3:63">
      <c r="C33" s="145" t="s">
        <v>32</v>
      </c>
      <c r="D33">
        <v>1</v>
      </c>
      <c r="E33">
        <v>0</v>
      </c>
      <c r="F33">
        <v>0</v>
      </c>
      <c r="G33">
        <v>0</v>
      </c>
      <c r="H33">
        <v>0</v>
      </c>
      <c r="I33">
        <v>0</v>
      </c>
      <c r="J33">
        <v>0</v>
      </c>
      <c r="K33">
        <v>0</v>
      </c>
      <c r="L33">
        <v>0</v>
      </c>
      <c r="M33">
        <v>0</v>
      </c>
      <c r="N33">
        <v>0</v>
      </c>
      <c r="O33">
        <v>0</v>
      </c>
      <c r="P33">
        <v>0</v>
      </c>
      <c r="Q33">
        <v>1</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row>
    <row r="34" spans="3:63">
      <c r="C34" s="145" t="s">
        <v>28</v>
      </c>
      <c r="D34">
        <v>0</v>
      </c>
      <c r="E34">
        <v>0</v>
      </c>
      <c r="F34">
        <v>0</v>
      </c>
      <c r="G34">
        <v>0</v>
      </c>
      <c r="H34">
        <v>0</v>
      </c>
      <c r="I34">
        <v>0</v>
      </c>
      <c r="J34">
        <v>0</v>
      </c>
      <c r="K34">
        <v>0</v>
      </c>
      <c r="L34">
        <v>0</v>
      </c>
      <c r="M34">
        <v>0</v>
      </c>
      <c r="N34">
        <v>0</v>
      </c>
      <c r="O34">
        <v>0</v>
      </c>
      <c r="P34">
        <v>0</v>
      </c>
      <c r="Q34">
        <v>1</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row>
    <row r="35" spans="3:63">
      <c r="C35" s="145" t="s">
        <v>26</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row>
    <row r="36" spans="3:63">
      <c r="C36" s="145" t="s">
        <v>26</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row>
    <row r="37" spans="3:63">
      <c r="C37" s="145" t="s">
        <v>30</v>
      </c>
      <c r="D37">
        <v>1</v>
      </c>
      <c r="E37">
        <v>1</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row>
    <row r="38" spans="3:63">
      <c r="C38" s="145" t="s">
        <v>26</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row>
    <row r="39" spans="3:63">
      <c r="C39" s="145" t="s">
        <v>32</v>
      </c>
      <c r="D39">
        <v>1</v>
      </c>
      <c r="E39">
        <v>0</v>
      </c>
      <c r="F39">
        <v>0</v>
      </c>
      <c r="G39">
        <v>0</v>
      </c>
      <c r="H39">
        <v>0</v>
      </c>
      <c r="I39">
        <v>0</v>
      </c>
      <c r="J39">
        <v>0</v>
      </c>
      <c r="K39">
        <v>0</v>
      </c>
      <c r="L39">
        <v>0</v>
      </c>
      <c r="M39">
        <v>0</v>
      </c>
      <c r="N39">
        <v>0</v>
      </c>
      <c r="O39">
        <v>0</v>
      </c>
      <c r="P39">
        <v>0</v>
      </c>
      <c r="Q39">
        <v>1</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row>
    <row r="40" spans="3:63">
      <c r="C40" s="145" t="s">
        <v>903</v>
      </c>
      <c r="D40">
        <v>1</v>
      </c>
      <c r="E40">
        <v>1</v>
      </c>
      <c r="F40">
        <v>0</v>
      </c>
      <c r="G40">
        <v>0</v>
      </c>
      <c r="H40">
        <v>1</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row>
    <row r="41" spans="3:63">
      <c r="C41" s="145" t="s">
        <v>897</v>
      </c>
      <c r="D41">
        <v>1</v>
      </c>
      <c r="E41">
        <v>1</v>
      </c>
      <c r="F41">
        <v>0</v>
      </c>
      <c r="G41">
        <v>0</v>
      </c>
      <c r="H41">
        <v>0</v>
      </c>
      <c r="I41">
        <v>1</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row>
    <row r="42" spans="3:63">
      <c r="C42" s="145" t="s">
        <v>904</v>
      </c>
      <c r="D42">
        <v>0</v>
      </c>
      <c r="E42">
        <v>1</v>
      </c>
      <c r="F42">
        <v>1</v>
      </c>
      <c r="G42">
        <v>1</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row>
    <row r="43" spans="3:63">
      <c r="C43" s="145" t="s">
        <v>30</v>
      </c>
      <c r="D43">
        <v>1</v>
      </c>
      <c r="E43">
        <v>1</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row>
    <row r="44" spans="3:63">
      <c r="C44" s="145" t="s">
        <v>36</v>
      </c>
      <c r="D44">
        <v>0</v>
      </c>
      <c r="E44">
        <v>0</v>
      </c>
      <c r="F44">
        <v>0</v>
      </c>
      <c r="G44">
        <v>0</v>
      </c>
      <c r="H44">
        <v>1</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row>
    <row r="45" spans="3:63">
      <c r="C45" s="145" t="s">
        <v>905</v>
      </c>
      <c r="D45">
        <v>1</v>
      </c>
      <c r="E45">
        <v>0</v>
      </c>
      <c r="F45">
        <v>1</v>
      </c>
      <c r="G45">
        <v>0</v>
      </c>
      <c r="H45">
        <v>0</v>
      </c>
      <c r="I45">
        <v>0</v>
      </c>
      <c r="J45">
        <v>0</v>
      </c>
      <c r="K45">
        <v>0</v>
      </c>
      <c r="L45">
        <v>0</v>
      </c>
      <c r="M45">
        <v>0</v>
      </c>
      <c r="N45">
        <v>0</v>
      </c>
      <c r="O45">
        <v>1</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row>
    <row r="46" spans="3:63">
      <c r="C46" s="145" t="s">
        <v>43</v>
      </c>
      <c r="D46">
        <v>1</v>
      </c>
      <c r="E46">
        <v>0</v>
      </c>
      <c r="F46">
        <v>1</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row>
    <row r="47" spans="3:63">
      <c r="C47" s="145" t="s">
        <v>43</v>
      </c>
      <c r="D47">
        <v>1</v>
      </c>
      <c r="E47">
        <v>0</v>
      </c>
      <c r="F47">
        <v>1</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row>
    <row r="48" spans="3:63">
      <c r="C48" s="145" t="s">
        <v>906</v>
      </c>
      <c r="D48">
        <v>1</v>
      </c>
      <c r="E48">
        <v>0</v>
      </c>
      <c r="F48">
        <v>0</v>
      </c>
      <c r="G48">
        <v>0</v>
      </c>
      <c r="H48">
        <v>0</v>
      </c>
      <c r="I48">
        <v>1</v>
      </c>
      <c r="J48">
        <v>0</v>
      </c>
      <c r="K48">
        <v>0</v>
      </c>
      <c r="L48">
        <v>0</v>
      </c>
      <c r="M48">
        <v>0</v>
      </c>
      <c r="N48">
        <v>1</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row>
    <row r="49" spans="3:63">
      <c r="C49" s="145" t="s">
        <v>28</v>
      </c>
      <c r="D49">
        <v>0</v>
      </c>
      <c r="E49">
        <v>0</v>
      </c>
      <c r="F49">
        <v>0</v>
      </c>
      <c r="G49">
        <v>0</v>
      </c>
      <c r="H49">
        <v>0</v>
      </c>
      <c r="I49">
        <v>0</v>
      </c>
      <c r="J49">
        <v>0</v>
      </c>
      <c r="K49">
        <v>0</v>
      </c>
      <c r="L49">
        <v>0</v>
      </c>
      <c r="M49">
        <v>0</v>
      </c>
      <c r="N49">
        <v>0</v>
      </c>
      <c r="O49">
        <v>0</v>
      </c>
      <c r="P49">
        <v>0</v>
      </c>
      <c r="Q49">
        <v>1</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row>
    <row r="50" spans="3:63">
      <c r="C50" s="145" t="s">
        <v>28</v>
      </c>
      <c r="D50">
        <v>0</v>
      </c>
      <c r="E50">
        <v>0</v>
      </c>
      <c r="F50">
        <v>0</v>
      </c>
      <c r="G50">
        <v>0</v>
      </c>
      <c r="H50">
        <v>0</v>
      </c>
      <c r="I50">
        <v>0</v>
      </c>
      <c r="J50">
        <v>0</v>
      </c>
      <c r="K50">
        <v>0</v>
      </c>
      <c r="L50">
        <v>0</v>
      </c>
      <c r="M50">
        <v>0</v>
      </c>
      <c r="N50">
        <v>0</v>
      </c>
      <c r="O50">
        <v>0</v>
      </c>
      <c r="P50">
        <v>0</v>
      </c>
      <c r="Q50">
        <v>1</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row>
    <row r="51" spans="3:63">
      <c r="C51" s="145" t="s">
        <v>26</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row>
    <row r="52" spans="3:63">
      <c r="C52" s="145" t="s">
        <v>26</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row>
    <row r="53" spans="3:63">
      <c r="C53" s="145" t="s">
        <v>897</v>
      </c>
      <c r="D53">
        <v>1</v>
      </c>
      <c r="E53">
        <v>1</v>
      </c>
      <c r="F53">
        <v>0</v>
      </c>
      <c r="G53">
        <v>0</v>
      </c>
      <c r="H53">
        <v>0</v>
      </c>
      <c r="I53">
        <v>1</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row>
    <row r="54" spans="3:63">
      <c r="C54" s="145" t="s">
        <v>26</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row>
    <row r="55" spans="3:63">
      <c r="C55" s="145" t="s">
        <v>47</v>
      </c>
      <c r="D55">
        <v>0</v>
      </c>
      <c r="E55">
        <v>1</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row>
    <row r="56" spans="3:63">
      <c r="C56" s="145" t="s">
        <v>52</v>
      </c>
      <c r="D56">
        <v>0</v>
      </c>
      <c r="E56">
        <v>0</v>
      </c>
      <c r="F56">
        <v>0</v>
      </c>
      <c r="G56">
        <v>0</v>
      </c>
      <c r="H56">
        <v>0</v>
      </c>
      <c r="I56">
        <v>0</v>
      </c>
      <c r="J56">
        <v>0</v>
      </c>
      <c r="K56">
        <v>0</v>
      </c>
      <c r="L56">
        <v>0</v>
      </c>
      <c r="M56">
        <v>0</v>
      </c>
      <c r="N56">
        <v>0</v>
      </c>
      <c r="O56">
        <v>1</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row>
    <row r="57" spans="3:63">
      <c r="C57" s="145" t="s">
        <v>46</v>
      </c>
      <c r="D57">
        <v>1</v>
      </c>
      <c r="E57">
        <v>0</v>
      </c>
      <c r="F57">
        <v>0</v>
      </c>
      <c r="G57">
        <v>1</v>
      </c>
      <c r="H57">
        <v>0</v>
      </c>
      <c r="I57">
        <v>0</v>
      </c>
      <c r="J57">
        <v>1</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row>
    <row r="58" spans="3:63">
      <c r="C58" s="145" t="s">
        <v>26</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row>
    <row r="59" spans="3:63">
      <c r="C59" s="145" t="s">
        <v>900</v>
      </c>
      <c r="D59">
        <v>1</v>
      </c>
      <c r="E59">
        <v>1</v>
      </c>
      <c r="F59">
        <v>1</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row>
    <row r="60" spans="3:63">
      <c r="C60" s="145" t="s">
        <v>26</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row>
    <row r="61" spans="3:63">
      <c r="C61" s="145" t="s">
        <v>28</v>
      </c>
      <c r="D61">
        <v>0</v>
      </c>
      <c r="E61">
        <v>0</v>
      </c>
      <c r="F61">
        <v>0</v>
      </c>
      <c r="G61">
        <v>0</v>
      </c>
      <c r="H61">
        <v>0</v>
      </c>
      <c r="I61">
        <v>0</v>
      </c>
      <c r="J61">
        <v>0</v>
      </c>
      <c r="K61">
        <v>0</v>
      </c>
      <c r="L61">
        <v>0</v>
      </c>
      <c r="M61">
        <v>0</v>
      </c>
      <c r="N61">
        <v>0</v>
      </c>
      <c r="O61">
        <v>0</v>
      </c>
      <c r="P61">
        <v>0</v>
      </c>
      <c r="Q61">
        <v>1</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row>
    <row r="62" spans="3:63">
      <c r="C62" s="145" t="s">
        <v>907</v>
      </c>
      <c r="D62">
        <v>1</v>
      </c>
      <c r="E62">
        <v>0</v>
      </c>
      <c r="F62">
        <v>0</v>
      </c>
      <c r="G62">
        <v>0</v>
      </c>
      <c r="H62">
        <v>0</v>
      </c>
      <c r="I62">
        <v>0</v>
      </c>
      <c r="J62">
        <v>0</v>
      </c>
      <c r="K62">
        <v>0</v>
      </c>
      <c r="L62">
        <v>0</v>
      </c>
      <c r="M62">
        <v>0</v>
      </c>
      <c r="N62">
        <v>0</v>
      </c>
      <c r="O62">
        <v>1</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row>
    <row r="63" spans="3:63">
      <c r="C63" s="145" t="s">
        <v>36</v>
      </c>
      <c r="D63">
        <v>0</v>
      </c>
      <c r="E63">
        <v>0</v>
      </c>
      <c r="F63">
        <v>0</v>
      </c>
      <c r="G63">
        <v>0</v>
      </c>
      <c r="H63">
        <v>1</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row>
    <row r="64" spans="3:63">
      <c r="C64" s="145" t="s">
        <v>30</v>
      </c>
      <c r="D64">
        <v>1</v>
      </c>
      <c r="E64">
        <v>1</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row>
    <row r="65" spans="3:63">
      <c r="C65" s="145" t="s">
        <v>29</v>
      </c>
      <c r="D65">
        <v>1</v>
      </c>
      <c r="E65">
        <v>0</v>
      </c>
      <c r="F65">
        <v>0</v>
      </c>
      <c r="G65">
        <v>0</v>
      </c>
      <c r="H65">
        <v>0</v>
      </c>
      <c r="I65">
        <v>0</v>
      </c>
      <c r="J65">
        <v>0</v>
      </c>
      <c r="K65">
        <v>0</v>
      </c>
      <c r="L65">
        <v>1</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row>
    <row r="66" spans="3:63">
      <c r="C66" s="145" t="s">
        <v>32</v>
      </c>
      <c r="D66">
        <v>1</v>
      </c>
      <c r="E66">
        <v>0</v>
      </c>
      <c r="F66">
        <v>0</v>
      </c>
      <c r="G66">
        <v>0</v>
      </c>
      <c r="H66">
        <v>0</v>
      </c>
      <c r="I66">
        <v>0</v>
      </c>
      <c r="J66">
        <v>0</v>
      </c>
      <c r="K66">
        <v>0</v>
      </c>
      <c r="L66">
        <v>0</v>
      </c>
      <c r="M66">
        <v>0</v>
      </c>
      <c r="N66">
        <v>0</v>
      </c>
      <c r="O66">
        <v>0</v>
      </c>
      <c r="P66">
        <v>0</v>
      </c>
      <c r="Q66">
        <v>1</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row>
    <row r="67" spans="3:63">
      <c r="C67" s="145" t="s">
        <v>30</v>
      </c>
      <c r="D67">
        <v>1</v>
      </c>
      <c r="E67">
        <v>1</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row>
    <row r="68" spans="3:63">
      <c r="C68" s="145" t="s">
        <v>30</v>
      </c>
      <c r="D68">
        <v>1</v>
      </c>
      <c r="E68">
        <v>1</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row>
    <row r="69" spans="3:63">
      <c r="C69" s="145" t="s">
        <v>32</v>
      </c>
      <c r="D69">
        <v>1</v>
      </c>
      <c r="E69">
        <v>0</v>
      </c>
      <c r="F69">
        <v>0</v>
      </c>
      <c r="G69">
        <v>0</v>
      </c>
      <c r="H69">
        <v>0</v>
      </c>
      <c r="I69">
        <v>0</v>
      </c>
      <c r="J69">
        <v>0</v>
      </c>
      <c r="K69">
        <v>0</v>
      </c>
      <c r="L69">
        <v>0</v>
      </c>
      <c r="M69">
        <v>0</v>
      </c>
      <c r="N69">
        <v>0</v>
      </c>
      <c r="O69">
        <v>0</v>
      </c>
      <c r="P69">
        <v>0</v>
      </c>
      <c r="Q69">
        <v>1</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row>
    <row r="70" spans="3:63">
      <c r="C70" s="145" t="s">
        <v>26</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row>
    <row r="71" spans="3:63">
      <c r="C71" s="145" t="s">
        <v>26</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row>
    <row r="72" spans="3:63">
      <c r="C72" s="145" t="s">
        <v>47</v>
      </c>
      <c r="D72">
        <v>0</v>
      </c>
      <c r="E72">
        <v>1</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row>
    <row r="73" spans="3:63">
      <c r="C73" s="145" t="s">
        <v>26</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row>
    <row r="74" spans="3:63">
      <c r="C74" s="145" t="s">
        <v>26</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row>
    <row r="75" spans="3:63">
      <c r="C75" s="145" t="s">
        <v>42</v>
      </c>
      <c r="D75">
        <v>1</v>
      </c>
      <c r="E75">
        <v>0</v>
      </c>
      <c r="F75">
        <v>0</v>
      </c>
      <c r="G75">
        <v>1</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row>
    <row r="76" spans="3:63">
      <c r="C76" s="145" t="s">
        <v>26</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row>
    <row r="77" spans="3:63">
      <c r="C77" s="145" t="s">
        <v>26</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row>
    <row r="78" spans="3:63">
      <c r="C78" s="145" t="s">
        <v>908</v>
      </c>
      <c r="D78">
        <v>1</v>
      </c>
      <c r="E78">
        <v>1</v>
      </c>
      <c r="F78">
        <v>0</v>
      </c>
      <c r="G78">
        <v>1</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row>
    <row r="79" spans="3:63">
      <c r="C79" s="145" t="s">
        <v>26</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row>
    <row r="80" spans="3:63">
      <c r="C80" s="145" t="s">
        <v>26</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row>
    <row r="81" spans="3:63">
      <c r="C81" s="145" t="s">
        <v>30</v>
      </c>
      <c r="D81">
        <v>1</v>
      </c>
      <c r="E81">
        <v>1</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row>
    <row r="82" spans="3:63">
      <c r="C82" s="145" t="s">
        <v>42</v>
      </c>
      <c r="D82">
        <v>1</v>
      </c>
      <c r="E82">
        <v>0</v>
      </c>
      <c r="F82">
        <v>0</v>
      </c>
      <c r="G82">
        <v>1</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row>
    <row r="83" spans="3:63">
      <c r="C83" s="145" t="s">
        <v>26</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row>
    <row r="84" spans="3:63">
      <c r="C84" s="145" t="s">
        <v>37</v>
      </c>
      <c r="D84">
        <v>1</v>
      </c>
      <c r="E84">
        <v>0</v>
      </c>
      <c r="F84">
        <v>0</v>
      </c>
      <c r="G84">
        <v>0</v>
      </c>
      <c r="H84">
        <v>0</v>
      </c>
      <c r="I84">
        <v>0</v>
      </c>
      <c r="J84">
        <v>0</v>
      </c>
      <c r="K84">
        <v>0</v>
      </c>
      <c r="L84">
        <v>0</v>
      </c>
      <c r="M84">
        <v>1</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row>
    <row r="85" spans="3:63">
      <c r="C85" s="145" t="s">
        <v>26</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row>
    <row r="86" spans="3:63">
      <c r="C86" s="145" t="s">
        <v>897</v>
      </c>
      <c r="D86">
        <v>1</v>
      </c>
      <c r="E86">
        <v>1</v>
      </c>
      <c r="F86">
        <v>0</v>
      </c>
      <c r="G86">
        <v>0</v>
      </c>
      <c r="H86">
        <v>0</v>
      </c>
      <c r="I86">
        <v>1</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row>
    <row r="87" spans="3:63">
      <c r="C87" s="145" t="s">
        <v>909</v>
      </c>
      <c r="D87">
        <v>0</v>
      </c>
      <c r="E87">
        <v>0</v>
      </c>
      <c r="F87">
        <v>0</v>
      </c>
      <c r="G87">
        <v>0</v>
      </c>
      <c r="H87">
        <v>0</v>
      </c>
      <c r="I87">
        <v>1</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row>
    <row r="88" spans="3:63">
      <c r="C88" s="145" t="s">
        <v>47</v>
      </c>
      <c r="D88">
        <v>0</v>
      </c>
      <c r="E88">
        <v>1</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row>
    <row r="89" spans="3:63">
      <c r="C89" s="145" t="s">
        <v>26</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row>
    <row r="90" spans="3:63">
      <c r="C90" s="145" t="s">
        <v>26</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row>
    <row r="91" spans="3:63">
      <c r="C91" s="145" t="s">
        <v>26</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row>
    <row r="92" spans="3:63">
      <c r="C92" s="145" t="s">
        <v>910</v>
      </c>
      <c r="D92">
        <v>1</v>
      </c>
      <c r="E92">
        <v>0</v>
      </c>
      <c r="F92">
        <v>1</v>
      </c>
      <c r="G92">
        <v>0</v>
      </c>
      <c r="H92">
        <v>0</v>
      </c>
      <c r="I92">
        <v>1</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row>
    <row r="93" spans="3:63">
      <c r="C93" s="145" t="s">
        <v>30</v>
      </c>
      <c r="D93">
        <v>1</v>
      </c>
      <c r="E93">
        <v>1</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row>
    <row r="94" spans="3:63">
      <c r="C94" s="145" t="s">
        <v>28</v>
      </c>
      <c r="D94">
        <v>0</v>
      </c>
      <c r="E94">
        <v>0</v>
      </c>
      <c r="F94">
        <v>0</v>
      </c>
      <c r="G94">
        <v>0</v>
      </c>
      <c r="H94">
        <v>0</v>
      </c>
      <c r="I94">
        <v>0</v>
      </c>
      <c r="J94">
        <v>0</v>
      </c>
      <c r="K94">
        <v>0</v>
      </c>
      <c r="L94">
        <v>0</v>
      </c>
      <c r="M94">
        <v>0</v>
      </c>
      <c r="N94">
        <v>0</v>
      </c>
      <c r="O94">
        <v>0</v>
      </c>
      <c r="P94">
        <v>0</v>
      </c>
      <c r="Q94">
        <v>1</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row>
    <row r="95" spans="3:63">
      <c r="C95" s="145" t="s">
        <v>26</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row>
    <row r="96" spans="3:63">
      <c r="C96" s="145" t="s">
        <v>39</v>
      </c>
      <c r="D96">
        <v>0</v>
      </c>
      <c r="E96">
        <v>0</v>
      </c>
      <c r="F96">
        <v>0</v>
      </c>
      <c r="G96">
        <v>1</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row>
    <row r="97" spans="3:63">
      <c r="C97" s="145" t="s">
        <v>28</v>
      </c>
      <c r="D97">
        <v>0</v>
      </c>
      <c r="E97">
        <v>0</v>
      </c>
      <c r="F97">
        <v>0</v>
      </c>
      <c r="G97">
        <v>0</v>
      </c>
      <c r="H97">
        <v>0</v>
      </c>
      <c r="I97">
        <v>0</v>
      </c>
      <c r="J97">
        <v>0</v>
      </c>
      <c r="K97">
        <v>0</v>
      </c>
      <c r="L97">
        <v>0</v>
      </c>
      <c r="M97">
        <v>0</v>
      </c>
      <c r="N97">
        <v>0</v>
      </c>
      <c r="O97">
        <v>0</v>
      </c>
      <c r="P97">
        <v>0</v>
      </c>
      <c r="Q97">
        <v>1</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row>
    <row r="98" spans="3:63">
      <c r="C98" s="145" t="s">
        <v>911</v>
      </c>
      <c r="D98">
        <v>1</v>
      </c>
      <c r="E98">
        <v>0</v>
      </c>
      <c r="F98">
        <v>1</v>
      </c>
      <c r="G98">
        <v>1</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row>
    <row r="99" spans="3:63">
      <c r="C99" s="145" t="s">
        <v>28</v>
      </c>
      <c r="D99">
        <v>0</v>
      </c>
      <c r="E99">
        <v>0</v>
      </c>
      <c r="F99">
        <v>0</v>
      </c>
      <c r="G99">
        <v>0</v>
      </c>
      <c r="H99">
        <v>0</v>
      </c>
      <c r="I99">
        <v>0</v>
      </c>
      <c r="J99">
        <v>0</v>
      </c>
      <c r="K99">
        <v>0</v>
      </c>
      <c r="L99">
        <v>0</v>
      </c>
      <c r="M99">
        <v>0</v>
      </c>
      <c r="N99">
        <v>0</v>
      </c>
      <c r="O99">
        <v>0</v>
      </c>
      <c r="P99">
        <v>0</v>
      </c>
      <c r="Q99">
        <v>1</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row>
    <row r="100" spans="3:63">
      <c r="C100" s="145" t="s">
        <v>26</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row>
    <row r="101" spans="3:63">
      <c r="C101" s="145" t="s">
        <v>32</v>
      </c>
      <c r="D101">
        <v>1</v>
      </c>
      <c r="E101">
        <v>0</v>
      </c>
      <c r="F101">
        <v>0</v>
      </c>
      <c r="G101">
        <v>0</v>
      </c>
      <c r="H101">
        <v>0</v>
      </c>
      <c r="I101">
        <v>0</v>
      </c>
      <c r="J101">
        <v>0</v>
      </c>
      <c r="K101">
        <v>0</v>
      </c>
      <c r="L101">
        <v>0</v>
      </c>
      <c r="M101">
        <v>0</v>
      </c>
      <c r="N101">
        <v>0</v>
      </c>
      <c r="O101">
        <v>0</v>
      </c>
      <c r="P101">
        <v>0</v>
      </c>
      <c r="Q101">
        <v>1</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row>
    <row r="102" spans="3:63">
      <c r="C102" s="145" t="s">
        <v>908</v>
      </c>
      <c r="D102">
        <v>1</v>
      </c>
      <c r="E102">
        <v>1</v>
      </c>
      <c r="F102">
        <v>0</v>
      </c>
      <c r="G102">
        <v>1</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row>
    <row r="103" spans="3:63">
      <c r="C103" s="145" t="s">
        <v>48</v>
      </c>
      <c r="D103">
        <v>0</v>
      </c>
      <c r="E103">
        <v>0</v>
      </c>
      <c r="F103">
        <v>1</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row>
    <row r="104" spans="3:63">
      <c r="C104" s="145" t="s">
        <v>912</v>
      </c>
      <c r="D104">
        <v>1</v>
      </c>
      <c r="E104">
        <v>0</v>
      </c>
      <c r="F104">
        <v>0</v>
      </c>
      <c r="G104">
        <v>0</v>
      </c>
      <c r="H104">
        <v>0</v>
      </c>
      <c r="I104">
        <v>1</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row>
    <row r="105" spans="3:63">
      <c r="C105" s="145" t="s">
        <v>27</v>
      </c>
      <c r="D105">
        <v>0</v>
      </c>
      <c r="E105">
        <v>0</v>
      </c>
      <c r="F105">
        <v>0</v>
      </c>
      <c r="G105">
        <v>0</v>
      </c>
      <c r="H105">
        <v>0</v>
      </c>
      <c r="I105">
        <v>0</v>
      </c>
      <c r="J105">
        <v>0</v>
      </c>
      <c r="K105">
        <v>0</v>
      </c>
      <c r="L105">
        <v>1</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row>
    <row r="106" spans="3:63">
      <c r="C106" s="145" t="s">
        <v>29</v>
      </c>
      <c r="D106">
        <v>1</v>
      </c>
      <c r="E106">
        <v>0</v>
      </c>
      <c r="F106">
        <v>0</v>
      </c>
      <c r="G106">
        <v>0</v>
      </c>
      <c r="H106">
        <v>0</v>
      </c>
      <c r="I106">
        <v>0</v>
      </c>
      <c r="J106">
        <v>0</v>
      </c>
      <c r="K106">
        <v>0</v>
      </c>
      <c r="L106">
        <v>1</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row>
    <row r="107" spans="3:63">
      <c r="C107" s="145" t="s">
        <v>26</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row>
    <row r="108" spans="3:63">
      <c r="C108" s="145" t="s">
        <v>913</v>
      </c>
      <c r="D108">
        <v>1</v>
      </c>
      <c r="E108">
        <v>0</v>
      </c>
      <c r="F108">
        <v>0</v>
      </c>
      <c r="G108">
        <v>0</v>
      </c>
      <c r="H108">
        <v>0</v>
      </c>
      <c r="I108">
        <v>0</v>
      </c>
      <c r="J108">
        <v>0</v>
      </c>
      <c r="K108">
        <v>0</v>
      </c>
      <c r="L108">
        <v>1</v>
      </c>
      <c r="M108">
        <v>0</v>
      </c>
      <c r="N108">
        <v>0</v>
      </c>
      <c r="O108">
        <v>0</v>
      </c>
      <c r="P108">
        <v>0</v>
      </c>
      <c r="Q108">
        <v>1</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row>
    <row r="109" spans="3:63">
      <c r="C109" s="145" t="s">
        <v>909</v>
      </c>
      <c r="D109">
        <v>0</v>
      </c>
      <c r="E109">
        <v>0</v>
      </c>
      <c r="F109">
        <v>0</v>
      </c>
      <c r="G109">
        <v>0</v>
      </c>
      <c r="H109">
        <v>0</v>
      </c>
      <c r="I109">
        <v>1</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row>
    <row r="110" spans="3:63">
      <c r="C110" s="145" t="s">
        <v>907</v>
      </c>
      <c r="D110">
        <v>1</v>
      </c>
      <c r="E110">
        <v>0</v>
      </c>
      <c r="F110">
        <v>0</v>
      </c>
      <c r="G110">
        <v>0</v>
      </c>
      <c r="H110">
        <v>0</v>
      </c>
      <c r="I110">
        <v>0</v>
      </c>
      <c r="J110">
        <v>0</v>
      </c>
      <c r="K110">
        <v>0</v>
      </c>
      <c r="L110">
        <v>0</v>
      </c>
      <c r="M110">
        <v>0</v>
      </c>
      <c r="N110">
        <v>0</v>
      </c>
      <c r="O110">
        <v>1</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row>
    <row r="111" spans="3:63">
      <c r="C111" s="145" t="s">
        <v>26</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row>
    <row r="112" spans="3:63">
      <c r="C112" s="145" t="s">
        <v>26</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row>
    <row r="113" spans="3:63">
      <c r="C113" s="145" t="s">
        <v>47</v>
      </c>
      <c r="D113">
        <v>0</v>
      </c>
      <c r="E113">
        <v>1</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row>
    <row r="114" spans="3:63">
      <c r="C114" s="145" t="s">
        <v>26</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row>
    <row r="115" spans="3:63">
      <c r="C115" s="145" t="s">
        <v>914</v>
      </c>
      <c r="D115">
        <v>0</v>
      </c>
      <c r="E115">
        <v>0</v>
      </c>
      <c r="F115">
        <v>0</v>
      </c>
      <c r="G115">
        <v>0</v>
      </c>
      <c r="H115">
        <v>1</v>
      </c>
      <c r="I115">
        <v>0</v>
      </c>
      <c r="J115">
        <v>0</v>
      </c>
      <c r="K115">
        <v>0</v>
      </c>
      <c r="L115">
        <v>1</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row>
    <row r="116" spans="3:63">
      <c r="C116" s="145" t="s">
        <v>26</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row>
    <row r="117" spans="3:63">
      <c r="C117" s="145" t="s">
        <v>47</v>
      </c>
      <c r="D117">
        <v>0</v>
      </c>
      <c r="E117">
        <v>1</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row>
    <row r="118" spans="3:63">
      <c r="C118" s="145" t="s">
        <v>48</v>
      </c>
      <c r="D118">
        <v>0</v>
      </c>
      <c r="E118">
        <v>0</v>
      </c>
      <c r="F118">
        <v>1</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row>
    <row r="119" spans="3:63">
      <c r="C119" s="145" t="s">
        <v>909</v>
      </c>
      <c r="D119">
        <v>0</v>
      </c>
      <c r="E119">
        <v>0</v>
      </c>
      <c r="F119">
        <v>0</v>
      </c>
      <c r="G119">
        <v>0</v>
      </c>
      <c r="H119">
        <v>0</v>
      </c>
      <c r="I119">
        <v>1</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row>
    <row r="120" spans="3:63">
      <c r="C120" s="145" t="s">
        <v>26</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row>
    <row r="121" spans="3:63">
      <c r="C121" s="145" t="s">
        <v>51</v>
      </c>
      <c r="D121">
        <v>0</v>
      </c>
      <c r="E121">
        <v>0</v>
      </c>
      <c r="F121">
        <v>0</v>
      </c>
      <c r="G121">
        <v>0</v>
      </c>
      <c r="H121">
        <v>0</v>
      </c>
      <c r="I121">
        <v>0</v>
      </c>
      <c r="J121">
        <v>0</v>
      </c>
      <c r="K121">
        <v>1</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row>
    <row r="122" spans="3:63">
      <c r="C122" s="145" t="s">
        <v>897</v>
      </c>
      <c r="D122">
        <v>1</v>
      </c>
      <c r="E122">
        <v>1</v>
      </c>
      <c r="F122">
        <v>0</v>
      </c>
      <c r="G122">
        <v>0</v>
      </c>
      <c r="H122">
        <v>0</v>
      </c>
      <c r="I122">
        <v>1</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row>
    <row r="123" spans="3:63">
      <c r="C123" s="145" t="s">
        <v>26</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row>
    <row r="124" spans="3:63">
      <c r="C124" s="145" t="s">
        <v>30</v>
      </c>
      <c r="D124">
        <v>1</v>
      </c>
      <c r="E124">
        <v>1</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row>
    <row r="125" spans="3:63">
      <c r="C125" s="145" t="s">
        <v>900</v>
      </c>
      <c r="D125">
        <v>1</v>
      </c>
      <c r="E125">
        <v>1</v>
      </c>
      <c r="F125">
        <v>1</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row>
    <row r="126" spans="3:63">
      <c r="C126" s="145" t="s">
        <v>915</v>
      </c>
      <c r="D126">
        <v>1</v>
      </c>
      <c r="E126">
        <v>0</v>
      </c>
      <c r="F126">
        <v>0</v>
      </c>
      <c r="G126">
        <v>0</v>
      </c>
      <c r="H126">
        <v>0</v>
      </c>
      <c r="I126">
        <v>1</v>
      </c>
      <c r="J126">
        <v>0</v>
      </c>
      <c r="K126">
        <v>0</v>
      </c>
      <c r="L126">
        <v>0</v>
      </c>
      <c r="M126">
        <v>0</v>
      </c>
      <c r="N126">
        <v>0</v>
      </c>
      <c r="O126">
        <v>0</v>
      </c>
      <c r="P126">
        <v>0</v>
      </c>
      <c r="Q126">
        <v>1</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row>
    <row r="127" spans="3:63">
      <c r="C127" s="145" t="s">
        <v>26</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row>
    <row r="128" spans="3:63">
      <c r="C128" s="145" t="s">
        <v>33</v>
      </c>
      <c r="D128">
        <v>1</v>
      </c>
      <c r="E128">
        <v>1</v>
      </c>
      <c r="F128">
        <v>0</v>
      </c>
      <c r="G128">
        <v>0</v>
      </c>
      <c r="H128">
        <v>0</v>
      </c>
      <c r="I128">
        <v>0</v>
      </c>
      <c r="J128">
        <v>0</v>
      </c>
      <c r="K128">
        <v>0</v>
      </c>
      <c r="L128">
        <v>1</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row>
    <row r="129" spans="3:63">
      <c r="C129" s="145" t="s">
        <v>26</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row>
    <row r="130" spans="3:63">
      <c r="C130" s="145" t="s">
        <v>26</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row>
    <row r="131" spans="3:63">
      <c r="C131" s="145" t="s">
        <v>26</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row>
    <row r="132" spans="3:63">
      <c r="C132" s="145" t="s">
        <v>48</v>
      </c>
      <c r="D132">
        <v>0</v>
      </c>
      <c r="E132">
        <v>0</v>
      </c>
      <c r="F132">
        <v>1</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row>
    <row r="133" spans="3:63">
      <c r="C133" s="145" t="s">
        <v>48</v>
      </c>
      <c r="D133">
        <v>0</v>
      </c>
      <c r="E133">
        <v>0</v>
      </c>
      <c r="F133">
        <v>1</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row>
    <row r="134" spans="3:63">
      <c r="C134" s="145" t="s">
        <v>32</v>
      </c>
      <c r="D134">
        <v>1</v>
      </c>
      <c r="E134">
        <v>0</v>
      </c>
      <c r="F134">
        <v>0</v>
      </c>
      <c r="G134">
        <v>0</v>
      </c>
      <c r="H134">
        <v>0</v>
      </c>
      <c r="I134">
        <v>0</v>
      </c>
      <c r="J134">
        <v>0</v>
      </c>
      <c r="K134">
        <v>0</v>
      </c>
      <c r="L134">
        <v>0</v>
      </c>
      <c r="M134">
        <v>0</v>
      </c>
      <c r="N134">
        <v>0</v>
      </c>
      <c r="O134">
        <v>0</v>
      </c>
      <c r="P134">
        <v>0</v>
      </c>
      <c r="Q134">
        <v>1</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row>
    <row r="135" spans="3:63">
      <c r="C135" s="145" t="s">
        <v>26</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row>
    <row r="136" spans="3:63">
      <c r="C136" s="145" t="s">
        <v>908</v>
      </c>
      <c r="D136">
        <v>1</v>
      </c>
      <c r="E136">
        <v>1</v>
      </c>
      <c r="F136">
        <v>0</v>
      </c>
      <c r="G136">
        <v>1</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row>
    <row r="137" spans="3:63">
      <c r="C137" s="145" t="s">
        <v>28</v>
      </c>
      <c r="D137">
        <v>0</v>
      </c>
      <c r="E137">
        <v>0</v>
      </c>
      <c r="F137">
        <v>0</v>
      </c>
      <c r="G137">
        <v>0</v>
      </c>
      <c r="H137">
        <v>0</v>
      </c>
      <c r="I137">
        <v>0</v>
      </c>
      <c r="J137">
        <v>0</v>
      </c>
      <c r="K137">
        <v>0</v>
      </c>
      <c r="L137">
        <v>0</v>
      </c>
      <c r="M137">
        <v>0</v>
      </c>
      <c r="N137">
        <v>0</v>
      </c>
      <c r="O137">
        <v>0</v>
      </c>
      <c r="P137">
        <v>0</v>
      </c>
      <c r="Q137">
        <v>1</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row>
    <row r="138" spans="3:63">
      <c r="C138" s="145" t="s">
        <v>38</v>
      </c>
      <c r="D138">
        <v>0</v>
      </c>
      <c r="E138">
        <v>0</v>
      </c>
      <c r="F138">
        <v>0</v>
      </c>
      <c r="G138">
        <v>0</v>
      </c>
      <c r="H138">
        <v>0</v>
      </c>
      <c r="I138">
        <v>0</v>
      </c>
      <c r="J138">
        <v>0</v>
      </c>
      <c r="K138">
        <v>0</v>
      </c>
      <c r="L138">
        <v>0</v>
      </c>
      <c r="M138">
        <v>0</v>
      </c>
      <c r="N138">
        <v>1</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row>
    <row r="139" spans="3:63">
      <c r="C139" s="145" t="s">
        <v>26</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row>
    <row r="140" spans="3:63">
      <c r="C140" s="145" t="s">
        <v>895</v>
      </c>
      <c r="D140">
        <v>1</v>
      </c>
      <c r="E140">
        <v>0</v>
      </c>
      <c r="F140">
        <v>0</v>
      </c>
      <c r="G140">
        <v>0</v>
      </c>
      <c r="H140">
        <v>1</v>
      </c>
      <c r="I140">
        <v>0</v>
      </c>
      <c r="J140">
        <v>0</v>
      </c>
      <c r="K140">
        <v>0</v>
      </c>
      <c r="L140">
        <v>0</v>
      </c>
      <c r="M140">
        <v>0</v>
      </c>
      <c r="N140">
        <v>0</v>
      </c>
      <c r="O140">
        <v>0</v>
      </c>
      <c r="P140">
        <v>0</v>
      </c>
      <c r="Q140">
        <v>1</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row>
    <row r="141" spans="3:63">
      <c r="C141" s="145" t="s">
        <v>26</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row>
    <row r="142" spans="3:63">
      <c r="C142" s="145" t="s">
        <v>908</v>
      </c>
      <c r="D142">
        <v>1</v>
      </c>
      <c r="E142">
        <v>1</v>
      </c>
      <c r="F142">
        <v>0</v>
      </c>
      <c r="G142">
        <v>1</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row>
    <row r="143" spans="3:63">
      <c r="C143" s="145" t="s">
        <v>26</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row>
    <row r="144" spans="3:63">
      <c r="C144" s="145" t="s">
        <v>26</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row>
    <row r="145" spans="3:63">
      <c r="C145" s="145" t="s">
        <v>26</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row>
    <row r="146" spans="3:63">
      <c r="C146" s="145" t="s">
        <v>30</v>
      </c>
      <c r="D146">
        <v>1</v>
      </c>
      <c r="E146">
        <v>1</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row>
    <row r="147" spans="3:63">
      <c r="C147" s="145" t="s">
        <v>916</v>
      </c>
      <c r="D147">
        <v>1</v>
      </c>
      <c r="E147">
        <v>0</v>
      </c>
      <c r="F147">
        <v>0</v>
      </c>
      <c r="G147">
        <v>0</v>
      </c>
      <c r="H147">
        <v>1</v>
      </c>
      <c r="I147">
        <v>1</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row>
    <row r="148" spans="3:63">
      <c r="C148" s="145" t="s">
        <v>908</v>
      </c>
      <c r="D148">
        <v>1</v>
      </c>
      <c r="E148">
        <v>1</v>
      </c>
      <c r="F148">
        <v>0</v>
      </c>
      <c r="G148">
        <v>1</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row>
    <row r="149" spans="3:63">
      <c r="C149" s="145" t="s">
        <v>915</v>
      </c>
      <c r="D149">
        <v>1</v>
      </c>
      <c r="E149">
        <v>0</v>
      </c>
      <c r="F149">
        <v>0</v>
      </c>
      <c r="G149">
        <v>0</v>
      </c>
      <c r="H149">
        <v>0</v>
      </c>
      <c r="I149">
        <v>1</v>
      </c>
      <c r="J149">
        <v>0</v>
      </c>
      <c r="K149">
        <v>0</v>
      </c>
      <c r="L149">
        <v>0</v>
      </c>
      <c r="M149">
        <v>0</v>
      </c>
      <c r="N149">
        <v>0</v>
      </c>
      <c r="O149">
        <v>0</v>
      </c>
      <c r="P149">
        <v>0</v>
      </c>
      <c r="Q149">
        <v>1</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row>
    <row r="150" spans="3:63">
      <c r="C150" s="145" t="s">
        <v>26</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row>
    <row r="151" spans="3:63">
      <c r="C151" s="145" t="s">
        <v>32</v>
      </c>
      <c r="D151">
        <v>1</v>
      </c>
      <c r="E151">
        <v>0</v>
      </c>
      <c r="F151">
        <v>0</v>
      </c>
      <c r="G151">
        <v>0</v>
      </c>
      <c r="H151">
        <v>0</v>
      </c>
      <c r="I151">
        <v>0</v>
      </c>
      <c r="J151">
        <v>0</v>
      </c>
      <c r="K151">
        <v>0</v>
      </c>
      <c r="L151">
        <v>0</v>
      </c>
      <c r="M151">
        <v>0</v>
      </c>
      <c r="N151">
        <v>0</v>
      </c>
      <c r="O151">
        <v>0</v>
      </c>
      <c r="P151">
        <v>0</v>
      </c>
      <c r="Q151">
        <v>1</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row>
    <row r="152" spans="3:63">
      <c r="C152" s="145" t="s">
        <v>917</v>
      </c>
      <c r="D152">
        <v>0</v>
      </c>
      <c r="E152">
        <v>0</v>
      </c>
      <c r="F152">
        <v>0</v>
      </c>
      <c r="G152">
        <v>0</v>
      </c>
      <c r="H152">
        <v>1</v>
      </c>
      <c r="I152">
        <v>0</v>
      </c>
      <c r="J152">
        <v>0</v>
      </c>
      <c r="K152">
        <v>0</v>
      </c>
      <c r="L152">
        <v>0</v>
      </c>
      <c r="M152">
        <v>0</v>
      </c>
      <c r="N152">
        <v>0</v>
      </c>
      <c r="O152">
        <v>1</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row>
    <row r="153" spans="3:63">
      <c r="C153" s="145" t="s">
        <v>27</v>
      </c>
      <c r="D153">
        <v>0</v>
      </c>
      <c r="E153">
        <v>0</v>
      </c>
      <c r="F153">
        <v>0</v>
      </c>
      <c r="G153">
        <v>0</v>
      </c>
      <c r="H153">
        <v>0</v>
      </c>
      <c r="I153">
        <v>0</v>
      </c>
      <c r="J153">
        <v>0</v>
      </c>
      <c r="K153">
        <v>0</v>
      </c>
      <c r="L153">
        <v>1</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row>
    <row r="154" spans="3:63">
      <c r="C154" s="145" t="s">
        <v>918</v>
      </c>
      <c r="D154">
        <v>0</v>
      </c>
      <c r="E154">
        <v>0</v>
      </c>
      <c r="F154">
        <v>0</v>
      </c>
      <c r="G154">
        <v>0</v>
      </c>
      <c r="H154">
        <v>0</v>
      </c>
      <c r="I154">
        <v>0</v>
      </c>
      <c r="J154">
        <v>0</v>
      </c>
      <c r="K154">
        <v>0</v>
      </c>
      <c r="L154">
        <v>1</v>
      </c>
      <c r="M154">
        <v>1</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row>
    <row r="155" spans="3:63">
      <c r="C155" s="145" t="s">
        <v>47</v>
      </c>
      <c r="D155">
        <v>0</v>
      </c>
      <c r="E155">
        <v>1</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row>
    <row r="156" spans="3:63">
      <c r="C156" s="145" t="s">
        <v>26</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row>
    <row r="157" spans="3:63">
      <c r="C157" s="145" t="s">
        <v>910</v>
      </c>
      <c r="D157">
        <v>1</v>
      </c>
      <c r="E157">
        <v>0</v>
      </c>
      <c r="F157">
        <v>1</v>
      </c>
      <c r="G157">
        <v>0</v>
      </c>
      <c r="H157">
        <v>0</v>
      </c>
      <c r="I157">
        <v>1</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row>
    <row r="158" spans="3:63">
      <c r="C158" s="145" t="s">
        <v>26</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row>
    <row r="159" spans="3:63">
      <c r="C159" s="145" t="s">
        <v>26</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row>
    <row r="160" spans="3:63">
      <c r="C160" s="145" t="s">
        <v>919</v>
      </c>
      <c r="D160">
        <v>1</v>
      </c>
      <c r="E160">
        <v>0</v>
      </c>
      <c r="F160">
        <v>1</v>
      </c>
      <c r="G160">
        <v>0</v>
      </c>
      <c r="H160">
        <v>0</v>
      </c>
      <c r="I160">
        <v>0</v>
      </c>
      <c r="J160">
        <v>0</v>
      </c>
      <c r="K160">
        <v>0</v>
      </c>
      <c r="L160">
        <v>0</v>
      </c>
      <c r="M160">
        <v>0</v>
      </c>
      <c r="N160">
        <v>0</v>
      </c>
      <c r="O160">
        <v>0</v>
      </c>
      <c r="P160">
        <v>0</v>
      </c>
      <c r="Q160">
        <v>1</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row>
    <row r="161" spans="3:63">
      <c r="C161" s="145" t="s">
        <v>32</v>
      </c>
      <c r="D161">
        <v>1</v>
      </c>
      <c r="E161">
        <v>0</v>
      </c>
      <c r="F161">
        <v>0</v>
      </c>
      <c r="G161">
        <v>0</v>
      </c>
      <c r="H161">
        <v>0</v>
      </c>
      <c r="I161">
        <v>0</v>
      </c>
      <c r="J161">
        <v>0</v>
      </c>
      <c r="K161">
        <v>0</v>
      </c>
      <c r="L161">
        <v>0</v>
      </c>
      <c r="M161">
        <v>0</v>
      </c>
      <c r="N161">
        <v>0</v>
      </c>
      <c r="O161">
        <v>0</v>
      </c>
      <c r="P161">
        <v>0</v>
      </c>
      <c r="Q161">
        <v>1</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row>
    <row r="162" spans="3:63">
      <c r="C162" s="145" t="s">
        <v>26</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row>
    <row r="163" spans="3:63">
      <c r="C163" s="145" t="s">
        <v>52</v>
      </c>
      <c r="D163">
        <v>0</v>
      </c>
      <c r="E163">
        <v>0</v>
      </c>
      <c r="F163">
        <v>0</v>
      </c>
      <c r="G163">
        <v>0</v>
      </c>
      <c r="H163">
        <v>0</v>
      </c>
      <c r="I163">
        <v>0</v>
      </c>
      <c r="J163">
        <v>0</v>
      </c>
      <c r="K163">
        <v>0</v>
      </c>
      <c r="L163">
        <v>0</v>
      </c>
      <c r="M163">
        <v>0</v>
      </c>
      <c r="N163">
        <v>0</v>
      </c>
      <c r="O163">
        <v>1</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row>
    <row r="164" spans="3:63">
      <c r="C164" s="145" t="s">
        <v>26</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row>
    <row r="165" spans="3:63">
      <c r="C165" s="145" t="s">
        <v>920</v>
      </c>
      <c r="D165">
        <v>0</v>
      </c>
      <c r="E165">
        <v>1</v>
      </c>
      <c r="F165">
        <v>0</v>
      </c>
      <c r="G165">
        <v>0</v>
      </c>
      <c r="H165">
        <v>1</v>
      </c>
      <c r="I165">
        <v>0</v>
      </c>
      <c r="J165">
        <v>1</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row>
    <row r="166" spans="3:63">
      <c r="C166" s="145" t="s">
        <v>915</v>
      </c>
      <c r="D166">
        <v>1</v>
      </c>
      <c r="E166">
        <v>0</v>
      </c>
      <c r="F166">
        <v>0</v>
      </c>
      <c r="G166">
        <v>0</v>
      </c>
      <c r="H166">
        <v>0</v>
      </c>
      <c r="I166">
        <v>1</v>
      </c>
      <c r="J166">
        <v>0</v>
      </c>
      <c r="K166">
        <v>0</v>
      </c>
      <c r="L166">
        <v>0</v>
      </c>
      <c r="M166">
        <v>0</v>
      </c>
      <c r="N166">
        <v>0</v>
      </c>
      <c r="O166">
        <v>0</v>
      </c>
      <c r="P166">
        <v>0</v>
      </c>
      <c r="Q166">
        <v>1</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row>
    <row r="167" spans="3:63">
      <c r="C167" s="145" t="s">
        <v>912</v>
      </c>
      <c r="D167">
        <v>1</v>
      </c>
      <c r="E167">
        <v>0</v>
      </c>
      <c r="F167">
        <v>0</v>
      </c>
      <c r="G167">
        <v>0</v>
      </c>
      <c r="H167">
        <v>0</v>
      </c>
      <c r="I167">
        <v>1</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row>
    <row r="168" spans="3:63">
      <c r="C168" s="145" t="s">
        <v>26</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row>
    <row r="169" spans="3:63">
      <c r="C169" s="145" t="s">
        <v>26</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row>
    <row r="170" spans="3:63">
      <c r="C170" s="145" t="s">
        <v>903</v>
      </c>
      <c r="D170">
        <v>1</v>
      </c>
      <c r="E170">
        <v>1</v>
      </c>
      <c r="F170">
        <v>0</v>
      </c>
      <c r="G170">
        <v>0</v>
      </c>
      <c r="H170">
        <v>1</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row>
    <row r="171" spans="3:63">
      <c r="C171" s="145" t="s">
        <v>912</v>
      </c>
      <c r="D171">
        <v>1</v>
      </c>
      <c r="E171">
        <v>0</v>
      </c>
      <c r="F171">
        <v>0</v>
      </c>
      <c r="G171">
        <v>0</v>
      </c>
      <c r="H171">
        <v>0</v>
      </c>
      <c r="I171">
        <v>1</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row>
    <row r="172" spans="3:63">
      <c r="C172" s="145" t="s">
        <v>43</v>
      </c>
      <c r="D172">
        <v>1</v>
      </c>
      <c r="E172">
        <v>0</v>
      </c>
      <c r="F172">
        <v>1</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row>
    <row r="173" spans="3:63">
      <c r="C173" s="145" t="s">
        <v>26</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row>
    <row r="174" spans="3:63">
      <c r="C174" s="145" t="s">
        <v>26</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row>
    <row r="175" spans="3:63">
      <c r="C175" s="145" t="s">
        <v>47</v>
      </c>
      <c r="D175">
        <v>0</v>
      </c>
      <c r="E175">
        <v>1</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row>
    <row r="176" spans="3:63">
      <c r="C176" s="145" t="s">
        <v>916</v>
      </c>
      <c r="D176">
        <v>1</v>
      </c>
      <c r="E176">
        <v>0</v>
      </c>
      <c r="F176">
        <v>0</v>
      </c>
      <c r="G176">
        <v>0</v>
      </c>
      <c r="H176">
        <v>1</v>
      </c>
      <c r="I176">
        <v>1</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row>
    <row r="177" spans="3:63">
      <c r="C177" s="145" t="s">
        <v>921</v>
      </c>
      <c r="D177">
        <v>0</v>
      </c>
      <c r="E177">
        <v>1</v>
      </c>
      <c r="F177">
        <v>0</v>
      </c>
      <c r="G177">
        <v>0</v>
      </c>
      <c r="H177">
        <v>1</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row>
    <row r="178" spans="3:63">
      <c r="C178" s="145" t="s">
        <v>51</v>
      </c>
      <c r="D178">
        <v>0</v>
      </c>
      <c r="E178">
        <v>0</v>
      </c>
      <c r="F178">
        <v>0</v>
      </c>
      <c r="G178">
        <v>0</v>
      </c>
      <c r="H178">
        <v>0</v>
      </c>
      <c r="I178">
        <v>0</v>
      </c>
      <c r="J178">
        <v>0</v>
      </c>
      <c r="K178">
        <v>1</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row>
    <row r="179" spans="3:63">
      <c r="C179" s="145" t="s">
        <v>922</v>
      </c>
      <c r="D179">
        <v>1</v>
      </c>
      <c r="E179">
        <v>1</v>
      </c>
      <c r="F179">
        <v>0</v>
      </c>
      <c r="G179">
        <v>0</v>
      </c>
      <c r="H179">
        <v>0</v>
      </c>
      <c r="I179">
        <v>0</v>
      </c>
      <c r="J179">
        <v>0</v>
      </c>
      <c r="K179">
        <v>0</v>
      </c>
      <c r="L179">
        <v>0</v>
      </c>
      <c r="M179">
        <v>0</v>
      </c>
      <c r="N179">
        <v>0</v>
      </c>
      <c r="O179">
        <v>0</v>
      </c>
      <c r="P179">
        <v>0</v>
      </c>
      <c r="Q179">
        <v>1</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row>
    <row r="180" spans="3:63">
      <c r="C180" s="145" t="s">
        <v>895</v>
      </c>
      <c r="D180">
        <v>1</v>
      </c>
      <c r="E180">
        <v>0</v>
      </c>
      <c r="F180">
        <v>0</v>
      </c>
      <c r="G180">
        <v>0</v>
      </c>
      <c r="H180">
        <v>1</v>
      </c>
      <c r="I180">
        <v>0</v>
      </c>
      <c r="J180">
        <v>0</v>
      </c>
      <c r="K180">
        <v>0</v>
      </c>
      <c r="L180">
        <v>0</v>
      </c>
      <c r="M180">
        <v>0</v>
      </c>
      <c r="N180">
        <v>0</v>
      </c>
      <c r="O180">
        <v>0</v>
      </c>
      <c r="P180">
        <v>0</v>
      </c>
      <c r="Q180">
        <v>1</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row>
    <row r="181" spans="3:63">
      <c r="C181" s="145" t="s">
        <v>26</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row>
    <row r="182" spans="3:63">
      <c r="C182" s="145" t="s">
        <v>923</v>
      </c>
      <c r="D182">
        <v>1</v>
      </c>
      <c r="E182">
        <v>0</v>
      </c>
      <c r="F182">
        <v>0</v>
      </c>
      <c r="G182">
        <v>0</v>
      </c>
      <c r="H182">
        <v>1</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row>
    <row r="183" spans="3:63">
      <c r="C183" s="145" t="s">
        <v>914</v>
      </c>
      <c r="D183">
        <v>0</v>
      </c>
      <c r="E183">
        <v>0</v>
      </c>
      <c r="F183">
        <v>0</v>
      </c>
      <c r="G183">
        <v>0</v>
      </c>
      <c r="H183">
        <v>1</v>
      </c>
      <c r="I183">
        <v>0</v>
      </c>
      <c r="J183">
        <v>0</v>
      </c>
      <c r="K183">
        <v>0</v>
      </c>
      <c r="L183">
        <v>1</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row>
    <row r="184" spans="3:63">
      <c r="C184" s="145" t="s">
        <v>26</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row>
    <row r="185" spans="3:63">
      <c r="C185" s="145" t="s">
        <v>909</v>
      </c>
      <c r="D185">
        <v>0</v>
      </c>
      <c r="E185">
        <v>0</v>
      </c>
      <c r="F185">
        <v>0</v>
      </c>
      <c r="G185">
        <v>0</v>
      </c>
      <c r="H185">
        <v>0</v>
      </c>
      <c r="I185">
        <v>1</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row>
    <row r="186" spans="3:63">
      <c r="C186" s="145" t="s">
        <v>38</v>
      </c>
      <c r="D186">
        <v>0</v>
      </c>
      <c r="E186">
        <v>0</v>
      </c>
      <c r="F186">
        <v>0</v>
      </c>
      <c r="G186">
        <v>0</v>
      </c>
      <c r="H186">
        <v>0</v>
      </c>
      <c r="I186">
        <v>0</v>
      </c>
      <c r="J186">
        <v>0</v>
      </c>
      <c r="K186">
        <v>0</v>
      </c>
      <c r="L186">
        <v>0</v>
      </c>
      <c r="M186">
        <v>0</v>
      </c>
      <c r="N186">
        <v>1</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row>
    <row r="187" spans="3:63">
      <c r="C187" s="145" t="s">
        <v>923</v>
      </c>
      <c r="D187">
        <v>1</v>
      </c>
      <c r="E187">
        <v>0</v>
      </c>
      <c r="F187">
        <v>0</v>
      </c>
      <c r="G187">
        <v>0</v>
      </c>
      <c r="H187">
        <v>1</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row>
    <row r="188" spans="3:63">
      <c r="C188" s="145" t="s">
        <v>26</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row>
    <row r="189" spans="3:63">
      <c r="C189" s="145" t="s">
        <v>26</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row>
    <row r="190" spans="3:63">
      <c r="C190" s="145" t="s">
        <v>29</v>
      </c>
      <c r="D190">
        <v>1</v>
      </c>
      <c r="E190">
        <v>0</v>
      </c>
      <c r="F190">
        <v>0</v>
      </c>
      <c r="G190">
        <v>0</v>
      </c>
      <c r="H190">
        <v>0</v>
      </c>
      <c r="I190">
        <v>0</v>
      </c>
      <c r="J190">
        <v>0</v>
      </c>
      <c r="K190">
        <v>0</v>
      </c>
      <c r="L190">
        <v>1</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row>
    <row r="191" spans="3:63">
      <c r="C191" s="145" t="s">
        <v>51</v>
      </c>
      <c r="D191">
        <v>0</v>
      </c>
      <c r="E191">
        <v>0</v>
      </c>
      <c r="F191">
        <v>0</v>
      </c>
      <c r="G191">
        <v>0</v>
      </c>
      <c r="H191">
        <v>0</v>
      </c>
      <c r="I191">
        <v>0</v>
      </c>
      <c r="J191">
        <v>0</v>
      </c>
      <c r="K191">
        <v>1</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row>
    <row r="192" spans="3:63">
      <c r="C192" s="145" t="s">
        <v>40</v>
      </c>
      <c r="D192">
        <v>1</v>
      </c>
      <c r="E192">
        <v>1</v>
      </c>
      <c r="F192">
        <v>0</v>
      </c>
      <c r="G192">
        <v>0</v>
      </c>
      <c r="H192">
        <v>0</v>
      </c>
      <c r="I192">
        <v>0</v>
      </c>
      <c r="J192">
        <v>0</v>
      </c>
      <c r="K192">
        <v>0</v>
      </c>
      <c r="L192">
        <v>0</v>
      </c>
      <c r="M192">
        <v>0</v>
      </c>
      <c r="N192">
        <v>0</v>
      </c>
      <c r="O192">
        <v>1</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row>
    <row r="193" spans="3:63">
      <c r="C193" s="145" t="s">
        <v>26</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row>
    <row r="194" spans="3:63">
      <c r="C194" s="145" t="s">
        <v>38</v>
      </c>
      <c r="D194">
        <v>0</v>
      </c>
      <c r="E194">
        <v>0</v>
      </c>
      <c r="F194">
        <v>0</v>
      </c>
      <c r="G194">
        <v>0</v>
      </c>
      <c r="H194">
        <v>0</v>
      </c>
      <c r="I194">
        <v>0</v>
      </c>
      <c r="J194">
        <v>0</v>
      </c>
      <c r="K194">
        <v>0</v>
      </c>
      <c r="L194">
        <v>0</v>
      </c>
      <c r="M194">
        <v>0</v>
      </c>
      <c r="N194">
        <v>1</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row>
    <row r="195" spans="3:63">
      <c r="C195" s="145" t="s">
        <v>924</v>
      </c>
      <c r="D195">
        <v>0</v>
      </c>
      <c r="E195">
        <v>0</v>
      </c>
      <c r="F195">
        <v>0</v>
      </c>
      <c r="G195">
        <v>0</v>
      </c>
      <c r="H195">
        <v>0</v>
      </c>
      <c r="I195">
        <v>0</v>
      </c>
      <c r="J195">
        <v>0</v>
      </c>
      <c r="K195">
        <v>0</v>
      </c>
      <c r="L195">
        <v>1</v>
      </c>
      <c r="M195">
        <v>0</v>
      </c>
      <c r="N195">
        <v>1</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row>
    <row r="196" spans="3:63">
      <c r="C196" s="145" t="s">
        <v>32</v>
      </c>
      <c r="D196">
        <v>1</v>
      </c>
      <c r="E196">
        <v>0</v>
      </c>
      <c r="F196">
        <v>0</v>
      </c>
      <c r="G196">
        <v>0</v>
      </c>
      <c r="H196">
        <v>0</v>
      </c>
      <c r="I196">
        <v>0</v>
      </c>
      <c r="J196">
        <v>0</v>
      </c>
      <c r="K196">
        <v>0</v>
      </c>
      <c r="L196">
        <v>0</v>
      </c>
      <c r="M196">
        <v>0</v>
      </c>
      <c r="N196">
        <v>0</v>
      </c>
      <c r="O196">
        <v>0</v>
      </c>
      <c r="P196">
        <v>0</v>
      </c>
      <c r="Q196">
        <v>1</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row>
    <row r="197" spans="3:63">
      <c r="C197" s="145" t="s">
        <v>925</v>
      </c>
      <c r="D197">
        <v>0</v>
      </c>
      <c r="E197">
        <v>1</v>
      </c>
      <c r="F197">
        <v>0</v>
      </c>
      <c r="G197">
        <v>0</v>
      </c>
      <c r="H197">
        <v>0</v>
      </c>
      <c r="I197">
        <v>1</v>
      </c>
      <c r="J197">
        <v>0</v>
      </c>
      <c r="K197">
        <v>0</v>
      </c>
      <c r="L197">
        <v>0</v>
      </c>
      <c r="M197">
        <v>0</v>
      </c>
      <c r="N197">
        <v>1</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row>
    <row r="198" spans="3:63">
      <c r="C198" s="145" t="s">
        <v>915</v>
      </c>
      <c r="D198">
        <v>1</v>
      </c>
      <c r="E198">
        <v>0</v>
      </c>
      <c r="F198">
        <v>0</v>
      </c>
      <c r="G198">
        <v>0</v>
      </c>
      <c r="H198">
        <v>0</v>
      </c>
      <c r="I198">
        <v>1</v>
      </c>
      <c r="J198">
        <v>0</v>
      </c>
      <c r="K198">
        <v>0</v>
      </c>
      <c r="L198">
        <v>0</v>
      </c>
      <c r="M198">
        <v>0</v>
      </c>
      <c r="N198">
        <v>0</v>
      </c>
      <c r="O198">
        <v>0</v>
      </c>
      <c r="P198">
        <v>0</v>
      </c>
      <c r="Q198">
        <v>1</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row>
    <row r="199" spans="3:63">
      <c r="C199" s="145" t="s">
        <v>43</v>
      </c>
      <c r="D199">
        <v>1</v>
      </c>
      <c r="E199">
        <v>0</v>
      </c>
      <c r="F199">
        <v>1</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row>
    <row r="200" spans="3:63">
      <c r="C200" s="145" t="s">
        <v>27</v>
      </c>
      <c r="D200">
        <v>0</v>
      </c>
      <c r="E200">
        <v>0</v>
      </c>
      <c r="F200">
        <v>0</v>
      </c>
      <c r="G200">
        <v>0</v>
      </c>
      <c r="H200">
        <v>0</v>
      </c>
      <c r="I200">
        <v>0</v>
      </c>
      <c r="J200">
        <v>0</v>
      </c>
      <c r="K200">
        <v>0</v>
      </c>
      <c r="L200">
        <v>1</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row>
    <row r="201" spans="3:63">
      <c r="C201" s="145" t="s">
        <v>37</v>
      </c>
      <c r="D201">
        <v>1</v>
      </c>
      <c r="E201">
        <v>0</v>
      </c>
      <c r="F201">
        <v>0</v>
      </c>
      <c r="G201">
        <v>0</v>
      </c>
      <c r="H201">
        <v>0</v>
      </c>
      <c r="I201">
        <v>0</v>
      </c>
      <c r="J201">
        <v>0</v>
      </c>
      <c r="K201">
        <v>0</v>
      </c>
      <c r="L201">
        <v>0</v>
      </c>
      <c r="M201">
        <v>1</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row>
    <row r="202" spans="3:63">
      <c r="C202" s="145" t="s">
        <v>38</v>
      </c>
      <c r="D202">
        <v>0</v>
      </c>
      <c r="E202">
        <v>0</v>
      </c>
      <c r="F202">
        <v>0</v>
      </c>
      <c r="G202">
        <v>0</v>
      </c>
      <c r="H202">
        <v>0</v>
      </c>
      <c r="I202">
        <v>0</v>
      </c>
      <c r="J202">
        <v>0</v>
      </c>
      <c r="K202">
        <v>0</v>
      </c>
      <c r="L202">
        <v>0</v>
      </c>
      <c r="M202">
        <v>0</v>
      </c>
      <c r="N202">
        <v>1</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row>
    <row r="203" spans="3:63">
      <c r="C203" s="145" t="s">
        <v>926</v>
      </c>
      <c r="D203">
        <v>1</v>
      </c>
      <c r="E203">
        <v>0</v>
      </c>
      <c r="F203">
        <v>0</v>
      </c>
      <c r="G203">
        <v>0</v>
      </c>
      <c r="H203">
        <v>0</v>
      </c>
      <c r="I203">
        <v>0</v>
      </c>
      <c r="J203">
        <v>0</v>
      </c>
      <c r="K203">
        <v>0</v>
      </c>
      <c r="L203">
        <v>0</v>
      </c>
      <c r="M203">
        <v>0</v>
      </c>
      <c r="N203">
        <v>0</v>
      </c>
      <c r="O203">
        <v>1</v>
      </c>
      <c r="P203">
        <v>0</v>
      </c>
      <c r="Q203">
        <v>1</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row>
    <row r="204" spans="3:63">
      <c r="C204" s="145" t="s">
        <v>909</v>
      </c>
      <c r="D204">
        <v>0</v>
      </c>
      <c r="E204">
        <v>0</v>
      </c>
      <c r="F204">
        <v>0</v>
      </c>
      <c r="G204">
        <v>0</v>
      </c>
      <c r="H204">
        <v>0</v>
      </c>
      <c r="I204">
        <v>1</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row>
    <row r="205" spans="3:63">
      <c r="C205" s="145" t="s">
        <v>30</v>
      </c>
      <c r="D205">
        <v>1</v>
      </c>
      <c r="E205">
        <v>1</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row>
    <row r="206" spans="3:63">
      <c r="C206" s="145" t="s">
        <v>909</v>
      </c>
      <c r="D206">
        <v>0</v>
      </c>
      <c r="E206">
        <v>0</v>
      </c>
      <c r="F206">
        <v>0</v>
      </c>
      <c r="G206">
        <v>0</v>
      </c>
      <c r="H206">
        <v>0</v>
      </c>
      <c r="I206">
        <v>1</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row>
    <row r="207" spans="3:63">
      <c r="C207" s="145" t="s">
        <v>924</v>
      </c>
      <c r="D207">
        <v>0</v>
      </c>
      <c r="E207">
        <v>0</v>
      </c>
      <c r="F207">
        <v>0</v>
      </c>
      <c r="G207">
        <v>0</v>
      </c>
      <c r="H207">
        <v>0</v>
      </c>
      <c r="I207">
        <v>0</v>
      </c>
      <c r="J207">
        <v>0</v>
      </c>
      <c r="K207">
        <v>0</v>
      </c>
      <c r="L207">
        <v>1</v>
      </c>
      <c r="M207">
        <v>0</v>
      </c>
      <c r="N207">
        <v>1</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row>
    <row r="208" spans="3:63">
      <c r="C208" s="145" t="s">
        <v>927</v>
      </c>
      <c r="D208">
        <v>1</v>
      </c>
      <c r="E208">
        <v>0</v>
      </c>
      <c r="F208">
        <v>0</v>
      </c>
      <c r="G208">
        <v>0</v>
      </c>
      <c r="H208">
        <v>0</v>
      </c>
      <c r="I208">
        <v>1</v>
      </c>
      <c r="J208">
        <v>0</v>
      </c>
      <c r="K208">
        <v>0</v>
      </c>
      <c r="L208">
        <v>0</v>
      </c>
      <c r="M208">
        <v>1</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row>
    <row r="209" spans="3:63">
      <c r="C209" s="145" t="s">
        <v>928</v>
      </c>
      <c r="D209">
        <v>1</v>
      </c>
      <c r="E209">
        <v>0</v>
      </c>
      <c r="F209">
        <v>0</v>
      </c>
      <c r="G209">
        <v>1</v>
      </c>
      <c r="H209">
        <v>0</v>
      </c>
      <c r="I209">
        <v>1</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c r="BJ209">
        <v>0</v>
      </c>
      <c r="BK209">
        <v>0</v>
      </c>
    </row>
    <row r="210" spans="3:63">
      <c r="C210" s="145" t="s">
        <v>26</v>
      </c>
      <c r="D210">
        <v>1</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row>
    <row r="211" spans="3:63">
      <c r="C211" s="145" t="s">
        <v>929</v>
      </c>
      <c r="D211">
        <v>0</v>
      </c>
      <c r="E211">
        <v>0</v>
      </c>
      <c r="F211">
        <v>0</v>
      </c>
      <c r="G211">
        <v>0</v>
      </c>
      <c r="H211">
        <v>1</v>
      </c>
      <c r="I211">
        <v>0</v>
      </c>
      <c r="J211">
        <v>0</v>
      </c>
      <c r="K211">
        <v>1</v>
      </c>
      <c r="L211">
        <v>0</v>
      </c>
      <c r="M211">
        <v>1</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row>
    <row r="212" spans="3:63">
      <c r="C212" s="145" t="s">
        <v>898</v>
      </c>
      <c r="D212">
        <v>1</v>
      </c>
      <c r="E212">
        <v>0</v>
      </c>
      <c r="F212">
        <v>0</v>
      </c>
      <c r="G212">
        <v>0</v>
      </c>
      <c r="H212">
        <v>0</v>
      </c>
      <c r="I212">
        <v>1</v>
      </c>
      <c r="J212">
        <v>0</v>
      </c>
      <c r="K212">
        <v>0</v>
      </c>
      <c r="L212">
        <v>0</v>
      </c>
      <c r="M212">
        <v>0</v>
      </c>
      <c r="N212">
        <v>0</v>
      </c>
      <c r="O212">
        <v>1</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row>
    <row r="213" spans="3:63">
      <c r="C213" s="145" t="s">
        <v>26</v>
      </c>
      <c r="D213">
        <v>1</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row>
    <row r="214" spans="3:63">
      <c r="C214" s="145" t="s">
        <v>897</v>
      </c>
      <c r="D214">
        <v>1</v>
      </c>
      <c r="E214">
        <v>1</v>
      </c>
      <c r="F214">
        <v>0</v>
      </c>
      <c r="G214">
        <v>0</v>
      </c>
      <c r="H214">
        <v>0</v>
      </c>
      <c r="I214">
        <v>1</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row>
    <row r="215" spans="3:63">
      <c r="C215" s="145" t="s">
        <v>27</v>
      </c>
      <c r="D215">
        <v>0</v>
      </c>
      <c r="E215">
        <v>0</v>
      </c>
      <c r="F215">
        <v>0</v>
      </c>
      <c r="G215">
        <v>0</v>
      </c>
      <c r="H215">
        <v>0</v>
      </c>
      <c r="I215">
        <v>0</v>
      </c>
      <c r="J215">
        <v>0</v>
      </c>
      <c r="K215">
        <v>0</v>
      </c>
      <c r="L215">
        <v>1</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row>
    <row r="216" spans="3:63">
      <c r="C216" s="145" t="s">
        <v>27</v>
      </c>
      <c r="D216">
        <v>0</v>
      </c>
      <c r="E216">
        <v>0</v>
      </c>
      <c r="F216">
        <v>0</v>
      </c>
      <c r="G216">
        <v>0</v>
      </c>
      <c r="H216">
        <v>0</v>
      </c>
      <c r="I216">
        <v>0</v>
      </c>
      <c r="J216">
        <v>0</v>
      </c>
      <c r="K216">
        <v>0</v>
      </c>
      <c r="L216">
        <v>1</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row>
    <row r="217" spans="3:63">
      <c r="C217" s="145" t="s">
        <v>30</v>
      </c>
      <c r="D217">
        <v>1</v>
      </c>
      <c r="E217">
        <v>1</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row>
    <row r="218" spans="3:63">
      <c r="C218" s="145" t="s">
        <v>26</v>
      </c>
      <c r="D218">
        <v>1</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row>
    <row r="219" spans="3:63">
      <c r="C219" s="145" t="s">
        <v>26</v>
      </c>
      <c r="D219">
        <v>1</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row>
    <row r="220" spans="3:63">
      <c r="C220" s="145" t="s">
        <v>27</v>
      </c>
      <c r="D220">
        <v>0</v>
      </c>
      <c r="E220">
        <v>0</v>
      </c>
      <c r="F220">
        <v>0</v>
      </c>
      <c r="G220">
        <v>0</v>
      </c>
      <c r="H220">
        <v>0</v>
      </c>
      <c r="I220">
        <v>0</v>
      </c>
      <c r="J220">
        <v>0</v>
      </c>
      <c r="K220">
        <v>0</v>
      </c>
      <c r="L220">
        <v>1</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row>
    <row r="221" spans="3:63">
      <c r="C221" s="145" t="s">
        <v>930</v>
      </c>
      <c r="D221">
        <v>0</v>
      </c>
      <c r="E221">
        <v>0</v>
      </c>
      <c r="F221">
        <v>0</v>
      </c>
      <c r="G221">
        <v>0</v>
      </c>
      <c r="H221">
        <v>1</v>
      </c>
      <c r="I221">
        <v>0</v>
      </c>
      <c r="J221">
        <v>0</v>
      </c>
      <c r="K221">
        <v>0</v>
      </c>
      <c r="L221">
        <v>0</v>
      </c>
      <c r="M221">
        <v>0</v>
      </c>
      <c r="N221">
        <v>1</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row>
    <row r="222" spans="3:63">
      <c r="C222" s="145" t="s">
        <v>28</v>
      </c>
      <c r="D222">
        <v>0</v>
      </c>
      <c r="E222">
        <v>0</v>
      </c>
      <c r="F222">
        <v>0</v>
      </c>
      <c r="G222">
        <v>0</v>
      </c>
      <c r="H222">
        <v>0</v>
      </c>
      <c r="I222">
        <v>0</v>
      </c>
      <c r="J222">
        <v>0</v>
      </c>
      <c r="K222">
        <v>0</v>
      </c>
      <c r="L222">
        <v>0</v>
      </c>
      <c r="M222">
        <v>0</v>
      </c>
      <c r="N222">
        <v>0</v>
      </c>
      <c r="O222">
        <v>0</v>
      </c>
      <c r="P222">
        <v>0</v>
      </c>
      <c r="Q222">
        <v>1</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row>
    <row r="223" spans="3:63">
      <c r="C223" s="145" t="s">
        <v>931</v>
      </c>
      <c r="D223">
        <v>1</v>
      </c>
      <c r="E223">
        <v>0</v>
      </c>
      <c r="F223">
        <v>0</v>
      </c>
      <c r="G223">
        <v>0</v>
      </c>
      <c r="H223">
        <v>0</v>
      </c>
      <c r="I223">
        <v>1</v>
      </c>
      <c r="J223">
        <v>0</v>
      </c>
      <c r="K223">
        <v>0</v>
      </c>
      <c r="L223">
        <v>1</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row>
    <row r="224" spans="3:63">
      <c r="C224" s="145" t="s">
        <v>26</v>
      </c>
      <c r="D224">
        <v>1</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row>
    <row r="225" spans="3:63">
      <c r="C225" s="145" t="s">
        <v>27</v>
      </c>
      <c r="D225">
        <v>0</v>
      </c>
      <c r="E225">
        <v>0</v>
      </c>
      <c r="F225">
        <v>0</v>
      </c>
      <c r="G225">
        <v>0</v>
      </c>
      <c r="H225">
        <v>0</v>
      </c>
      <c r="I225">
        <v>0</v>
      </c>
      <c r="J225">
        <v>0</v>
      </c>
      <c r="K225">
        <v>0</v>
      </c>
      <c r="L225">
        <v>1</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row>
    <row r="226" spans="3:63">
      <c r="C226" s="145" t="s">
        <v>909</v>
      </c>
      <c r="D226">
        <v>0</v>
      </c>
      <c r="E226">
        <v>0</v>
      </c>
      <c r="F226">
        <v>0</v>
      </c>
      <c r="G226">
        <v>0</v>
      </c>
      <c r="H226">
        <v>0</v>
      </c>
      <c r="I226">
        <v>1</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row>
    <row r="227" spans="3:63">
      <c r="C227" s="145" t="s">
        <v>932</v>
      </c>
      <c r="D227">
        <v>0</v>
      </c>
      <c r="E227">
        <v>1</v>
      </c>
      <c r="F227">
        <v>0</v>
      </c>
      <c r="G227">
        <v>0</v>
      </c>
      <c r="H227">
        <v>0</v>
      </c>
      <c r="I227">
        <v>0</v>
      </c>
      <c r="J227">
        <v>0</v>
      </c>
      <c r="K227">
        <v>0</v>
      </c>
      <c r="L227">
        <v>0</v>
      </c>
      <c r="M227">
        <v>0</v>
      </c>
      <c r="N227">
        <v>0</v>
      </c>
      <c r="O227">
        <v>1</v>
      </c>
      <c r="P227">
        <v>0</v>
      </c>
      <c r="Q227">
        <v>1</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row>
    <row r="228" spans="3:63">
      <c r="C228" s="145" t="s">
        <v>26</v>
      </c>
      <c r="D228">
        <v>1</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row>
    <row r="229" spans="3:63">
      <c r="C229" s="145" t="s">
        <v>897</v>
      </c>
      <c r="D229">
        <v>1</v>
      </c>
      <c r="E229">
        <v>1</v>
      </c>
      <c r="F229">
        <v>0</v>
      </c>
      <c r="G229">
        <v>0</v>
      </c>
      <c r="H229">
        <v>0</v>
      </c>
      <c r="I229">
        <v>1</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row>
    <row r="230" spans="3:63">
      <c r="C230" s="145" t="s">
        <v>32</v>
      </c>
      <c r="D230">
        <v>1</v>
      </c>
      <c r="E230">
        <v>0</v>
      </c>
      <c r="F230">
        <v>0</v>
      </c>
      <c r="G230">
        <v>0</v>
      </c>
      <c r="H230">
        <v>0</v>
      </c>
      <c r="I230">
        <v>0</v>
      </c>
      <c r="J230">
        <v>0</v>
      </c>
      <c r="K230">
        <v>0</v>
      </c>
      <c r="L230">
        <v>0</v>
      </c>
      <c r="M230">
        <v>0</v>
      </c>
      <c r="N230">
        <v>0</v>
      </c>
      <c r="O230">
        <v>0</v>
      </c>
      <c r="P230">
        <v>0</v>
      </c>
      <c r="Q230">
        <v>1</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row>
    <row r="231" spans="3:63">
      <c r="C231" s="145" t="s">
        <v>27</v>
      </c>
      <c r="D231">
        <v>0</v>
      </c>
      <c r="E231">
        <v>0</v>
      </c>
      <c r="F231">
        <v>0</v>
      </c>
      <c r="G231">
        <v>0</v>
      </c>
      <c r="H231">
        <v>0</v>
      </c>
      <c r="I231">
        <v>0</v>
      </c>
      <c r="J231">
        <v>0</v>
      </c>
      <c r="K231">
        <v>0</v>
      </c>
      <c r="L231">
        <v>1</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row>
    <row r="232" spans="3:63">
      <c r="C232" s="145" t="s">
        <v>30</v>
      </c>
      <c r="D232">
        <v>1</v>
      </c>
      <c r="E232">
        <v>1</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row>
    <row r="233" spans="3:63">
      <c r="C233" s="145" t="s">
        <v>51</v>
      </c>
      <c r="D233">
        <v>0</v>
      </c>
      <c r="E233">
        <v>0</v>
      </c>
      <c r="F233">
        <v>0</v>
      </c>
      <c r="G233">
        <v>0</v>
      </c>
      <c r="H233">
        <v>0</v>
      </c>
      <c r="I233">
        <v>0</v>
      </c>
      <c r="J233">
        <v>0</v>
      </c>
      <c r="K233">
        <v>1</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row>
    <row r="234" spans="3:63">
      <c r="C234" s="145" t="s">
        <v>26</v>
      </c>
      <c r="D234">
        <v>1</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row>
    <row r="235" spans="3:63">
      <c r="C235" s="145" t="s">
        <v>40</v>
      </c>
      <c r="D235">
        <v>1</v>
      </c>
      <c r="E235">
        <v>1</v>
      </c>
      <c r="F235">
        <v>0</v>
      </c>
      <c r="G235">
        <v>0</v>
      </c>
      <c r="H235">
        <v>0</v>
      </c>
      <c r="I235">
        <v>0</v>
      </c>
      <c r="J235">
        <v>0</v>
      </c>
      <c r="K235">
        <v>0</v>
      </c>
      <c r="L235">
        <v>0</v>
      </c>
      <c r="M235">
        <v>0</v>
      </c>
      <c r="N235">
        <v>0</v>
      </c>
      <c r="O235">
        <v>1</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row>
    <row r="236" spans="3:63">
      <c r="C236" s="145" t="s">
        <v>933</v>
      </c>
      <c r="D236">
        <v>0</v>
      </c>
      <c r="E236">
        <v>0</v>
      </c>
      <c r="F236">
        <v>0</v>
      </c>
      <c r="G236">
        <v>0</v>
      </c>
      <c r="H236">
        <v>1</v>
      </c>
      <c r="I236">
        <v>1</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row>
    <row r="237" spans="3:63">
      <c r="C237" s="145" t="s">
        <v>48</v>
      </c>
      <c r="D237">
        <v>0</v>
      </c>
      <c r="E237">
        <v>0</v>
      </c>
      <c r="F237">
        <v>1</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row>
    <row r="238" spans="3:63">
      <c r="C238" s="145" t="s">
        <v>909</v>
      </c>
      <c r="D238">
        <v>0</v>
      </c>
      <c r="E238">
        <v>0</v>
      </c>
      <c r="F238">
        <v>0</v>
      </c>
      <c r="G238">
        <v>0</v>
      </c>
      <c r="H238">
        <v>0</v>
      </c>
      <c r="I238">
        <v>1</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row>
    <row r="239" spans="3:63">
      <c r="C239" s="145" t="s">
        <v>36</v>
      </c>
      <c r="D239">
        <v>0</v>
      </c>
      <c r="E239">
        <v>0</v>
      </c>
      <c r="F239">
        <v>0</v>
      </c>
      <c r="G239">
        <v>0</v>
      </c>
      <c r="H239">
        <v>1</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row>
    <row r="240" spans="3:63">
      <c r="C240" s="145" t="s">
        <v>52</v>
      </c>
      <c r="D240">
        <v>0</v>
      </c>
      <c r="E240">
        <v>0</v>
      </c>
      <c r="F240">
        <v>0</v>
      </c>
      <c r="G240">
        <v>0</v>
      </c>
      <c r="H240">
        <v>0</v>
      </c>
      <c r="I240">
        <v>0</v>
      </c>
      <c r="J240">
        <v>0</v>
      </c>
      <c r="K240">
        <v>0</v>
      </c>
      <c r="L240">
        <v>0</v>
      </c>
      <c r="M240">
        <v>0</v>
      </c>
      <c r="N240">
        <v>0</v>
      </c>
      <c r="O240">
        <v>1</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row>
    <row r="241" spans="3:63">
      <c r="C241" s="145" t="s">
        <v>26</v>
      </c>
      <c r="D241">
        <v>1</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row>
    <row r="242" spans="3:63">
      <c r="C242" s="145" t="s">
        <v>909</v>
      </c>
      <c r="D242">
        <v>0</v>
      </c>
      <c r="E242">
        <v>0</v>
      </c>
      <c r="F242">
        <v>0</v>
      </c>
      <c r="G242">
        <v>0</v>
      </c>
      <c r="H242">
        <v>0</v>
      </c>
      <c r="I242">
        <v>1</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row>
    <row r="243" spans="3:63">
      <c r="C243" s="145" t="s">
        <v>934</v>
      </c>
      <c r="D243">
        <v>1</v>
      </c>
      <c r="E243">
        <v>0</v>
      </c>
      <c r="F243">
        <v>0</v>
      </c>
      <c r="G243">
        <v>0</v>
      </c>
      <c r="H243">
        <v>0</v>
      </c>
      <c r="I243">
        <v>0</v>
      </c>
      <c r="J243">
        <v>0</v>
      </c>
      <c r="K243">
        <v>0</v>
      </c>
      <c r="L243">
        <v>0</v>
      </c>
      <c r="M243">
        <v>1</v>
      </c>
      <c r="N243">
        <v>0</v>
      </c>
      <c r="O243">
        <v>0</v>
      </c>
      <c r="P243">
        <v>0</v>
      </c>
      <c r="Q243">
        <v>1</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row>
    <row r="244" spans="3:63">
      <c r="C244" s="145" t="s">
        <v>34</v>
      </c>
      <c r="D244">
        <v>0</v>
      </c>
      <c r="E244">
        <v>0</v>
      </c>
      <c r="F244">
        <v>0</v>
      </c>
      <c r="G244">
        <v>0</v>
      </c>
      <c r="H244">
        <v>0</v>
      </c>
      <c r="I244">
        <v>0</v>
      </c>
      <c r="J244">
        <v>1</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row>
    <row r="245" spans="3:63">
      <c r="C245" s="145" t="s">
        <v>28</v>
      </c>
      <c r="D245">
        <v>0</v>
      </c>
      <c r="E245">
        <v>0</v>
      </c>
      <c r="F245">
        <v>0</v>
      </c>
      <c r="G245">
        <v>0</v>
      </c>
      <c r="H245">
        <v>0</v>
      </c>
      <c r="I245">
        <v>0</v>
      </c>
      <c r="J245">
        <v>0</v>
      </c>
      <c r="K245">
        <v>0</v>
      </c>
      <c r="L245">
        <v>0</v>
      </c>
      <c r="M245">
        <v>0</v>
      </c>
      <c r="N245">
        <v>0</v>
      </c>
      <c r="O245">
        <v>0</v>
      </c>
      <c r="P245">
        <v>0</v>
      </c>
      <c r="Q245">
        <v>1</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row>
    <row r="246" spans="3:63">
      <c r="C246" s="145" t="s">
        <v>38</v>
      </c>
      <c r="D246">
        <v>0</v>
      </c>
      <c r="E246">
        <v>0</v>
      </c>
      <c r="F246">
        <v>0</v>
      </c>
      <c r="G246">
        <v>0</v>
      </c>
      <c r="H246">
        <v>0</v>
      </c>
      <c r="I246">
        <v>0</v>
      </c>
      <c r="J246">
        <v>0</v>
      </c>
      <c r="K246">
        <v>0</v>
      </c>
      <c r="L246">
        <v>0</v>
      </c>
      <c r="M246">
        <v>0</v>
      </c>
      <c r="N246">
        <v>1</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row>
    <row r="247" spans="3:63">
      <c r="C247" s="145" t="s">
        <v>49</v>
      </c>
      <c r="D247">
        <v>1</v>
      </c>
      <c r="E247">
        <v>0</v>
      </c>
      <c r="F247">
        <v>0</v>
      </c>
      <c r="G247">
        <v>0</v>
      </c>
      <c r="H247">
        <v>0</v>
      </c>
      <c r="I247">
        <v>0</v>
      </c>
      <c r="J247">
        <v>0</v>
      </c>
      <c r="K247">
        <v>0</v>
      </c>
      <c r="L247">
        <v>1</v>
      </c>
      <c r="M247">
        <v>0</v>
      </c>
      <c r="N247">
        <v>1</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row>
    <row r="248" spans="3:63">
      <c r="C248" s="145" t="s">
        <v>916</v>
      </c>
      <c r="D248">
        <v>1</v>
      </c>
      <c r="E248">
        <v>0</v>
      </c>
      <c r="F248">
        <v>0</v>
      </c>
      <c r="G248">
        <v>0</v>
      </c>
      <c r="H248">
        <v>1</v>
      </c>
      <c r="I248">
        <v>1</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row>
    <row r="249" spans="3:63">
      <c r="C249" s="145" t="s">
        <v>26</v>
      </c>
      <c r="D249">
        <v>1</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row>
    <row r="250" spans="3:63">
      <c r="C250" s="145" t="s">
        <v>909</v>
      </c>
      <c r="D250">
        <v>0</v>
      </c>
      <c r="E250">
        <v>0</v>
      </c>
      <c r="F250">
        <v>0</v>
      </c>
      <c r="G250">
        <v>0</v>
      </c>
      <c r="H250">
        <v>0</v>
      </c>
      <c r="I250">
        <v>1</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row>
    <row r="251" spans="3:63">
      <c r="C251" s="145" t="s">
        <v>898</v>
      </c>
      <c r="D251">
        <v>1</v>
      </c>
      <c r="E251">
        <v>0</v>
      </c>
      <c r="F251">
        <v>0</v>
      </c>
      <c r="G251">
        <v>0</v>
      </c>
      <c r="H251">
        <v>0</v>
      </c>
      <c r="I251">
        <v>1</v>
      </c>
      <c r="J251">
        <v>0</v>
      </c>
      <c r="K251">
        <v>0</v>
      </c>
      <c r="L251">
        <v>0</v>
      </c>
      <c r="M251">
        <v>0</v>
      </c>
      <c r="N251">
        <v>0</v>
      </c>
      <c r="O251">
        <v>1</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row>
    <row r="252" spans="3:63">
      <c r="C252" s="145" t="s">
        <v>34</v>
      </c>
      <c r="D252">
        <v>0</v>
      </c>
      <c r="E252">
        <v>0</v>
      </c>
      <c r="F252">
        <v>0</v>
      </c>
      <c r="G252">
        <v>0</v>
      </c>
      <c r="H252">
        <v>0</v>
      </c>
      <c r="I252">
        <v>0</v>
      </c>
      <c r="J252">
        <v>1</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row>
    <row r="253" spans="3:63">
      <c r="C253" s="145" t="s">
        <v>926</v>
      </c>
      <c r="D253">
        <v>1</v>
      </c>
      <c r="E253">
        <v>0</v>
      </c>
      <c r="F253">
        <v>0</v>
      </c>
      <c r="G253">
        <v>0</v>
      </c>
      <c r="H253">
        <v>0</v>
      </c>
      <c r="I253">
        <v>0</v>
      </c>
      <c r="J253">
        <v>0</v>
      </c>
      <c r="K253">
        <v>0</v>
      </c>
      <c r="L253">
        <v>0</v>
      </c>
      <c r="M253">
        <v>0</v>
      </c>
      <c r="N253">
        <v>0</v>
      </c>
      <c r="O253">
        <v>1</v>
      </c>
      <c r="P253">
        <v>0</v>
      </c>
      <c r="Q253">
        <v>1</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row>
    <row r="254" spans="3:63">
      <c r="C254" s="145" t="s">
        <v>909</v>
      </c>
      <c r="D254">
        <v>0</v>
      </c>
      <c r="E254">
        <v>0</v>
      </c>
      <c r="F254">
        <v>0</v>
      </c>
      <c r="G254">
        <v>0</v>
      </c>
      <c r="H254">
        <v>0</v>
      </c>
      <c r="I254">
        <v>1</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row>
    <row r="255" spans="3:63">
      <c r="C255" s="145" t="s">
        <v>26</v>
      </c>
      <c r="D255">
        <v>1</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row>
    <row r="256" spans="3:63">
      <c r="C256" s="145" t="s">
        <v>935</v>
      </c>
      <c r="D256">
        <v>0</v>
      </c>
      <c r="E256">
        <v>0</v>
      </c>
      <c r="F256">
        <v>0</v>
      </c>
      <c r="G256">
        <v>0</v>
      </c>
      <c r="H256">
        <v>0</v>
      </c>
      <c r="I256">
        <v>0</v>
      </c>
      <c r="J256">
        <v>0</v>
      </c>
      <c r="K256">
        <v>1</v>
      </c>
      <c r="L256">
        <v>1</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row>
    <row r="257" spans="3:63">
      <c r="C257" s="145" t="s">
        <v>916</v>
      </c>
      <c r="D257">
        <v>1</v>
      </c>
      <c r="E257">
        <v>0</v>
      </c>
      <c r="F257">
        <v>0</v>
      </c>
      <c r="G257">
        <v>0</v>
      </c>
      <c r="H257">
        <v>1</v>
      </c>
      <c r="I257">
        <v>1</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row>
    <row r="258" spans="3:63">
      <c r="C258" s="145" t="s">
        <v>933</v>
      </c>
      <c r="D258">
        <v>0</v>
      </c>
      <c r="E258">
        <v>0</v>
      </c>
      <c r="F258">
        <v>0</v>
      </c>
      <c r="G258">
        <v>0</v>
      </c>
      <c r="H258">
        <v>1</v>
      </c>
      <c r="I258">
        <v>1</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row>
    <row r="259" spans="3:63">
      <c r="C259" s="145" t="s">
        <v>936</v>
      </c>
      <c r="D259">
        <v>1</v>
      </c>
      <c r="E259">
        <v>0</v>
      </c>
      <c r="F259">
        <v>0</v>
      </c>
      <c r="G259">
        <v>1</v>
      </c>
      <c r="H259">
        <v>1</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row>
    <row r="260" spans="3:63">
      <c r="C260" s="145" t="s">
        <v>937</v>
      </c>
      <c r="D260">
        <v>0</v>
      </c>
      <c r="E260">
        <v>0</v>
      </c>
      <c r="F260">
        <v>1</v>
      </c>
      <c r="G260">
        <v>0</v>
      </c>
      <c r="H260">
        <v>0</v>
      </c>
      <c r="I260">
        <v>1</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row>
    <row r="261" spans="3:63">
      <c r="C261" s="145" t="s">
        <v>42</v>
      </c>
      <c r="D261">
        <v>1</v>
      </c>
      <c r="E261">
        <v>0</v>
      </c>
      <c r="F261">
        <v>0</v>
      </c>
      <c r="G261">
        <v>1</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row>
    <row r="262" spans="3:63">
      <c r="C262" s="145" t="s">
        <v>25</v>
      </c>
      <c r="D262">
        <v>0</v>
      </c>
      <c r="E262">
        <v>0</v>
      </c>
      <c r="F262">
        <v>0</v>
      </c>
      <c r="G262">
        <v>0</v>
      </c>
      <c r="H262">
        <v>0</v>
      </c>
      <c r="I262">
        <v>0</v>
      </c>
      <c r="J262">
        <v>0</v>
      </c>
      <c r="K262">
        <v>0</v>
      </c>
      <c r="L262">
        <v>0</v>
      </c>
      <c r="M262">
        <v>1</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row>
    <row r="263" spans="3:63">
      <c r="C263" s="145" t="s">
        <v>938</v>
      </c>
      <c r="D263">
        <v>0</v>
      </c>
      <c r="E263">
        <v>1</v>
      </c>
      <c r="F263">
        <v>0</v>
      </c>
      <c r="G263">
        <v>0</v>
      </c>
      <c r="H263">
        <v>1</v>
      </c>
      <c r="I263">
        <v>0</v>
      </c>
      <c r="J263">
        <v>0</v>
      </c>
      <c r="K263">
        <v>0</v>
      </c>
      <c r="L263">
        <v>0</v>
      </c>
      <c r="M263">
        <v>0</v>
      </c>
      <c r="N263">
        <v>0</v>
      </c>
      <c r="O263">
        <v>1</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row>
    <row r="264" spans="3:63">
      <c r="C264" s="145" t="s">
        <v>26</v>
      </c>
      <c r="D264">
        <v>1</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row>
    <row r="265" spans="3:63">
      <c r="C265" s="145" t="s">
        <v>35</v>
      </c>
      <c r="D265">
        <v>1</v>
      </c>
      <c r="E265">
        <v>1</v>
      </c>
      <c r="F265">
        <v>0</v>
      </c>
      <c r="G265">
        <v>0</v>
      </c>
      <c r="H265">
        <v>0</v>
      </c>
      <c r="I265">
        <v>0</v>
      </c>
      <c r="J265">
        <v>0</v>
      </c>
      <c r="K265">
        <v>0</v>
      </c>
      <c r="L265">
        <v>0</v>
      </c>
      <c r="M265">
        <v>0</v>
      </c>
      <c r="N265">
        <v>1</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row>
    <row r="266" spans="3:63">
      <c r="C266" s="145" t="s">
        <v>26</v>
      </c>
      <c r="D266">
        <v>1</v>
      </c>
      <c r="E266">
        <v>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row>
    <row r="267" spans="3:63">
      <c r="C267" s="145" t="s">
        <v>900</v>
      </c>
      <c r="D267">
        <v>1</v>
      </c>
      <c r="E267">
        <v>1</v>
      </c>
      <c r="F267">
        <v>1</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row>
    <row r="268" spans="3:63">
      <c r="C268" s="145" t="s">
        <v>26</v>
      </c>
      <c r="D268">
        <v>1</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row>
    <row r="269" spans="3:63">
      <c r="C269" s="145" t="s">
        <v>40</v>
      </c>
      <c r="D269">
        <v>1</v>
      </c>
      <c r="E269">
        <v>1</v>
      </c>
      <c r="F269">
        <v>0</v>
      </c>
      <c r="G269">
        <v>0</v>
      </c>
      <c r="H269">
        <v>0</v>
      </c>
      <c r="I269">
        <v>0</v>
      </c>
      <c r="J269">
        <v>0</v>
      </c>
      <c r="K269">
        <v>0</v>
      </c>
      <c r="L269">
        <v>0</v>
      </c>
      <c r="M269">
        <v>0</v>
      </c>
      <c r="N269">
        <v>0</v>
      </c>
      <c r="O269">
        <v>1</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row>
    <row r="270" spans="3:63">
      <c r="C270" s="145" t="s">
        <v>39</v>
      </c>
      <c r="D270">
        <v>0</v>
      </c>
      <c r="E270">
        <v>0</v>
      </c>
      <c r="F270">
        <v>0</v>
      </c>
      <c r="G270">
        <v>1</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row>
    <row r="271" spans="3:63">
      <c r="C271" s="145" t="s">
        <v>40</v>
      </c>
      <c r="D271">
        <v>1</v>
      </c>
      <c r="E271">
        <v>1</v>
      </c>
      <c r="F271">
        <v>0</v>
      </c>
      <c r="G271">
        <v>0</v>
      </c>
      <c r="H271">
        <v>0</v>
      </c>
      <c r="I271">
        <v>0</v>
      </c>
      <c r="J271">
        <v>0</v>
      </c>
      <c r="K271">
        <v>0</v>
      </c>
      <c r="L271">
        <v>0</v>
      </c>
      <c r="M271">
        <v>0</v>
      </c>
      <c r="N271">
        <v>0</v>
      </c>
      <c r="O271">
        <v>1</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row>
    <row r="272" spans="3:63">
      <c r="C272" s="145" t="s">
        <v>26</v>
      </c>
      <c r="D272">
        <v>1</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row>
    <row r="273" spans="3:63">
      <c r="C273" s="145" t="s">
        <v>923</v>
      </c>
      <c r="D273">
        <v>1</v>
      </c>
      <c r="E273">
        <v>0</v>
      </c>
      <c r="F273">
        <v>0</v>
      </c>
      <c r="G273">
        <v>0</v>
      </c>
      <c r="H273">
        <v>1</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row>
    <row r="274" spans="3:63">
      <c r="C274" s="145" t="s">
        <v>26</v>
      </c>
      <c r="D274">
        <v>1</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row>
    <row r="275" spans="3:63">
      <c r="C275" s="145" t="s">
        <v>897</v>
      </c>
      <c r="D275">
        <v>1</v>
      </c>
      <c r="E275">
        <v>1</v>
      </c>
      <c r="F275">
        <v>0</v>
      </c>
      <c r="G275">
        <v>0</v>
      </c>
      <c r="H275">
        <v>0</v>
      </c>
      <c r="I275">
        <v>1</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row>
    <row r="276" spans="3:63">
      <c r="C276" s="145" t="s">
        <v>26</v>
      </c>
      <c r="D276">
        <v>1</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row>
    <row r="277" spans="3:63">
      <c r="C277" s="145" t="s">
        <v>926</v>
      </c>
      <c r="D277">
        <v>1</v>
      </c>
      <c r="E277">
        <v>0</v>
      </c>
      <c r="F277">
        <v>0</v>
      </c>
      <c r="G277">
        <v>0</v>
      </c>
      <c r="H277">
        <v>0</v>
      </c>
      <c r="I277">
        <v>0</v>
      </c>
      <c r="J277">
        <v>0</v>
      </c>
      <c r="K277">
        <v>0</v>
      </c>
      <c r="L277">
        <v>0</v>
      </c>
      <c r="M277">
        <v>0</v>
      </c>
      <c r="N277">
        <v>0</v>
      </c>
      <c r="O277">
        <v>1</v>
      </c>
      <c r="P277">
        <v>0</v>
      </c>
      <c r="Q277">
        <v>1</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row>
    <row r="278" spans="3:63">
      <c r="C278" s="145" t="s">
        <v>939</v>
      </c>
      <c r="D278">
        <v>0</v>
      </c>
      <c r="E278">
        <v>1</v>
      </c>
      <c r="F278">
        <v>0</v>
      </c>
      <c r="G278">
        <v>0</v>
      </c>
      <c r="H278">
        <v>0</v>
      </c>
      <c r="I278">
        <v>0</v>
      </c>
      <c r="J278">
        <v>0</v>
      </c>
      <c r="K278">
        <v>0</v>
      </c>
      <c r="L278">
        <v>0</v>
      </c>
      <c r="M278">
        <v>1</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row>
    <row r="279" spans="3:63">
      <c r="C279" s="145" t="s">
        <v>915</v>
      </c>
      <c r="D279">
        <v>1</v>
      </c>
      <c r="E279">
        <v>0</v>
      </c>
      <c r="F279">
        <v>0</v>
      </c>
      <c r="G279">
        <v>0</v>
      </c>
      <c r="H279">
        <v>0</v>
      </c>
      <c r="I279">
        <v>1</v>
      </c>
      <c r="J279">
        <v>0</v>
      </c>
      <c r="K279">
        <v>0</v>
      </c>
      <c r="L279">
        <v>0</v>
      </c>
      <c r="M279">
        <v>0</v>
      </c>
      <c r="N279">
        <v>0</v>
      </c>
      <c r="O279">
        <v>0</v>
      </c>
      <c r="P279">
        <v>0</v>
      </c>
      <c r="Q279">
        <v>1</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row>
    <row r="280" spans="3:63">
      <c r="C280" s="145" t="s">
        <v>907</v>
      </c>
      <c r="D280">
        <v>1</v>
      </c>
      <c r="E280">
        <v>0</v>
      </c>
      <c r="F280">
        <v>0</v>
      </c>
      <c r="G280">
        <v>0</v>
      </c>
      <c r="H280">
        <v>0</v>
      </c>
      <c r="I280">
        <v>0</v>
      </c>
      <c r="J280">
        <v>0</v>
      </c>
      <c r="K280">
        <v>0</v>
      </c>
      <c r="L280">
        <v>0</v>
      </c>
      <c r="M280">
        <v>0</v>
      </c>
      <c r="N280">
        <v>0</v>
      </c>
      <c r="O280">
        <v>1</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row>
    <row r="281" spans="3:63">
      <c r="C281" s="145" t="s">
        <v>30</v>
      </c>
      <c r="D281">
        <v>1</v>
      </c>
      <c r="E281">
        <v>1</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row>
    <row r="282" spans="3:63">
      <c r="C282" s="145" t="s">
        <v>940</v>
      </c>
      <c r="D282">
        <v>0</v>
      </c>
      <c r="E282">
        <v>0</v>
      </c>
      <c r="F282">
        <v>0</v>
      </c>
      <c r="G282">
        <v>0</v>
      </c>
      <c r="H282">
        <v>0</v>
      </c>
      <c r="I282">
        <v>1</v>
      </c>
      <c r="J282">
        <v>0</v>
      </c>
      <c r="K282">
        <v>0</v>
      </c>
      <c r="L282">
        <v>1</v>
      </c>
      <c r="M282">
        <v>1</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row>
    <row r="283" spans="3:63">
      <c r="C283" s="145" t="s">
        <v>27</v>
      </c>
      <c r="D283">
        <v>0</v>
      </c>
      <c r="E283">
        <v>0</v>
      </c>
      <c r="F283">
        <v>0</v>
      </c>
      <c r="G283">
        <v>0</v>
      </c>
      <c r="H283">
        <v>0</v>
      </c>
      <c r="I283">
        <v>0</v>
      </c>
      <c r="J283">
        <v>0</v>
      </c>
      <c r="K283">
        <v>0</v>
      </c>
      <c r="L283">
        <v>1</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row>
    <row r="284" spans="3:63">
      <c r="C284" s="145" t="s">
        <v>26</v>
      </c>
      <c r="D284">
        <v>1</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row>
    <row r="285" spans="3:63">
      <c r="C285" s="145" t="s">
        <v>31</v>
      </c>
      <c r="D285">
        <v>1</v>
      </c>
      <c r="E285">
        <v>0</v>
      </c>
      <c r="F285">
        <v>0</v>
      </c>
      <c r="G285">
        <v>0</v>
      </c>
      <c r="H285">
        <v>1</v>
      </c>
      <c r="I285">
        <v>0</v>
      </c>
      <c r="J285">
        <v>0</v>
      </c>
      <c r="K285">
        <v>0</v>
      </c>
      <c r="L285">
        <v>1</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row>
    <row r="286" spans="3:63">
      <c r="C286" s="145" t="s">
        <v>901</v>
      </c>
      <c r="D286">
        <v>1</v>
      </c>
      <c r="E286">
        <v>0</v>
      </c>
      <c r="F286">
        <v>0</v>
      </c>
      <c r="G286">
        <v>0</v>
      </c>
      <c r="H286">
        <v>0</v>
      </c>
      <c r="I286">
        <v>0</v>
      </c>
      <c r="J286">
        <v>0</v>
      </c>
      <c r="K286">
        <v>0</v>
      </c>
      <c r="L286">
        <v>0</v>
      </c>
      <c r="M286">
        <v>0</v>
      </c>
      <c r="N286">
        <v>1</v>
      </c>
      <c r="O286">
        <v>0</v>
      </c>
      <c r="P286">
        <v>0</v>
      </c>
      <c r="Q286">
        <v>1</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row>
    <row r="287" spans="3:63">
      <c r="C287" s="145" t="s">
        <v>51</v>
      </c>
      <c r="D287">
        <v>0</v>
      </c>
      <c r="E287">
        <v>0</v>
      </c>
      <c r="F287">
        <v>0</v>
      </c>
      <c r="G287">
        <v>0</v>
      </c>
      <c r="H287">
        <v>0</v>
      </c>
      <c r="I287">
        <v>0</v>
      </c>
      <c r="J287">
        <v>0</v>
      </c>
      <c r="K287">
        <v>1</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row>
    <row r="288" spans="3:63">
      <c r="C288" s="145" t="s">
        <v>26</v>
      </c>
      <c r="D288">
        <v>1</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row>
    <row r="289" spans="3:63">
      <c r="C289" s="145" t="s">
        <v>909</v>
      </c>
      <c r="D289">
        <v>0</v>
      </c>
      <c r="E289">
        <v>0</v>
      </c>
      <c r="F289">
        <v>0</v>
      </c>
      <c r="G289">
        <v>0</v>
      </c>
      <c r="H289">
        <v>0</v>
      </c>
      <c r="I289">
        <v>1</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row>
    <row r="290" spans="3:63">
      <c r="C290" s="145" t="s">
        <v>900</v>
      </c>
      <c r="D290">
        <v>1</v>
      </c>
      <c r="E290">
        <v>1</v>
      </c>
      <c r="F290">
        <v>1</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row>
    <row r="291" spans="3:63">
      <c r="C291" s="145" t="s">
        <v>32</v>
      </c>
      <c r="D291">
        <v>1</v>
      </c>
      <c r="E291">
        <v>0</v>
      </c>
      <c r="F291">
        <v>0</v>
      </c>
      <c r="G291">
        <v>0</v>
      </c>
      <c r="H291">
        <v>0</v>
      </c>
      <c r="I291">
        <v>0</v>
      </c>
      <c r="J291">
        <v>0</v>
      </c>
      <c r="K291">
        <v>0</v>
      </c>
      <c r="L291">
        <v>0</v>
      </c>
      <c r="M291">
        <v>0</v>
      </c>
      <c r="N291">
        <v>0</v>
      </c>
      <c r="O291">
        <v>0</v>
      </c>
      <c r="P291">
        <v>0</v>
      </c>
      <c r="Q291">
        <v>1</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row>
    <row r="292" spans="3:63">
      <c r="C292" s="145" t="s">
        <v>39</v>
      </c>
      <c r="D292">
        <v>0</v>
      </c>
      <c r="E292">
        <v>0</v>
      </c>
      <c r="F292">
        <v>0</v>
      </c>
      <c r="G292">
        <v>1</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row>
    <row r="293" spans="3:63">
      <c r="C293" s="145" t="s">
        <v>26</v>
      </c>
      <c r="D293">
        <v>1</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row>
    <row r="294" spans="3:63">
      <c r="C294" s="145" t="s">
        <v>26</v>
      </c>
      <c r="D294">
        <v>1</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row>
    <row r="295" spans="3:63">
      <c r="C295" s="145" t="s">
        <v>28</v>
      </c>
      <c r="D295">
        <v>0</v>
      </c>
      <c r="E295">
        <v>0</v>
      </c>
      <c r="F295">
        <v>0</v>
      </c>
      <c r="G295">
        <v>0</v>
      </c>
      <c r="H295">
        <v>0</v>
      </c>
      <c r="I295">
        <v>0</v>
      </c>
      <c r="J295">
        <v>0</v>
      </c>
      <c r="K295">
        <v>0</v>
      </c>
      <c r="L295">
        <v>0</v>
      </c>
      <c r="M295">
        <v>0</v>
      </c>
      <c r="N295">
        <v>0</v>
      </c>
      <c r="O295">
        <v>0</v>
      </c>
      <c r="P295">
        <v>0</v>
      </c>
      <c r="Q295">
        <v>1</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row>
    <row r="296" spans="3:63">
      <c r="C296" s="145" t="s">
        <v>38</v>
      </c>
      <c r="D296">
        <v>0</v>
      </c>
      <c r="E296">
        <v>0</v>
      </c>
      <c r="F296">
        <v>0</v>
      </c>
      <c r="G296">
        <v>0</v>
      </c>
      <c r="H296">
        <v>0</v>
      </c>
      <c r="I296">
        <v>0</v>
      </c>
      <c r="J296">
        <v>0</v>
      </c>
      <c r="K296">
        <v>0</v>
      </c>
      <c r="L296">
        <v>0</v>
      </c>
      <c r="M296">
        <v>0</v>
      </c>
      <c r="N296">
        <v>1</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row>
    <row r="297" spans="3:63">
      <c r="C297" s="145" t="s">
        <v>27</v>
      </c>
      <c r="D297">
        <v>0</v>
      </c>
      <c r="E297">
        <v>0</v>
      </c>
      <c r="F297">
        <v>0</v>
      </c>
      <c r="G297">
        <v>0</v>
      </c>
      <c r="H297">
        <v>0</v>
      </c>
      <c r="I297">
        <v>0</v>
      </c>
      <c r="J297">
        <v>0</v>
      </c>
      <c r="K297">
        <v>0</v>
      </c>
      <c r="L297">
        <v>1</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row>
    <row r="298" spans="3:63">
      <c r="C298" s="145" t="s">
        <v>43</v>
      </c>
      <c r="D298">
        <v>1</v>
      </c>
      <c r="E298">
        <v>0</v>
      </c>
      <c r="F298">
        <v>1</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row>
    <row r="299" spans="3:63">
      <c r="C299" s="145" t="s">
        <v>36</v>
      </c>
      <c r="D299">
        <v>0</v>
      </c>
      <c r="E299">
        <v>0</v>
      </c>
      <c r="F299">
        <v>0</v>
      </c>
      <c r="G299">
        <v>0</v>
      </c>
      <c r="H299">
        <v>1</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row>
    <row r="300" spans="3:63">
      <c r="C300" s="145" t="s">
        <v>29</v>
      </c>
      <c r="D300">
        <v>1</v>
      </c>
      <c r="E300">
        <v>0</v>
      </c>
      <c r="F300">
        <v>0</v>
      </c>
      <c r="G300">
        <v>0</v>
      </c>
      <c r="H300">
        <v>0</v>
      </c>
      <c r="I300">
        <v>0</v>
      </c>
      <c r="J300">
        <v>0</v>
      </c>
      <c r="K300">
        <v>0</v>
      </c>
      <c r="L300">
        <v>1</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row>
    <row r="301" spans="3:63">
      <c r="C301" s="145" t="s">
        <v>908</v>
      </c>
      <c r="D301">
        <v>1</v>
      </c>
      <c r="E301">
        <v>1</v>
      </c>
      <c r="F301">
        <v>0</v>
      </c>
      <c r="G301">
        <v>1</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row>
    <row r="302" spans="3:63">
      <c r="C302" s="145" t="s">
        <v>34</v>
      </c>
      <c r="D302">
        <v>0</v>
      </c>
      <c r="E302">
        <v>0</v>
      </c>
      <c r="F302">
        <v>0</v>
      </c>
      <c r="G302">
        <v>0</v>
      </c>
      <c r="H302">
        <v>0</v>
      </c>
      <c r="I302">
        <v>0</v>
      </c>
      <c r="J302">
        <v>1</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row>
    <row r="303" spans="3:63">
      <c r="C303" s="145" t="s">
        <v>36</v>
      </c>
      <c r="D303">
        <v>0</v>
      </c>
      <c r="E303">
        <v>0</v>
      </c>
      <c r="F303">
        <v>0</v>
      </c>
      <c r="G303">
        <v>0</v>
      </c>
      <c r="H303">
        <v>1</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row>
    <row r="304" spans="3:63">
      <c r="C304" s="145" t="s">
        <v>930</v>
      </c>
      <c r="D304">
        <v>0</v>
      </c>
      <c r="E304">
        <v>0</v>
      </c>
      <c r="F304">
        <v>0</v>
      </c>
      <c r="G304">
        <v>0</v>
      </c>
      <c r="H304">
        <v>1</v>
      </c>
      <c r="I304">
        <v>0</v>
      </c>
      <c r="J304">
        <v>0</v>
      </c>
      <c r="K304">
        <v>0</v>
      </c>
      <c r="L304">
        <v>0</v>
      </c>
      <c r="M304">
        <v>0</v>
      </c>
      <c r="N304">
        <v>1</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row>
    <row r="305" spans="3:63">
      <c r="C305" s="145" t="s">
        <v>907</v>
      </c>
      <c r="D305">
        <v>1</v>
      </c>
      <c r="E305">
        <v>0</v>
      </c>
      <c r="F305">
        <v>0</v>
      </c>
      <c r="G305">
        <v>0</v>
      </c>
      <c r="H305">
        <v>0</v>
      </c>
      <c r="I305">
        <v>0</v>
      </c>
      <c r="J305">
        <v>0</v>
      </c>
      <c r="K305">
        <v>0</v>
      </c>
      <c r="L305">
        <v>0</v>
      </c>
      <c r="M305">
        <v>0</v>
      </c>
      <c r="N305">
        <v>0</v>
      </c>
      <c r="O305">
        <v>1</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row>
    <row r="306" spans="3:63">
      <c r="C306" s="145" t="s">
        <v>30</v>
      </c>
      <c r="D306">
        <v>1</v>
      </c>
      <c r="E306">
        <v>1</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row>
    <row r="307" spans="3:63">
      <c r="C307" s="145" t="s">
        <v>941</v>
      </c>
      <c r="D307">
        <v>0</v>
      </c>
      <c r="E307">
        <v>0</v>
      </c>
      <c r="F307">
        <v>0</v>
      </c>
      <c r="G307">
        <v>0</v>
      </c>
      <c r="H307">
        <v>0</v>
      </c>
      <c r="I307">
        <v>1</v>
      </c>
      <c r="J307">
        <v>0</v>
      </c>
      <c r="K307">
        <v>0</v>
      </c>
      <c r="L307">
        <v>0</v>
      </c>
      <c r="M307">
        <v>1</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row>
    <row r="308" spans="3:63">
      <c r="C308" s="145" t="s">
        <v>922</v>
      </c>
      <c r="D308">
        <v>1</v>
      </c>
      <c r="E308">
        <v>1</v>
      </c>
      <c r="F308">
        <v>0</v>
      </c>
      <c r="G308">
        <v>0</v>
      </c>
      <c r="H308">
        <v>0</v>
      </c>
      <c r="I308">
        <v>0</v>
      </c>
      <c r="J308">
        <v>0</v>
      </c>
      <c r="K308">
        <v>0</v>
      </c>
      <c r="L308">
        <v>0</v>
      </c>
      <c r="M308">
        <v>0</v>
      </c>
      <c r="N308">
        <v>0</v>
      </c>
      <c r="O308">
        <v>0</v>
      </c>
      <c r="P308">
        <v>0</v>
      </c>
      <c r="Q308">
        <v>1</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row>
    <row r="309" spans="3:63">
      <c r="C309" s="145" t="s">
        <v>48</v>
      </c>
      <c r="D309">
        <v>0</v>
      </c>
      <c r="E309">
        <v>0</v>
      </c>
      <c r="F309">
        <v>1</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row>
    <row r="310" spans="3:63">
      <c r="C310" s="145" t="s">
        <v>29</v>
      </c>
      <c r="D310">
        <v>1</v>
      </c>
      <c r="E310">
        <v>0</v>
      </c>
      <c r="F310">
        <v>0</v>
      </c>
      <c r="G310">
        <v>0</v>
      </c>
      <c r="H310">
        <v>0</v>
      </c>
      <c r="I310">
        <v>0</v>
      </c>
      <c r="J310">
        <v>0</v>
      </c>
      <c r="K310">
        <v>0</v>
      </c>
      <c r="L310">
        <v>1</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row>
    <row r="311" spans="3:63">
      <c r="C311" s="145" t="s">
        <v>26</v>
      </c>
      <c r="D311">
        <v>1</v>
      </c>
      <c r="E311">
        <v>0</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row>
    <row r="312" spans="3:63">
      <c r="C312" s="145" t="s">
        <v>26</v>
      </c>
      <c r="D312">
        <v>1</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row>
    <row r="313" spans="3:63">
      <c r="C313" s="145" t="s">
        <v>909</v>
      </c>
      <c r="D313">
        <v>0</v>
      </c>
      <c r="E313">
        <v>0</v>
      </c>
      <c r="F313">
        <v>0</v>
      </c>
      <c r="G313">
        <v>0</v>
      </c>
      <c r="H313">
        <v>0</v>
      </c>
      <c r="I313">
        <v>1</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row>
    <row r="314" spans="3:63">
      <c r="C314" s="145" t="s">
        <v>51</v>
      </c>
      <c r="D314">
        <v>0</v>
      </c>
      <c r="E314">
        <v>0</v>
      </c>
      <c r="F314">
        <v>0</v>
      </c>
      <c r="G314">
        <v>0</v>
      </c>
      <c r="H314">
        <v>0</v>
      </c>
      <c r="I314">
        <v>0</v>
      </c>
      <c r="J314">
        <v>0</v>
      </c>
      <c r="K314">
        <v>1</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0</v>
      </c>
      <c r="BG314">
        <v>0</v>
      </c>
      <c r="BH314">
        <v>0</v>
      </c>
      <c r="BI314">
        <v>0</v>
      </c>
      <c r="BJ314">
        <v>0</v>
      </c>
      <c r="BK314">
        <v>0</v>
      </c>
    </row>
    <row r="315" spans="3:63">
      <c r="C315" s="145" t="s">
        <v>895</v>
      </c>
      <c r="D315">
        <v>1</v>
      </c>
      <c r="E315">
        <v>0</v>
      </c>
      <c r="F315">
        <v>0</v>
      </c>
      <c r="G315">
        <v>0</v>
      </c>
      <c r="H315">
        <v>1</v>
      </c>
      <c r="I315">
        <v>0</v>
      </c>
      <c r="J315">
        <v>0</v>
      </c>
      <c r="K315">
        <v>0</v>
      </c>
      <c r="L315">
        <v>0</v>
      </c>
      <c r="M315">
        <v>0</v>
      </c>
      <c r="N315">
        <v>0</v>
      </c>
      <c r="O315">
        <v>0</v>
      </c>
      <c r="P315">
        <v>0</v>
      </c>
      <c r="Q315">
        <v>1</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row>
    <row r="316" spans="3:63">
      <c r="C316" s="145" t="s">
        <v>942</v>
      </c>
      <c r="D316">
        <v>0</v>
      </c>
      <c r="E316">
        <v>0</v>
      </c>
      <c r="F316">
        <v>0</v>
      </c>
      <c r="G316">
        <v>0</v>
      </c>
      <c r="H316">
        <v>0</v>
      </c>
      <c r="I316">
        <v>1</v>
      </c>
      <c r="J316">
        <v>0</v>
      </c>
      <c r="K316">
        <v>0</v>
      </c>
      <c r="L316">
        <v>1</v>
      </c>
      <c r="M316">
        <v>0</v>
      </c>
      <c r="N316">
        <v>1</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row>
    <row r="317" spans="3:63">
      <c r="C317" s="145" t="s">
        <v>26</v>
      </c>
      <c r="D317">
        <v>1</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row>
    <row r="318" spans="3:63">
      <c r="C318" s="145" t="s">
        <v>919</v>
      </c>
      <c r="D318">
        <v>1</v>
      </c>
      <c r="E318">
        <v>0</v>
      </c>
      <c r="F318">
        <v>1</v>
      </c>
      <c r="G318">
        <v>0</v>
      </c>
      <c r="H318">
        <v>0</v>
      </c>
      <c r="I318">
        <v>0</v>
      </c>
      <c r="J318">
        <v>0</v>
      </c>
      <c r="K318">
        <v>0</v>
      </c>
      <c r="L318">
        <v>0</v>
      </c>
      <c r="M318">
        <v>0</v>
      </c>
      <c r="N318">
        <v>0</v>
      </c>
      <c r="O318">
        <v>0</v>
      </c>
      <c r="P318">
        <v>0</v>
      </c>
      <c r="Q318">
        <v>1</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row>
    <row r="319" spans="3:63">
      <c r="C319" s="145" t="s">
        <v>897</v>
      </c>
      <c r="D319">
        <v>1</v>
      </c>
      <c r="E319">
        <v>1</v>
      </c>
      <c r="F319">
        <v>0</v>
      </c>
      <c r="G319">
        <v>0</v>
      </c>
      <c r="H319">
        <v>0</v>
      </c>
      <c r="I319">
        <v>1</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row>
    <row r="320" spans="3:63">
      <c r="C320" s="145" t="s">
        <v>900</v>
      </c>
      <c r="D320">
        <v>1</v>
      </c>
      <c r="E320">
        <v>1</v>
      </c>
      <c r="F320">
        <v>1</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row>
    <row r="321" spans="3:63">
      <c r="C321" s="145" t="s">
        <v>28</v>
      </c>
      <c r="D321">
        <v>0</v>
      </c>
      <c r="E321">
        <v>0</v>
      </c>
      <c r="F321">
        <v>0</v>
      </c>
      <c r="G321">
        <v>0</v>
      </c>
      <c r="H321">
        <v>0</v>
      </c>
      <c r="I321">
        <v>0</v>
      </c>
      <c r="J321">
        <v>0</v>
      </c>
      <c r="K321">
        <v>0</v>
      </c>
      <c r="L321">
        <v>0</v>
      </c>
      <c r="M321">
        <v>0</v>
      </c>
      <c r="N321">
        <v>0</v>
      </c>
      <c r="O321">
        <v>0</v>
      </c>
      <c r="P321">
        <v>0</v>
      </c>
      <c r="Q321">
        <v>1</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row>
    <row r="322" spans="3:63">
      <c r="C322" s="145" t="s">
        <v>36</v>
      </c>
      <c r="D322">
        <v>0</v>
      </c>
      <c r="E322">
        <v>0</v>
      </c>
      <c r="F322">
        <v>0</v>
      </c>
      <c r="G322">
        <v>0</v>
      </c>
      <c r="H322">
        <v>1</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row>
    <row r="323" spans="3:63">
      <c r="C323" s="145" t="s">
        <v>909</v>
      </c>
      <c r="D323">
        <v>0</v>
      </c>
      <c r="E323">
        <v>0</v>
      </c>
      <c r="F323">
        <v>0</v>
      </c>
      <c r="G323">
        <v>0</v>
      </c>
      <c r="H323">
        <v>0</v>
      </c>
      <c r="I323">
        <v>1</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row>
    <row r="324" spans="3:63">
      <c r="C324" s="145" t="s">
        <v>28</v>
      </c>
      <c r="D324">
        <v>0</v>
      </c>
      <c r="E324">
        <v>0</v>
      </c>
      <c r="F324">
        <v>0</v>
      </c>
      <c r="G324">
        <v>0</v>
      </c>
      <c r="H324">
        <v>0</v>
      </c>
      <c r="I324">
        <v>0</v>
      </c>
      <c r="J324">
        <v>0</v>
      </c>
      <c r="K324">
        <v>0</v>
      </c>
      <c r="L324">
        <v>0</v>
      </c>
      <c r="M324">
        <v>0</v>
      </c>
      <c r="N324">
        <v>0</v>
      </c>
      <c r="O324">
        <v>0</v>
      </c>
      <c r="P324">
        <v>0</v>
      </c>
      <c r="Q324">
        <v>1</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row>
    <row r="325" spans="3:63">
      <c r="C325" s="145" t="s">
        <v>897</v>
      </c>
      <c r="D325">
        <v>1</v>
      </c>
      <c r="E325">
        <v>1</v>
      </c>
      <c r="F325">
        <v>0</v>
      </c>
      <c r="G325">
        <v>0</v>
      </c>
      <c r="H325">
        <v>0</v>
      </c>
      <c r="I325">
        <v>1</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row>
    <row r="326" spans="3:63">
      <c r="C326" s="145" t="s">
        <v>943</v>
      </c>
      <c r="D326">
        <v>0</v>
      </c>
      <c r="E326">
        <v>0</v>
      </c>
      <c r="F326">
        <v>0</v>
      </c>
      <c r="G326">
        <v>0</v>
      </c>
      <c r="H326">
        <v>1</v>
      </c>
      <c r="I326">
        <v>0</v>
      </c>
      <c r="J326">
        <v>1</v>
      </c>
      <c r="K326">
        <v>0</v>
      </c>
      <c r="L326">
        <v>1</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row>
    <row r="327" spans="3:63">
      <c r="C327" s="145" t="s">
        <v>47</v>
      </c>
      <c r="D327">
        <v>0</v>
      </c>
      <c r="E327">
        <v>1</v>
      </c>
      <c r="F327">
        <v>0</v>
      </c>
      <c r="G327">
        <v>0</v>
      </c>
      <c r="H327">
        <v>0</v>
      </c>
      <c r="I327">
        <v>0</v>
      </c>
      <c r="J327">
        <v>0</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row>
    <row r="328" spans="3:63">
      <c r="C328" s="145" t="s">
        <v>908</v>
      </c>
      <c r="D328">
        <v>1</v>
      </c>
      <c r="E328">
        <v>1</v>
      </c>
      <c r="F328">
        <v>0</v>
      </c>
      <c r="G328">
        <v>1</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row>
    <row r="329" spans="3:63">
      <c r="C329" s="145" t="s">
        <v>25</v>
      </c>
      <c r="D329">
        <v>0</v>
      </c>
      <c r="E329">
        <v>0</v>
      </c>
      <c r="F329">
        <v>0</v>
      </c>
      <c r="G329">
        <v>0</v>
      </c>
      <c r="H329">
        <v>0</v>
      </c>
      <c r="I329">
        <v>0</v>
      </c>
      <c r="J329">
        <v>0</v>
      </c>
      <c r="K329">
        <v>0</v>
      </c>
      <c r="L329">
        <v>0</v>
      </c>
      <c r="M329">
        <v>1</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row>
    <row r="330" spans="3:63">
      <c r="C330" s="145" t="s">
        <v>52</v>
      </c>
      <c r="D330">
        <v>0</v>
      </c>
      <c r="E330">
        <v>0</v>
      </c>
      <c r="F330">
        <v>0</v>
      </c>
      <c r="G330">
        <v>0</v>
      </c>
      <c r="H330">
        <v>0</v>
      </c>
      <c r="I330">
        <v>0</v>
      </c>
      <c r="J330">
        <v>0</v>
      </c>
      <c r="K330">
        <v>0</v>
      </c>
      <c r="L330">
        <v>0</v>
      </c>
      <c r="M330">
        <v>0</v>
      </c>
      <c r="N330">
        <v>0</v>
      </c>
      <c r="O330">
        <v>1</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row>
    <row r="331" spans="3:63">
      <c r="C331" s="145" t="s">
        <v>26</v>
      </c>
      <c r="D331">
        <v>1</v>
      </c>
      <c r="E331">
        <v>0</v>
      </c>
      <c r="F331">
        <v>0</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row>
    <row r="332" spans="3:63">
      <c r="C332" s="145" t="s">
        <v>48</v>
      </c>
      <c r="D332">
        <v>0</v>
      </c>
      <c r="E332">
        <v>0</v>
      </c>
      <c r="F332">
        <v>1</v>
      </c>
      <c r="G332">
        <v>0</v>
      </c>
      <c r="H332">
        <v>0</v>
      </c>
      <c r="I332">
        <v>0</v>
      </c>
      <c r="J332">
        <v>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row>
    <row r="333" spans="3:63">
      <c r="C333" s="145" t="s">
        <v>896</v>
      </c>
      <c r="D333">
        <v>1</v>
      </c>
      <c r="E333">
        <v>0</v>
      </c>
      <c r="F333">
        <v>0</v>
      </c>
      <c r="G333">
        <v>0</v>
      </c>
      <c r="H333">
        <v>0</v>
      </c>
      <c r="I333">
        <v>0</v>
      </c>
      <c r="J333">
        <v>0</v>
      </c>
      <c r="K333">
        <v>1</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row>
    <row r="334" spans="3:63">
      <c r="C334" s="145" t="s">
        <v>34</v>
      </c>
      <c r="D334">
        <v>0</v>
      </c>
      <c r="E334">
        <v>0</v>
      </c>
      <c r="F334">
        <v>0</v>
      </c>
      <c r="G334">
        <v>0</v>
      </c>
      <c r="H334">
        <v>0</v>
      </c>
      <c r="I334">
        <v>0</v>
      </c>
      <c r="J334">
        <v>1</v>
      </c>
      <c r="K334">
        <v>0</v>
      </c>
      <c r="L334">
        <v>0</v>
      </c>
      <c r="M334">
        <v>0</v>
      </c>
      <c r="N334">
        <v>0</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row>
    <row r="335" spans="3:63">
      <c r="C335" s="145" t="s">
        <v>924</v>
      </c>
      <c r="D335">
        <v>0</v>
      </c>
      <c r="E335">
        <v>0</v>
      </c>
      <c r="F335">
        <v>0</v>
      </c>
      <c r="G335">
        <v>0</v>
      </c>
      <c r="H335">
        <v>0</v>
      </c>
      <c r="I335">
        <v>0</v>
      </c>
      <c r="J335">
        <v>0</v>
      </c>
      <c r="K335">
        <v>0</v>
      </c>
      <c r="L335">
        <v>1</v>
      </c>
      <c r="M335">
        <v>0</v>
      </c>
      <c r="N335">
        <v>1</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row>
    <row r="336" spans="3:63">
      <c r="C336" s="145" t="s">
        <v>942</v>
      </c>
      <c r="D336">
        <v>0</v>
      </c>
      <c r="E336">
        <v>0</v>
      </c>
      <c r="F336">
        <v>0</v>
      </c>
      <c r="G336">
        <v>0</v>
      </c>
      <c r="H336">
        <v>0</v>
      </c>
      <c r="I336">
        <v>1</v>
      </c>
      <c r="J336">
        <v>0</v>
      </c>
      <c r="K336">
        <v>0</v>
      </c>
      <c r="L336">
        <v>1</v>
      </c>
      <c r="M336">
        <v>0</v>
      </c>
      <c r="N336">
        <v>1</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row>
    <row r="337" spans="3:63">
      <c r="C337" s="145" t="s">
        <v>51</v>
      </c>
      <c r="D337">
        <v>0</v>
      </c>
      <c r="E337">
        <v>0</v>
      </c>
      <c r="F337">
        <v>0</v>
      </c>
      <c r="G337">
        <v>0</v>
      </c>
      <c r="H337">
        <v>0</v>
      </c>
      <c r="I337">
        <v>0</v>
      </c>
      <c r="J337">
        <v>0</v>
      </c>
      <c r="K337">
        <v>1</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row>
    <row r="338" spans="3:63">
      <c r="C338" s="145" t="s">
        <v>52</v>
      </c>
      <c r="D338">
        <v>0</v>
      </c>
      <c r="E338">
        <v>0</v>
      </c>
      <c r="F338">
        <v>0</v>
      </c>
      <c r="G338">
        <v>0</v>
      </c>
      <c r="H338">
        <v>0</v>
      </c>
      <c r="I338">
        <v>0</v>
      </c>
      <c r="J338">
        <v>0</v>
      </c>
      <c r="K338">
        <v>0</v>
      </c>
      <c r="L338">
        <v>0</v>
      </c>
      <c r="M338">
        <v>0</v>
      </c>
      <c r="N338">
        <v>0</v>
      </c>
      <c r="O338">
        <v>1</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c r="BJ338">
        <v>0</v>
      </c>
      <c r="BK338">
        <v>0</v>
      </c>
    </row>
    <row r="339" spans="3:63">
      <c r="C339" s="145" t="s">
        <v>905</v>
      </c>
      <c r="D339">
        <v>1</v>
      </c>
      <c r="E339">
        <v>0</v>
      </c>
      <c r="F339">
        <v>1</v>
      </c>
      <c r="G339">
        <v>0</v>
      </c>
      <c r="H339">
        <v>0</v>
      </c>
      <c r="I339">
        <v>0</v>
      </c>
      <c r="J339">
        <v>0</v>
      </c>
      <c r="K339">
        <v>0</v>
      </c>
      <c r="L339">
        <v>0</v>
      </c>
      <c r="M339">
        <v>0</v>
      </c>
      <c r="N339">
        <v>0</v>
      </c>
      <c r="O339">
        <v>1</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v>0</v>
      </c>
      <c r="BK339">
        <v>0</v>
      </c>
    </row>
    <row r="340" spans="3:63">
      <c r="C340" s="145" t="s">
        <v>923</v>
      </c>
      <c r="D340">
        <v>1</v>
      </c>
      <c r="E340">
        <v>0</v>
      </c>
      <c r="F340">
        <v>0</v>
      </c>
      <c r="G340">
        <v>0</v>
      </c>
      <c r="H340">
        <v>1</v>
      </c>
      <c r="I340">
        <v>0</v>
      </c>
      <c r="J340">
        <v>0</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row>
    <row r="341" spans="3:63">
      <c r="C341" s="145" t="s">
        <v>26</v>
      </c>
      <c r="D341">
        <v>1</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row>
    <row r="342" spans="3:63">
      <c r="C342" s="145" t="s">
        <v>26</v>
      </c>
      <c r="D342">
        <v>1</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row>
    <row r="343" spans="3:63">
      <c r="C343" s="145" t="s">
        <v>912</v>
      </c>
      <c r="D343">
        <v>1</v>
      </c>
      <c r="E343">
        <v>0</v>
      </c>
      <c r="F343">
        <v>0</v>
      </c>
      <c r="G343">
        <v>0</v>
      </c>
      <c r="H343">
        <v>0</v>
      </c>
      <c r="I343">
        <v>1</v>
      </c>
      <c r="J343">
        <v>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row>
    <row r="344" spans="3:63">
      <c r="C344" s="145" t="s">
        <v>27</v>
      </c>
      <c r="D344">
        <v>0</v>
      </c>
      <c r="E344">
        <v>0</v>
      </c>
      <c r="F344">
        <v>0</v>
      </c>
      <c r="G344">
        <v>0</v>
      </c>
      <c r="H344">
        <v>0</v>
      </c>
      <c r="I344">
        <v>0</v>
      </c>
      <c r="J344">
        <v>0</v>
      </c>
      <c r="K344">
        <v>0</v>
      </c>
      <c r="L344">
        <v>1</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row>
    <row r="345" spans="3:63">
      <c r="C345" s="145" t="s">
        <v>932</v>
      </c>
      <c r="D345">
        <v>0</v>
      </c>
      <c r="E345">
        <v>1</v>
      </c>
      <c r="F345">
        <v>0</v>
      </c>
      <c r="G345">
        <v>0</v>
      </c>
      <c r="H345">
        <v>0</v>
      </c>
      <c r="I345">
        <v>0</v>
      </c>
      <c r="J345">
        <v>0</v>
      </c>
      <c r="K345">
        <v>0</v>
      </c>
      <c r="L345">
        <v>0</v>
      </c>
      <c r="M345">
        <v>0</v>
      </c>
      <c r="N345">
        <v>0</v>
      </c>
      <c r="O345">
        <v>1</v>
      </c>
      <c r="P345">
        <v>0</v>
      </c>
      <c r="Q345">
        <v>1</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row>
    <row r="346" spans="3:63">
      <c r="C346" s="145" t="s">
        <v>26</v>
      </c>
      <c r="D346">
        <v>1</v>
      </c>
      <c r="E346">
        <v>0</v>
      </c>
      <c r="F346">
        <v>0</v>
      </c>
      <c r="G346">
        <v>0</v>
      </c>
      <c r="H346">
        <v>0</v>
      </c>
      <c r="I346">
        <v>0</v>
      </c>
      <c r="J346">
        <v>0</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row>
    <row r="347" spans="3:63">
      <c r="C347" s="145" t="s">
        <v>26</v>
      </c>
      <c r="D347">
        <v>1</v>
      </c>
      <c r="E347">
        <v>0</v>
      </c>
      <c r="F347">
        <v>0</v>
      </c>
      <c r="G347">
        <v>0</v>
      </c>
      <c r="H347">
        <v>0</v>
      </c>
      <c r="I347">
        <v>0</v>
      </c>
      <c r="J347">
        <v>0</v>
      </c>
      <c r="K347">
        <v>0</v>
      </c>
      <c r="L347">
        <v>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row>
    <row r="348" spans="3:63">
      <c r="C348" s="145" t="s">
        <v>26</v>
      </c>
      <c r="D348">
        <v>1</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row>
    <row r="349" spans="3:63">
      <c r="C349" s="145" t="s">
        <v>930</v>
      </c>
      <c r="D349">
        <v>0</v>
      </c>
      <c r="E349">
        <v>0</v>
      </c>
      <c r="F349">
        <v>0</v>
      </c>
      <c r="G349">
        <v>0</v>
      </c>
      <c r="H349">
        <v>1</v>
      </c>
      <c r="I349">
        <v>0</v>
      </c>
      <c r="J349">
        <v>0</v>
      </c>
      <c r="K349">
        <v>0</v>
      </c>
      <c r="L349">
        <v>0</v>
      </c>
      <c r="M349">
        <v>0</v>
      </c>
      <c r="N349">
        <v>1</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row>
    <row r="350" spans="3:63">
      <c r="C350" s="145" t="s">
        <v>912</v>
      </c>
      <c r="D350">
        <v>1</v>
      </c>
      <c r="E350">
        <v>0</v>
      </c>
      <c r="F350">
        <v>0</v>
      </c>
      <c r="G350">
        <v>0</v>
      </c>
      <c r="H350">
        <v>0</v>
      </c>
      <c r="I350">
        <v>1</v>
      </c>
      <c r="J350">
        <v>0</v>
      </c>
      <c r="K350">
        <v>0</v>
      </c>
      <c r="L350">
        <v>0</v>
      </c>
      <c r="M350">
        <v>0</v>
      </c>
      <c r="N35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row>
    <row r="351" spans="3:63">
      <c r="C351" s="145" t="s">
        <v>38</v>
      </c>
      <c r="D351">
        <v>0</v>
      </c>
      <c r="E351">
        <v>0</v>
      </c>
      <c r="F351">
        <v>0</v>
      </c>
      <c r="G351">
        <v>0</v>
      </c>
      <c r="H351">
        <v>0</v>
      </c>
      <c r="I351">
        <v>0</v>
      </c>
      <c r="J351">
        <v>0</v>
      </c>
      <c r="K351">
        <v>0</v>
      </c>
      <c r="L351">
        <v>0</v>
      </c>
      <c r="M351">
        <v>0</v>
      </c>
      <c r="N351">
        <v>1</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row>
    <row r="352" spans="3:63">
      <c r="C352" s="145" t="s">
        <v>922</v>
      </c>
      <c r="D352">
        <v>1</v>
      </c>
      <c r="E352">
        <v>1</v>
      </c>
      <c r="F352">
        <v>0</v>
      </c>
      <c r="G352">
        <v>0</v>
      </c>
      <c r="H352">
        <v>0</v>
      </c>
      <c r="I352">
        <v>0</v>
      </c>
      <c r="J352">
        <v>0</v>
      </c>
      <c r="K352">
        <v>0</v>
      </c>
      <c r="L352">
        <v>0</v>
      </c>
      <c r="M352">
        <v>0</v>
      </c>
      <c r="N352">
        <v>0</v>
      </c>
      <c r="O352">
        <v>0</v>
      </c>
      <c r="P352">
        <v>0</v>
      </c>
      <c r="Q352">
        <v>1</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row>
    <row r="353" spans="3:63">
      <c r="C353" s="145" t="s">
        <v>26</v>
      </c>
      <c r="D353">
        <v>1</v>
      </c>
      <c r="E353">
        <v>0</v>
      </c>
      <c r="F353">
        <v>0</v>
      </c>
      <c r="G353">
        <v>0</v>
      </c>
      <c r="H353">
        <v>0</v>
      </c>
      <c r="I353">
        <v>0</v>
      </c>
      <c r="J353">
        <v>0</v>
      </c>
      <c r="K353">
        <v>0</v>
      </c>
      <c r="L353">
        <v>0</v>
      </c>
      <c r="M353">
        <v>0</v>
      </c>
      <c r="N353">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row>
    <row r="354" spans="3:63">
      <c r="C354" s="145" t="s">
        <v>51</v>
      </c>
      <c r="D354">
        <v>0</v>
      </c>
      <c r="E354">
        <v>0</v>
      </c>
      <c r="F354">
        <v>0</v>
      </c>
      <c r="G354">
        <v>0</v>
      </c>
      <c r="H354">
        <v>0</v>
      </c>
      <c r="I354">
        <v>0</v>
      </c>
      <c r="J354">
        <v>0</v>
      </c>
      <c r="K354">
        <v>1</v>
      </c>
      <c r="L354">
        <v>0</v>
      </c>
      <c r="M354">
        <v>0</v>
      </c>
      <c r="N354">
        <v>0</v>
      </c>
      <c r="O354">
        <v>0</v>
      </c>
      <c r="P354">
        <v>0</v>
      </c>
      <c r="Q354">
        <v>0</v>
      </c>
      <c r="R354">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row>
    <row r="355" spans="3:63">
      <c r="C355" s="145" t="s">
        <v>26</v>
      </c>
      <c r="D355">
        <v>1</v>
      </c>
      <c r="E355">
        <v>0</v>
      </c>
      <c r="F355">
        <v>0</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row>
    <row r="356" spans="3:63">
      <c r="C356" s="145" t="s">
        <v>26</v>
      </c>
      <c r="D356">
        <v>1</v>
      </c>
      <c r="E356">
        <v>0</v>
      </c>
      <c r="F356">
        <v>0</v>
      </c>
      <c r="G356">
        <v>0</v>
      </c>
      <c r="H356">
        <v>0</v>
      </c>
      <c r="I356">
        <v>0</v>
      </c>
      <c r="J356">
        <v>0</v>
      </c>
      <c r="K356">
        <v>0</v>
      </c>
      <c r="L356">
        <v>0</v>
      </c>
      <c r="M356">
        <v>0</v>
      </c>
      <c r="N356">
        <v>0</v>
      </c>
      <c r="O356">
        <v>0</v>
      </c>
      <c r="P356">
        <v>0</v>
      </c>
      <c r="Q356">
        <v>0</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row>
    <row r="357" spans="3:63">
      <c r="C357" s="145" t="s">
        <v>26</v>
      </c>
      <c r="D357">
        <v>1</v>
      </c>
      <c r="E357">
        <v>0</v>
      </c>
      <c r="F357">
        <v>0</v>
      </c>
      <c r="G357">
        <v>0</v>
      </c>
      <c r="H357">
        <v>0</v>
      </c>
      <c r="I357">
        <v>0</v>
      </c>
      <c r="J357">
        <v>0</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row>
    <row r="358" spans="3:63">
      <c r="C358" s="145" t="s">
        <v>944</v>
      </c>
      <c r="D358">
        <v>0</v>
      </c>
      <c r="E358">
        <v>0</v>
      </c>
      <c r="F358">
        <v>0</v>
      </c>
      <c r="G358">
        <v>0</v>
      </c>
      <c r="H358">
        <v>0</v>
      </c>
      <c r="I358">
        <v>1</v>
      </c>
      <c r="J358">
        <v>0</v>
      </c>
      <c r="K358">
        <v>0</v>
      </c>
      <c r="L358">
        <v>1</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c r="BJ358">
        <v>0</v>
      </c>
      <c r="BK358">
        <v>0</v>
      </c>
    </row>
    <row r="359" spans="3:63">
      <c r="C359" s="145" t="s">
        <v>26</v>
      </c>
      <c r="D359">
        <v>1</v>
      </c>
      <c r="E359">
        <v>0</v>
      </c>
      <c r="F359">
        <v>0</v>
      </c>
      <c r="G359">
        <v>0</v>
      </c>
      <c r="H359">
        <v>0</v>
      </c>
      <c r="I359">
        <v>0</v>
      </c>
      <c r="J359">
        <v>0</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v>0</v>
      </c>
      <c r="BK359">
        <v>0</v>
      </c>
    </row>
    <row r="360" spans="3:63">
      <c r="C360" s="145" t="s">
        <v>32</v>
      </c>
      <c r="D360">
        <v>1</v>
      </c>
      <c r="E360">
        <v>0</v>
      </c>
      <c r="F360">
        <v>0</v>
      </c>
      <c r="G360">
        <v>0</v>
      </c>
      <c r="H360">
        <v>0</v>
      </c>
      <c r="I360">
        <v>0</v>
      </c>
      <c r="J360">
        <v>0</v>
      </c>
      <c r="K360">
        <v>0</v>
      </c>
      <c r="L360">
        <v>0</v>
      </c>
      <c r="M360">
        <v>0</v>
      </c>
      <c r="N360">
        <v>0</v>
      </c>
      <c r="O360">
        <v>0</v>
      </c>
      <c r="P360">
        <v>0</v>
      </c>
      <c r="Q360">
        <v>1</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row>
    <row r="361" spans="3:63">
      <c r="C361" s="145" t="s">
        <v>902</v>
      </c>
      <c r="D361">
        <v>0</v>
      </c>
      <c r="E361">
        <v>1</v>
      </c>
      <c r="F361">
        <v>0</v>
      </c>
      <c r="G361">
        <v>0</v>
      </c>
      <c r="H361">
        <v>0</v>
      </c>
      <c r="I361">
        <v>0</v>
      </c>
      <c r="J361">
        <v>0</v>
      </c>
      <c r="K361">
        <v>0</v>
      </c>
      <c r="L361">
        <v>0</v>
      </c>
      <c r="M361">
        <v>0</v>
      </c>
      <c r="N361">
        <v>0</v>
      </c>
      <c r="O361">
        <v>0</v>
      </c>
      <c r="P361">
        <v>0</v>
      </c>
      <c r="Q361">
        <v>1</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row>
    <row r="362" spans="3:63">
      <c r="C362" s="145" t="s">
        <v>26</v>
      </c>
      <c r="D362">
        <v>1</v>
      </c>
      <c r="E362">
        <v>0</v>
      </c>
      <c r="F362">
        <v>0</v>
      </c>
      <c r="G362">
        <v>0</v>
      </c>
      <c r="H362">
        <v>0</v>
      </c>
      <c r="I362">
        <v>0</v>
      </c>
      <c r="J362">
        <v>0</v>
      </c>
      <c r="K362">
        <v>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row>
    <row r="363" spans="3:63">
      <c r="C363" s="145" t="s">
        <v>27</v>
      </c>
      <c r="D363">
        <v>0</v>
      </c>
      <c r="E363">
        <v>0</v>
      </c>
      <c r="F363">
        <v>0</v>
      </c>
      <c r="G363">
        <v>0</v>
      </c>
      <c r="H363">
        <v>0</v>
      </c>
      <c r="I363">
        <v>0</v>
      </c>
      <c r="J363">
        <v>0</v>
      </c>
      <c r="K363">
        <v>0</v>
      </c>
      <c r="L363">
        <v>1</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row>
    <row r="364" spans="3:63">
      <c r="C364" s="145" t="s">
        <v>25</v>
      </c>
      <c r="D364">
        <v>0</v>
      </c>
      <c r="E364">
        <v>0</v>
      </c>
      <c r="F364">
        <v>0</v>
      </c>
      <c r="G364">
        <v>0</v>
      </c>
      <c r="H364">
        <v>0</v>
      </c>
      <c r="I364">
        <v>0</v>
      </c>
      <c r="J364">
        <v>0</v>
      </c>
      <c r="K364">
        <v>0</v>
      </c>
      <c r="L364">
        <v>0</v>
      </c>
      <c r="M364">
        <v>1</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row>
    <row r="365" spans="3:63">
      <c r="C365" s="145" t="s">
        <v>38</v>
      </c>
      <c r="D365">
        <v>0</v>
      </c>
      <c r="E365">
        <v>0</v>
      </c>
      <c r="F365">
        <v>0</v>
      </c>
      <c r="G365">
        <v>0</v>
      </c>
      <c r="H365">
        <v>0</v>
      </c>
      <c r="I365">
        <v>0</v>
      </c>
      <c r="J365">
        <v>0</v>
      </c>
      <c r="K365">
        <v>0</v>
      </c>
      <c r="L365">
        <v>0</v>
      </c>
      <c r="M365">
        <v>0</v>
      </c>
      <c r="N365">
        <v>1</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row>
    <row r="366" spans="3:63">
      <c r="C366" s="145" t="s">
        <v>30</v>
      </c>
      <c r="D366">
        <v>1</v>
      </c>
      <c r="E366">
        <v>1</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row>
    <row r="367" spans="3:63">
      <c r="C367" s="145" t="s">
        <v>38</v>
      </c>
      <c r="D367">
        <v>0</v>
      </c>
      <c r="E367">
        <v>0</v>
      </c>
      <c r="F367">
        <v>0</v>
      </c>
      <c r="G367">
        <v>0</v>
      </c>
      <c r="H367">
        <v>0</v>
      </c>
      <c r="I367">
        <v>0</v>
      </c>
      <c r="J367">
        <v>0</v>
      </c>
      <c r="K367">
        <v>0</v>
      </c>
      <c r="L367">
        <v>0</v>
      </c>
      <c r="M367">
        <v>0</v>
      </c>
      <c r="N367">
        <v>1</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row>
    <row r="368" spans="3:63">
      <c r="C368" s="145" t="s">
        <v>903</v>
      </c>
      <c r="D368">
        <v>1</v>
      </c>
      <c r="E368">
        <v>1</v>
      </c>
      <c r="F368">
        <v>0</v>
      </c>
      <c r="G368">
        <v>0</v>
      </c>
      <c r="H368">
        <v>1</v>
      </c>
      <c r="I368">
        <v>0</v>
      </c>
      <c r="J368">
        <v>0</v>
      </c>
      <c r="K368">
        <v>0</v>
      </c>
      <c r="L368">
        <v>0</v>
      </c>
      <c r="M368">
        <v>0</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0</v>
      </c>
    </row>
    <row r="369" spans="3:63">
      <c r="C369" s="145" t="s">
        <v>26</v>
      </c>
      <c r="D369">
        <v>1</v>
      </c>
      <c r="E369">
        <v>0</v>
      </c>
      <c r="F369">
        <v>0</v>
      </c>
      <c r="G369">
        <v>0</v>
      </c>
      <c r="H369">
        <v>0</v>
      </c>
      <c r="I369">
        <v>0</v>
      </c>
      <c r="J369">
        <v>0</v>
      </c>
      <c r="K369">
        <v>0</v>
      </c>
      <c r="L369">
        <v>0</v>
      </c>
      <c r="M369">
        <v>0</v>
      </c>
      <c r="N369">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0</v>
      </c>
      <c r="BK369">
        <v>0</v>
      </c>
    </row>
    <row r="370" spans="3:63">
      <c r="C370" s="145" t="s">
        <v>945</v>
      </c>
      <c r="D370">
        <v>0</v>
      </c>
      <c r="E370">
        <v>0</v>
      </c>
      <c r="F370">
        <v>1</v>
      </c>
      <c r="G370">
        <v>0</v>
      </c>
      <c r="H370">
        <v>1</v>
      </c>
      <c r="I370">
        <v>0</v>
      </c>
      <c r="J370">
        <v>0</v>
      </c>
      <c r="K370">
        <v>0</v>
      </c>
      <c r="L370">
        <v>0</v>
      </c>
      <c r="M370">
        <v>0</v>
      </c>
      <c r="N370">
        <v>1</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row>
    <row r="371" spans="3:63">
      <c r="C371" s="145" t="s">
        <v>26</v>
      </c>
      <c r="D371">
        <v>1</v>
      </c>
      <c r="E371">
        <v>0</v>
      </c>
      <c r="F371">
        <v>0</v>
      </c>
      <c r="G371">
        <v>0</v>
      </c>
      <c r="H371">
        <v>0</v>
      </c>
      <c r="I371">
        <v>0</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row>
    <row r="372" spans="3:63">
      <c r="C372" s="145" t="s">
        <v>30</v>
      </c>
      <c r="D372">
        <v>1</v>
      </c>
      <c r="E372">
        <v>1</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row>
    <row r="373" spans="3:63">
      <c r="C373" s="145" t="s">
        <v>26</v>
      </c>
      <c r="D373">
        <v>1</v>
      </c>
      <c r="E373">
        <v>0</v>
      </c>
      <c r="F373">
        <v>0</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row>
    <row r="374" spans="3:63">
      <c r="C374" s="145" t="s">
        <v>946</v>
      </c>
      <c r="D374">
        <v>1</v>
      </c>
      <c r="E374">
        <v>0</v>
      </c>
      <c r="F374">
        <v>0</v>
      </c>
      <c r="G374">
        <v>0</v>
      </c>
      <c r="H374">
        <v>0</v>
      </c>
      <c r="I374">
        <v>0</v>
      </c>
      <c r="J374">
        <v>0</v>
      </c>
      <c r="K374">
        <v>0</v>
      </c>
      <c r="L374">
        <v>0</v>
      </c>
      <c r="M374">
        <v>0</v>
      </c>
      <c r="N374">
        <v>1</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row>
    <row r="375" spans="3:63">
      <c r="C375" s="145" t="s">
        <v>28</v>
      </c>
      <c r="D375">
        <v>0</v>
      </c>
      <c r="E375">
        <v>0</v>
      </c>
      <c r="F375">
        <v>0</v>
      </c>
      <c r="G375">
        <v>0</v>
      </c>
      <c r="H375">
        <v>0</v>
      </c>
      <c r="I375">
        <v>0</v>
      </c>
      <c r="J375">
        <v>0</v>
      </c>
      <c r="K375">
        <v>0</v>
      </c>
      <c r="L375">
        <v>0</v>
      </c>
      <c r="M375">
        <v>0</v>
      </c>
      <c r="N375">
        <v>0</v>
      </c>
      <c r="O375">
        <v>0</v>
      </c>
      <c r="P375">
        <v>0</v>
      </c>
      <c r="Q375">
        <v>1</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row>
    <row r="376" spans="3:63">
      <c r="C376" s="145" t="s">
        <v>30</v>
      </c>
      <c r="D376">
        <v>1</v>
      </c>
      <c r="E376">
        <v>1</v>
      </c>
      <c r="F376">
        <v>0</v>
      </c>
      <c r="G376">
        <v>0</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row>
    <row r="377" spans="3:63">
      <c r="C377" s="145" t="s">
        <v>51</v>
      </c>
      <c r="D377">
        <v>0</v>
      </c>
      <c r="E377">
        <v>0</v>
      </c>
      <c r="F377">
        <v>0</v>
      </c>
      <c r="G377">
        <v>0</v>
      </c>
      <c r="H377">
        <v>0</v>
      </c>
      <c r="I377">
        <v>0</v>
      </c>
      <c r="J377">
        <v>0</v>
      </c>
      <c r="K377">
        <v>1</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row>
    <row r="378" spans="3:63">
      <c r="C378" s="145" t="s">
        <v>51</v>
      </c>
      <c r="D378">
        <v>0</v>
      </c>
      <c r="E378">
        <v>0</v>
      </c>
      <c r="F378">
        <v>0</v>
      </c>
      <c r="G378">
        <v>0</v>
      </c>
      <c r="H378">
        <v>0</v>
      </c>
      <c r="I378">
        <v>0</v>
      </c>
      <c r="J378">
        <v>0</v>
      </c>
      <c r="K378">
        <v>1</v>
      </c>
      <c r="L378">
        <v>0</v>
      </c>
      <c r="M378">
        <v>0</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row>
    <row r="379" spans="3:63">
      <c r="C379" s="145" t="s">
        <v>26</v>
      </c>
      <c r="D379">
        <v>1</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row>
    <row r="380" spans="3:63">
      <c r="C380" s="145" t="s">
        <v>26</v>
      </c>
      <c r="D380">
        <v>1</v>
      </c>
      <c r="E380">
        <v>0</v>
      </c>
      <c r="F380">
        <v>0</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row>
    <row r="381" spans="3:63">
      <c r="C381" s="145" t="s">
        <v>32</v>
      </c>
      <c r="D381">
        <v>1</v>
      </c>
      <c r="E381">
        <v>0</v>
      </c>
      <c r="F381">
        <v>0</v>
      </c>
      <c r="G381">
        <v>0</v>
      </c>
      <c r="H381">
        <v>0</v>
      </c>
      <c r="I381">
        <v>0</v>
      </c>
      <c r="J381">
        <v>0</v>
      </c>
      <c r="K381">
        <v>0</v>
      </c>
      <c r="L381">
        <v>0</v>
      </c>
      <c r="M381">
        <v>0</v>
      </c>
      <c r="N381">
        <v>0</v>
      </c>
      <c r="O381">
        <v>0</v>
      </c>
      <c r="P381">
        <v>0</v>
      </c>
      <c r="Q381">
        <v>1</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row>
    <row r="382" spans="3:63">
      <c r="C382" s="145" t="s">
        <v>26</v>
      </c>
      <c r="D382">
        <v>1</v>
      </c>
      <c r="E382">
        <v>0</v>
      </c>
      <c r="F382">
        <v>0</v>
      </c>
      <c r="G382">
        <v>0</v>
      </c>
      <c r="H382">
        <v>0</v>
      </c>
      <c r="I382">
        <v>0</v>
      </c>
      <c r="J382">
        <v>0</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row>
    <row r="383" spans="3:63">
      <c r="C383" s="145" t="s">
        <v>26</v>
      </c>
      <c r="D383">
        <v>1</v>
      </c>
      <c r="E383">
        <v>0</v>
      </c>
      <c r="F383">
        <v>0</v>
      </c>
      <c r="G383">
        <v>0</v>
      </c>
      <c r="H383">
        <v>0</v>
      </c>
      <c r="I383">
        <v>0</v>
      </c>
      <c r="J383">
        <v>0</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row>
    <row r="384" spans="3:63">
      <c r="C384" s="145" t="s">
        <v>28</v>
      </c>
      <c r="D384">
        <v>0</v>
      </c>
      <c r="E384">
        <v>0</v>
      </c>
      <c r="F384">
        <v>0</v>
      </c>
      <c r="G384">
        <v>0</v>
      </c>
      <c r="H384">
        <v>0</v>
      </c>
      <c r="I384">
        <v>0</v>
      </c>
      <c r="J384">
        <v>0</v>
      </c>
      <c r="K384">
        <v>0</v>
      </c>
      <c r="L384">
        <v>0</v>
      </c>
      <c r="M384">
        <v>0</v>
      </c>
      <c r="N384">
        <v>0</v>
      </c>
      <c r="O384">
        <v>0</v>
      </c>
      <c r="P384">
        <v>0</v>
      </c>
      <c r="Q384">
        <v>1</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row>
    <row r="385" spans="3:63">
      <c r="C385" s="145" t="s">
        <v>32</v>
      </c>
      <c r="D385">
        <v>1</v>
      </c>
      <c r="E385">
        <v>0</v>
      </c>
      <c r="F385">
        <v>0</v>
      </c>
      <c r="G385">
        <v>0</v>
      </c>
      <c r="H385">
        <v>0</v>
      </c>
      <c r="I385">
        <v>0</v>
      </c>
      <c r="J385">
        <v>0</v>
      </c>
      <c r="K385">
        <v>0</v>
      </c>
      <c r="L385">
        <v>0</v>
      </c>
      <c r="M385">
        <v>0</v>
      </c>
      <c r="N385">
        <v>0</v>
      </c>
      <c r="O385">
        <v>0</v>
      </c>
      <c r="P385">
        <v>0</v>
      </c>
      <c r="Q385">
        <v>1</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row>
    <row r="386" spans="3:63">
      <c r="C386" s="145" t="s">
        <v>947</v>
      </c>
      <c r="D386">
        <v>0</v>
      </c>
      <c r="E386">
        <v>1</v>
      </c>
      <c r="F386">
        <v>0</v>
      </c>
      <c r="G386">
        <v>0</v>
      </c>
      <c r="H386">
        <v>0</v>
      </c>
      <c r="I386">
        <v>0</v>
      </c>
      <c r="J386">
        <v>1</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row>
    <row r="387" spans="3:63">
      <c r="C387" s="145" t="s">
        <v>908</v>
      </c>
      <c r="D387">
        <v>1</v>
      </c>
      <c r="E387">
        <v>1</v>
      </c>
      <c r="F387">
        <v>0</v>
      </c>
      <c r="G387">
        <v>1</v>
      </c>
      <c r="H387">
        <v>0</v>
      </c>
      <c r="I387">
        <v>0</v>
      </c>
      <c r="J387">
        <v>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row>
    <row r="388" spans="3:63">
      <c r="C388" s="145" t="s">
        <v>32</v>
      </c>
      <c r="D388">
        <v>1</v>
      </c>
      <c r="E388">
        <v>0</v>
      </c>
      <c r="F388">
        <v>0</v>
      </c>
      <c r="G388">
        <v>0</v>
      </c>
      <c r="H388">
        <v>0</v>
      </c>
      <c r="I388">
        <v>0</v>
      </c>
      <c r="J388">
        <v>0</v>
      </c>
      <c r="K388">
        <v>0</v>
      </c>
      <c r="L388">
        <v>0</v>
      </c>
      <c r="M388">
        <v>0</v>
      </c>
      <c r="N388">
        <v>0</v>
      </c>
      <c r="O388">
        <v>0</v>
      </c>
      <c r="P388">
        <v>0</v>
      </c>
      <c r="Q388">
        <v>1</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row>
    <row r="389" spans="3:63">
      <c r="C389" s="145" t="s">
        <v>30</v>
      </c>
      <c r="D389">
        <v>1</v>
      </c>
      <c r="E389">
        <v>1</v>
      </c>
      <c r="F389">
        <v>0</v>
      </c>
      <c r="G389">
        <v>0</v>
      </c>
      <c r="H389">
        <v>0</v>
      </c>
      <c r="I389">
        <v>0</v>
      </c>
      <c r="J389">
        <v>0</v>
      </c>
      <c r="K389">
        <v>0</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row>
    <row r="390" spans="3:63">
      <c r="C390" s="145" t="s">
        <v>43</v>
      </c>
      <c r="D390">
        <v>1</v>
      </c>
      <c r="E390">
        <v>0</v>
      </c>
      <c r="F390">
        <v>1</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row>
    <row r="391" spans="3:63">
      <c r="C391" s="145" t="s">
        <v>26</v>
      </c>
      <c r="D391">
        <v>1</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row>
    <row r="392" spans="3:63">
      <c r="C392" s="145" t="s">
        <v>908</v>
      </c>
      <c r="D392">
        <v>1</v>
      </c>
      <c r="E392">
        <v>1</v>
      </c>
      <c r="F392">
        <v>0</v>
      </c>
      <c r="G392">
        <v>1</v>
      </c>
      <c r="H392">
        <v>0</v>
      </c>
      <c r="I392">
        <v>0</v>
      </c>
      <c r="J392">
        <v>0</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row>
    <row r="393" spans="3:63">
      <c r="C393" s="145" t="s">
        <v>915</v>
      </c>
      <c r="D393">
        <v>1</v>
      </c>
      <c r="E393">
        <v>0</v>
      </c>
      <c r="F393">
        <v>0</v>
      </c>
      <c r="G393">
        <v>0</v>
      </c>
      <c r="H393">
        <v>0</v>
      </c>
      <c r="I393">
        <v>1</v>
      </c>
      <c r="J393">
        <v>0</v>
      </c>
      <c r="K393">
        <v>0</v>
      </c>
      <c r="L393">
        <v>0</v>
      </c>
      <c r="M393">
        <v>0</v>
      </c>
      <c r="N393">
        <v>0</v>
      </c>
      <c r="O393">
        <v>0</v>
      </c>
      <c r="P393">
        <v>0</v>
      </c>
      <c r="Q393">
        <v>1</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row>
    <row r="394" spans="3:63">
      <c r="C394" s="145" t="s">
        <v>26</v>
      </c>
      <c r="D394">
        <v>1</v>
      </c>
      <c r="E394">
        <v>0</v>
      </c>
      <c r="F394">
        <v>0</v>
      </c>
      <c r="G394">
        <v>0</v>
      </c>
      <c r="H394">
        <v>0</v>
      </c>
      <c r="I394">
        <v>0</v>
      </c>
      <c r="J394">
        <v>0</v>
      </c>
      <c r="K394">
        <v>0</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row>
    <row r="395" spans="3:63">
      <c r="C395" s="145" t="s">
        <v>948</v>
      </c>
      <c r="D395">
        <v>1</v>
      </c>
      <c r="E395">
        <v>0</v>
      </c>
      <c r="F395">
        <v>1</v>
      </c>
      <c r="G395">
        <v>0</v>
      </c>
      <c r="H395">
        <v>1</v>
      </c>
      <c r="I395">
        <v>0</v>
      </c>
      <c r="J395">
        <v>0</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row>
    <row r="396" spans="3:63">
      <c r="C396" s="145" t="s">
        <v>51</v>
      </c>
      <c r="D396">
        <v>0</v>
      </c>
      <c r="E396">
        <v>0</v>
      </c>
      <c r="F396">
        <v>0</v>
      </c>
      <c r="G396">
        <v>0</v>
      </c>
      <c r="H396">
        <v>0</v>
      </c>
      <c r="I396">
        <v>0</v>
      </c>
      <c r="J396">
        <v>0</v>
      </c>
      <c r="K396">
        <v>1</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row>
    <row r="397" spans="3:63">
      <c r="C397" s="145" t="s">
        <v>897</v>
      </c>
      <c r="D397">
        <v>1</v>
      </c>
      <c r="E397">
        <v>1</v>
      </c>
      <c r="F397">
        <v>0</v>
      </c>
      <c r="G397">
        <v>0</v>
      </c>
      <c r="H397">
        <v>0</v>
      </c>
      <c r="I397">
        <v>1</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c r="BJ397">
        <v>0</v>
      </c>
      <c r="BK397">
        <v>0</v>
      </c>
    </row>
    <row r="398" spans="3:63">
      <c r="C398" s="145" t="s">
        <v>38</v>
      </c>
      <c r="D398">
        <v>0</v>
      </c>
      <c r="E398">
        <v>0</v>
      </c>
      <c r="F398">
        <v>0</v>
      </c>
      <c r="G398">
        <v>0</v>
      </c>
      <c r="H398">
        <v>0</v>
      </c>
      <c r="I398">
        <v>0</v>
      </c>
      <c r="J398">
        <v>0</v>
      </c>
      <c r="K398">
        <v>0</v>
      </c>
      <c r="L398">
        <v>0</v>
      </c>
      <c r="M398">
        <v>0</v>
      </c>
      <c r="N398">
        <v>1</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row>
    <row r="399" spans="3:63">
      <c r="C399" s="145" t="s">
        <v>47</v>
      </c>
      <c r="D399">
        <v>0</v>
      </c>
      <c r="E399">
        <v>1</v>
      </c>
      <c r="F399">
        <v>0</v>
      </c>
      <c r="G399">
        <v>0</v>
      </c>
      <c r="H399">
        <v>0</v>
      </c>
      <c r="I399">
        <v>0</v>
      </c>
      <c r="J399">
        <v>0</v>
      </c>
      <c r="K399">
        <v>0</v>
      </c>
      <c r="L399">
        <v>0</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row>
    <row r="400" spans="3:63">
      <c r="C400" s="145" t="s">
        <v>52</v>
      </c>
      <c r="D400">
        <v>0</v>
      </c>
      <c r="E400">
        <v>0</v>
      </c>
      <c r="F400">
        <v>0</v>
      </c>
      <c r="G400">
        <v>0</v>
      </c>
      <c r="H400">
        <v>0</v>
      </c>
      <c r="I400">
        <v>0</v>
      </c>
      <c r="J400">
        <v>0</v>
      </c>
      <c r="K400">
        <v>0</v>
      </c>
      <c r="L400">
        <v>0</v>
      </c>
      <c r="M400">
        <v>0</v>
      </c>
      <c r="N400">
        <v>0</v>
      </c>
      <c r="O400">
        <v>1</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row>
    <row r="401" spans="3:63">
      <c r="C401" s="145" t="s">
        <v>26</v>
      </c>
      <c r="D401">
        <v>1</v>
      </c>
      <c r="E401">
        <v>0</v>
      </c>
      <c r="F401">
        <v>0</v>
      </c>
      <c r="G401">
        <v>0</v>
      </c>
      <c r="H401">
        <v>0</v>
      </c>
      <c r="I401">
        <v>0</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row>
    <row r="402" spans="3:63">
      <c r="C402" s="145" t="s">
        <v>28</v>
      </c>
      <c r="D402">
        <v>0</v>
      </c>
      <c r="E402">
        <v>0</v>
      </c>
      <c r="F402">
        <v>0</v>
      </c>
      <c r="G402">
        <v>0</v>
      </c>
      <c r="H402">
        <v>0</v>
      </c>
      <c r="I402">
        <v>0</v>
      </c>
      <c r="J402">
        <v>0</v>
      </c>
      <c r="K402">
        <v>0</v>
      </c>
      <c r="L402">
        <v>0</v>
      </c>
      <c r="M402">
        <v>0</v>
      </c>
      <c r="N402">
        <v>0</v>
      </c>
      <c r="O402">
        <v>0</v>
      </c>
      <c r="P402">
        <v>0</v>
      </c>
      <c r="Q402">
        <v>1</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row>
    <row r="403" spans="3:63">
      <c r="C403" s="145" t="s">
        <v>26</v>
      </c>
      <c r="D403">
        <v>1</v>
      </c>
      <c r="E403">
        <v>0</v>
      </c>
      <c r="F403">
        <v>0</v>
      </c>
      <c r="G403">
        <v>0</v>
      </c>
      <c r="H403">
        <v>0</v>
      </c>
      <c r="I403">
        <v>0</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row>
    <row r="404" spans="3:63">
      <c r="C404" s="145" t="s">
        <v>28</v>
      </c>
      <c r="D404">
        <v>0</v>
      </c>
      <c r="E404">
        <v>0</v>
      </c>
      <c r="F404">
        <v>0</v>
      </c>
      <c r="G404">
        <v>0</v>
      </c>
      <c r="H404">
        <v>0</v>
      </c>
      <c r="I404">
        <v>0</v>
      </c>
      <c r="J404">
        <v>0</v>
      </c>
      <c r="K404">
        <v>0</v>
      </c>
      <c r="L404">
        <v>0</v>
      </c>
      <c r="M404">
        <v>0</v>
      </c>
      <c r="N404">
        <v>0</v>
      </c>
      <c r="O404">
        <v>0</v>
      </c>
      <c r="P404">
        <v>0</v>
      </c>
      <c r="Q404">
        <v>1</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c r="BJ404">
        <v>0</v>
      </c>
      <c r="BK404">
        <v>0</v>
      </c>
    </row>
    <row r="405" spans="3:63">
      <c r="C405" s="145" t="s">
        <v>50</v>
      </c>
      <c r="D405">
        <v>0</v>
      </c>
      <c r="E405">
        <v>0</v>
      </c>
      <c r="F405">
        <v>0</v>
      </c>
      <c r="G405">
        <v>0</v>
      </c>
      <c r="H405">
        <v>0</v>
      </c>
      <c r="I405">
        <v>0</v>
      </c>
      <c r="J405">
        <v>0</v>
      </c>
      <c r="K405">
        <v>0</v>
      </c>
      <c r="L405">
        <v>0</v>
      </c>
      <c r="M405">
        <v>0</v>
      </c>
      <c r="N405">
        <v>0</v>
      </c>
      <c r="O405">
        <v>0</v>
      </c>
      <c r="P405">
        <v>1</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row>
    <row r="406" spans="3:63">
      <c r="C406" s="145" t="s">
        <v>26</v>
      </c>
      <c r="D406">
        <v>1</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row>
    <row r="407" spans="3:63">
      <c r="C407" s="145" t="s">
        <v>26</v>
      </c>
      <c r="D407">
        <v>1</v>
      </c>
      <c r="E407">
        <v>0</v>
      </c>
      <c r="F407">
        <v>0</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row>
    <row r="408" spans="3:63">
      <c r="C408" s="145" t="s">
        <v>912</v>
      </c>
      <c r="D408">
        <v>1</v>
      </c>
      <c r="E408">
        <v>0</v>
      </c>
      <c r="F408">
        <v>0</v>
      </c>
      <c r="G408">
        <v>0</v>
      </c>
      <c r="H408">
        <v>0</v>
      </c>
      <c r="I408">
        <v>1</v>
      </c>
      <c r="J408">
        <v>0</v>
      </c>
      <c r="K408">
        <v>0</v>
      </c>
      <c r="L408">
        <v>0</v>
      </c>
      <c r="M408">
        <v>0</v>
      </c>
      <c r="N408">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row>
    <row r="409" spans="3:63">
      <c r="C409" s="145" t="s">
        <v>26</v>
      </c>
      <c r="D409">
        <v>1</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c r="BJ409">
        <v>0</v>
      </c>
      <c r="BK409">
        <v>0</v>
      </c>
    </row>
    <row r="410" spans="3:63">
      <c r="C410" s="145" t="s">
        <v>39</v>
      </c>
      <c r="D410">
        <v>0</v>
      </c>
      <c r="E410">
        <v>0</v>
      </c>
      <c r="F410">
        <v>0</v>
      </c>
      <c r="G410">
        <v>1</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row>
    <row r="411" spans="3:63">
      <c r="C411" s="145" t="s">
        <v>30</v>
      </c>
      <c r="D411">
        <v>1</v>
      </c>
      <c r="E411">
        <v>1</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row>
    <row r="412" spans="3:63">
      <c r="C412" s="145" t="s">
        <v>47</v>
      </c>
      <c r="D412">
        <v>0</v>
      </c>
      <c r="E412">
        <v>1</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row>
    <row r="413" spans="3:63">
      <c r="C413" s="145" t="s">
        <v>39</v>
      </c>
      <c r="D413">
        <v>0</v>
      </c>
      <c r="E413">
        <v>0</v>
      </c>
      <c r="F413">
        <v>0</v>
      </c>
      <c r="G413">
        <v>1</v>
      </c>
      <c r="H413">
        <v>0</v>
      </c>
      <c r="I413">
        <v>0</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row>
    <row r="414" spans="3:63">
      <c r="C414" s="145" t="s">
        <v>26</v>
      </c>
      <c r="D414">
        <v>1</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c r="BJ414">
        <v>0</v>
      </c>
      <c r="BK414">
        <v>0</v>
      </c>
    </row>
    <row r="415" spans="3:63">
      <c r="C415" s="145" t="s">
        <v>898</v>
      </c>
      <c r="D415">
        <v>1</v>
      </c>
      <c r="E415">
        <v>0</v>
      </c>
      <c r="F415">
        <v>0</v>
      </c>
      <c r="G415">
        <v>0</v>
      </c>
      <c r="H415">
        <v>0</v>
      </c>
      <c r="I415">
        <v>1</v>
      </c>
      <c r="J415">
        <v>0</v>
      </c>
      <c r="K415">
        <v>0</v>
      </c>
      <c r="L415">
        <v>0</v>
      </c>
      <c r="M415">
        <v>0</v>
      </c>
      <c r="N415">
        <v>0</v>
      </c>
      <c r="O415">
        <v>1</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c r="BJ415">
        <v>0</v>
      </c>
      <c r="BK415">
        <v>0</v>
      </c>
    </row>
    <row r="416" spans="3:63">
      <c r="C416" s="145" t="s">
        <v>909</v>
      </c>
      <c r="D416">
        <v>0</v>
      </c>
      <c r="E416">
        <v>0</v>
      </c>
      <c r="F416">
        <v>0</v>
      </c>
      <c r="G416">
        <v>0</v>
      </c>
      <c r="H416">
        <v>0</v>
      </c>
      <c r="I416">
        <v>1</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row>
    <row r="417" spans="3:63">
      <c r="C417" s="145" t="s">
        <v>28</v>
      </c>
      <c r="D417">
        <v>0</v>
      </c>
      <c r="E417">
        <v>0</v>
      </c>
      <c r="F417">
        <v>0</v>
      </c>
      <c r="G417">
        <v>0</v>
      </c>
      <c r="H417">
        <v>0</v>
      </c>
      <c r="I417">
        <v>0</v>
      </c>
      <c r="J417">
        <v>0</v>
      </c>
      <c r="K417">
        <v>0</v>
      </c>
      <c r="L417">
        <v>0</v>
      </c>
      <c r="M417">
        <v>0</v>
      </c>
      <c r="N417">
        <v>0</v>
      </c>
      <c r="O417">
        <v>0</v>
      </c>
      <c r="P417">
        <v>0</v>
      </c>
      <c r="Q417">
        <v>1</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row>
    <row r="418" spans="3:63">
      <c r="C418" s="145" t="s">
        <v>38</v>
      </c>
      <c r="D418">
        <v>0</v>
      </c>
      <c r="E418">
        <v>0</v>
      </c>
      <c r="F418">
        <v>0</v>
      </c>
      <c r="G418">
        <v>0</v>
      </c>
      <c r="H418">
        <v>0</v>
      </c>
      <c r="I418">
        <v>0</v>
      </c>
      <c r="J418">
        <v>0</v>
      </c>
      <c r="K418">
        <v>0</v>
      </c>
      <c r="L418">
        <v>0</v>
      </c>
      <c r="M418">
        <v>0</v>
      </c>
      <c r="N418">
        <v>1</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row>
    <row r="419" spans="3:63">
      <c r="C419" s="145" t="s">
        <v>949</v>
      </c>
      <c r="D419">
        <v>1</v>
      </c>
      <c r="E419">
        <v>0</v>
      </c>
      <c r="F419">
        <v>1</v>
      </c>
      <c r="G419">
        <v>0</v>
      </c>
      <c r="H419">
        <v>0</v>
      </c>
      <c r="I419">
        <v>0</v>
      </c>
      <c r="J419">
        <v>0</v>
      </c>
      <c r="K419">
        <v>1</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0</v>
      </c>
      <c r="AI419">
        <v>0</v>
      </c>
      <c r="AJ419">
        <v>0</v>
      </c>
      <c r="AK419">
        <v>0</v>
      </c>
      <c r="AL419">
        <v>0</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0</v>
      </c>
      <c r="BJ419">
        <v>0</v>
      </c>
      <c r="BK419">
        <v>0</v>
      </c>
    </row>
    <row r="420" spans="3:63">
      <c r="C420" s="145" t="s">
        <v>26</v>
      </c>
      <c r="D420">
        <v>1</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row>
    <row r="421" spans="3:63">
      <c r="C421" s="145" t="s">
        <v>32</v>
      </c>
      <c r="D421">
        <v>1</v>
      </c>
      <c r="E421">
        <v>0</v>
      </c>
      <c r="F421">
        <v>0</v>
      </c>
      <c r="G421">
        <v>0</v>
      </c>
      <c r="H421">
        <v>0</v>
      </c>
      <c r="I421">
        <v>0</v>
      </c>
      <c r="J421">
        <v>0</v>
      </c>
      <c r="K421">
        <v>0</v>
      </c>
      <c r="L421">
        <v>0</v>
      </c>
      <c r="M421">
        <v>0</v>
      </c>
      <c r="N421">
        <v>0</v>
      </c>
      <c r="O421">
        <v>0</v>
      </c>
      <c r="P421">
        <v>0</v>
      </c>
      <c r="Q421">
        <v>1</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row>
    <row r="422" spans="3:63">
      <c r="C422" s="145" t="s">
        <v>32</v>
      </c>
      <c r="D422">
        <v>1</v>
      </c>
      <c r="E422">
        <v>0</v>
      </c>
      <c r="F422">
        <v>0</v>
      </c>
      <c r="G422">
        <v>0</v>
      </c>
      <c r="H422">
        <v>0</v>
      </c>
      <c r="I422">
        <v>0</v>
      </c>
      <c r="J422">
        <v>0</v>
      </c>
      <c r="K422">
        <v>0</v>
      </c>
      <c r="L422">
        <v>0</v>
      </c>
      <c r="M422">
        <v>0</v>
      </c>
      <c r="N422">
        <v>0</v>
      </c>
      <c r="O422">
        <v>0</v>
      </c>
      <c r="P422">
        <v>0</v>
      </c>
      <c r="Q422">
        <v>1</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row>
    <row r="423" spans="3:63">
      <c r="C423" s="145" t="s">
        <v>948</v>
      </c>
      <c r="D423">
        <v>1</v>
      </c>
      <c r="E423">
        <v>0</v>
      </c>
      <c r="F423">
        <v>1</v>
      </c>
      <c r="G423">
        <v>0</v>
      </c>
      <c r="H423">
        <v>1</v>
      </c>
      <c r="I423">
        <v>0</v>
      </c>
      <c r="J423">
        <v>0</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c r="BJ423">
        <v>0</v>
      </c>
      <c r="BK423">
        <v>0</v>
      </c>
    </row>
    <row r="424" spans="3:63">
      <c r="C424" s="145" t="s">
        <v>26</v>
      </c>
      <c r="D424">
        <v>1</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0</v>
      </c>
      <c r="BJ424">
        <v>0</v>
      </c>
      <c r="BK424">
        <v>0</v>
      </c>
    </row>
    <row r="425" spans="3:63">
      <c r="C425" s="145" t="s">
        <v>28</v>
      </c>
      <c r="D425">
        <v>0</v>
      </c>
      <c r="E425">
        <v>0</v>
      </c>
      <c r="F425">
        <v>0</v>
      </c>
      <c r="G425">
        <v>0</v>
      </c>
      <c r="H425">
        <v>0</v>
      </c>
      <c r="I425">
        <v>0</v>
      </c>
      <c r="J425">
        <v>0</v>
      </c>
      <c r="K425">
        <v>0</v>
      </c>
      <c r="L425">
        <v>0</v>
      </c>
      <c r="M425">
        <v>0</v>
      </c>
      <c r="N425">
        <v>0</v>
      </c>
      <c r="O425">
        <v>0</v>
      </c>
      <c r="P425">
        <v>0</v>
      </c>
      <c r="Q425">
        <v>1</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row>
    <row r="426" spans="3:63">
      <c r="C426" s="145" t="s">
        <v>30</v>
      </c>
      <c r="D426">
        <v>1</v>
      </c>
      <c r="E426">
        <v>1</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c r="BJ426">
        <v>0</v>
      </c>
      <c r="BK426">
        <v>0</v>
      </c>
    </row>
    <row r="427" spans="3:63">
      <c r="C427" s="145" t="s">
        <v>30</v>
      </c>
      <c r="D427">
        <v>1</v>
      </c>
      <c r="E427">
        <v>1</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c r="BJ427">
        <v>0</v>
      </c>
      <c r="BK427">
        <v>0</v>
      </c>
    </row>
    <row r="428" spans="3:63">
      <c r="C428" s="145" t="s">
        <v>26</v>
      </c>
      <c r="D428">
        <v>1</v>
      </c>
      <c r="E428">
        <v>0</v>
      </c>
      <c r="F428">
        <v>0</v>
      </c>
      <c r="G428">
        <v>0</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row>
    <row r="429" spans="3:63">
      <c r="C429" s="145" t="s">
        <v>44</v>
      </c>
      <c r="D429">
        <v>1</v>
      </c>
      <c r="E429">
        <v>1</v>
      </c>
      <c r="F429">
        <v>0</v>
      </c>
      <c r="G429">
        <v>0</v>
      </c>
      <c r="H429">
        <v>0</v>
      </c>
      <c r="I429">
        <v>0</v>
      </c>
      <c r="J429">
        <v>1</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c r="BJ429">
        <v>0</v>
      </c>
      <c r="BK429">
        <v>0</v>
      </c>
    </row>
    <row r="430" spans="3:63">
      <c r="C430" s="145" t="s">
        <v>912</v>
      </c>
      <c r="D430">
        <v>1</v>
      </c>
      <c r="E430">
        <v>0</v>
      </c>
      <c r="F430">
        <v>0</v>
      </c>
      <c r="G430">
        <v>0</v>
      </c>
      <c r="H430">
        <v>0</v>
      </c>
      <c r="I430">
        <v>1</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row>
    <row r="431" spans="3:63">
      <c r="C431" s="145" t="s">
        <v>26</v>
      </c>
      <c r="D431">
        <v>1</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row>
    <row r="432" spans="3:63">
      <c r="C432" s="145" t="s">
        <v>26</v>
      </c>
      <c r="D432">
        <v>1</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c r="BJ432">
        <v>0</v>
      </c>
      <c r="BK432">
        <v>0</v>
      </c>
    </row>
    <row r="433" spans="3:63">
      <c r="C433" s="145" t="s">
        <v>946</v>
      </c>
      <c r="D433">
        <v>1</v>
      </c>
      <c r="E433">
        <v>0</v>
      </c>
      <c r="F433">
        <v>0</v>
      </c>
      <c r="G433">
        <v>0</v>
      </c>
      <c r="H433">
        <v>0</v>
      </c>
      <c r="I433">
        <v>0</v>
      </c>
      <c r="J433">
        <v>0</v>
      </c>
      <c r="K433">
        <v>0</v>
      </c>
      <c r="L433">
        <v>0</v>
      </c>
      <c r="M433">
        <v>0</v>
      </c>
      <c r="N433">
        <v>1</v>
      </c>
      <c r="O433">
        <v>0</v>
      </c>
      <c r="P433">
        <v>0</v>
      </c>
      <c r="Q433">
        <v>0</v>
      </c>
      <c r="R433">
        <v>0</v>
      </c>
      <c r="S433">
        <v>0</v>
      </c>
      <c r="T433">
        <v>0</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c r="BJ433">
        <v>0</v>
      </c>
      <c r="BK433">
        <v>0</v>
      </c>
    </row>
    <row r="434" spans="3:63">
      <c r="C434" s="145" t="s">
        <v>26</v>
      </c>
      <c r="D434">
        <v>1</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c r="BJ434">
        <v>0</v>
      </c>
      <c r="BK434">
        <v>0</v>
      </c>
    </row>
    <row r="435" spans="3:63">
      <c r="C435" s="145" t="s">
        <v>29</v>
      </c>
      <c r="D435">
        <v>1</v>
      </c>
      <c r="E435">
        <v>0</v>
      </c>
      <c r="F435">
        <v>0</v>
      </c>
      <c r="G435">
        <v>0</v>
      </c>
      <c r="H435">
        <v>0</v>
      </c>
      <c r="I435">
        <v>0</v>
      </c>
      <c r="J435">
        <v>0</v>
      </c>
      <c r="K435">
        <v>0</v>
      </c>
      <c r="L435">
        <v>1</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c r="BJ435">
        <v>0</v>
      </c>
      <c r="BK435">
        <v>0</v>
      </c>
    </row>
    <row r="436" spans="3:63">
      <c r="C436" s="145" t="s">
        <v>52</v>
      </c>
      <c r="D436">
        <v>0</v>
      </c>
      <c r="E436">
        <v>0</v>
      </c>
      <c r="F436">
        <v>0</v>
      </c>
      <c r="G436">
        <v>0</v>
      </c>
      <c r="H436">
        <v>0</v>
      </c>
      <c r="I436">
        <v>0</v>
      </c>
      <c r="J436">
        <v>0</v>
      </c>
      <c r="K436">
        <v>0</v>
      </c>
      <c r="L436">
        <v>0</v>
      </c>
      <c r="M436">
        <v>0</v>
      </c>
      <c r="N436">
        <v>0</v>
      </c>
      <c r="O436">
        <v>1</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c r="BJ436">
        <v>0</v>
      </c>
      <c r="BK436">
        <v>0</v>
      </c>
    </row>
    <row r="437" spans="3:63">
      <c r="C437" s="145" t="s">
        <v>26</v>
      </c>
      <c r="D437">
        <v>1</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c r="BJ437">
        <v>0</v>
      </c>
      <c r="BK437">
        <v>0</v>
      </c>
    </row>
    <row r="438" spans="3:63">
      <c r="C438" s="145" t="s">
        <v>908</v>
      </c>
      <c r="D438">
        <v>1</v>
      </c>
      <c r="E438">
        <v>1</v>
      </c>
      <c r="F438">
        <v>0</v>
      </c>
      <c r="G438">
        <v>1</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c r="BJ438">
        <v>0</v>
      </c>
      <c r="BK438">
        <v>0</v>
      </c>
    </row>
    <row r="439" spans="3:63">
      <c r="C439" s="145" t="s">
        <v>32</v>
      </c>
      <c r="D439">
        <v>1</v>
      </c>
      <c r="E439">
        <v>0</v>
      </c>
      <c r="F439">
        <v>0</v>
      </c>
      <c r="G439">
        <v>0</v>
      </c>
      <c r="H439">
        <v>0</v>
      </c>
      <c r="I439">
        <v>0</v>
      </c>
      <c r="J439">
        <v>0</v>
      </c>
      <c r="K439">
        <v>0</v>
      </c>
      <c r="L439">
        <v>0</v>
      </c>
      <c r="M439">
        <v>0</v>
      </c>
      <c r="N439">
        <v>0</v>
      </c>
      <c r="O439">
        <v>0</v>
      </c>
      <c r="P439">
        <v>0</v>
      </c>
      <c r="Q439">
        <v>1</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0</v>
      </c>
      <c r="BJ439">
        <v>0</v>
      </c>
      <c r="BK439">
        <v>0</v>
      </c>
    </row>
    <row r="440" spans="3:63">
      <c r="C440" s="145" t="s">
        <v>47</v>
      </c>
      <c r="D440">
        <v>0</v>
      </c>
      <c r="E440">
        <v>1</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c r="BJ440">
        <v>0</v>
      </c>
      <c r="BK440">
        <v>0</v>
      </c>
    </row>
    <row r="441" spans="3:63">
      <c r="C441" s="145" t="s">
        <v>26</v>
      </c>
      <c r="D441">
        <v>1</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c r="BJ441">
        <v>0</v>
      </c>
      <c r="BK441">
        <v>0</v>
      </c>
    </row>
    <row r="442" spans="3:63">
      <c r="C442" s="145" t="s">
        <v>912</v>
      </c>
      <c r="D442">
        <v>1</v>
      </c>
      <c r="E442">
        <v>0</v>
      </c>
      <c r="F442">
        <v>0</v>
      </c>
      <c r="G442">
        <v>0</v>
      </c>
      <c r="H442">
        <v>0</v>
      </c>
      <c r="I442">
        <v>1</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c r="BJ442">
        <v>0</v>
      </c>
      <c r="BK442">
        <v>0</v>
      </c>
    </row>
    <row r="443" spans="3:63">
      <c r="C443" s="145" t="s">
        <v>52</v>
      </c>
      <c r="D443">
        <v>0</v>
      </c>
      <c r="E443">
        <v>0</v>
      </c>
      <c r="F443">
        <v>0</v>
      </c>
      <c r="G443">
        <v>0</v>
      </c>
      <c r="H443">
        <v>0</v>
      </c>
      <c r="I443">
        <v>0</v>
      </c>
      <c r="J443">
        <v>0</v>
      </c>
      <c r="K443">
        <v>0</v>
      </c>
      <c r="L443">
        <v>0</v>
      </c>
      <c r="M443">
        <v>0</v>
      </c>
      <c r="N443">
        <v>0</v>
      </c>
      <c r="O443">
        <v>1</v>
      </c>
      <c r="P443">
        <v>0</v>
      </c>
      <c r="Q443">
        <v>0</v>
      </c>
      <c r="R443">
        <v>0</v>
      </c>
      <c r="S443">
        <v>0</v>
      </c>
      <c r="T443">
        <v>0</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c r="BJ443">
        <v>0</v>
      </c>
      <c r="BK443">
        <v>0</v>
      </c>
    </row>
    <row r="444" spans="3:63">
      <c r="C444" s="145" t="s">
        <v>27</v>
      </c>
      <c r="D444">
        <v>0</v>
      </c>
      <c r="E444">
        <v>0</v>
      </c>
      <c r="F444">
        <v>0</v>
      </c>
      <c r="G444">
        <v>0</v>
      </c>
      <c r="H444">
        <v>0</v>
      </c>
      <c r="I444">
        <v>0</v>
      </c>
      <c r="J444">
        <v>0</v>
      </c>
      <c r="K444">
        <v>0</v>
      </c>
      <c r="L444">
        <v>1</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0</v>
      </c>
      <c r="BJ444">
        <v>0</v>
      </c>
      <c r="BK444">
        <v>0</v>
      </c>
    </row>
    <row r="445" spans="3:63">
      <c r="C445" s="145" t="s">
        <v>38</v>
      </c>
      <c r="D445">
        <v>0</v>
      </c>
      <c r="E445">
        <v>0</v>
      </c>
      <c r="F445">
        <v>0</v>
      </c>
      <c r="G445">
        <v>0</v>
      </c>
      <c r="H445">
        <v>0</v>
      </c>
      <c r="I445">
        <v>0</v>
      </c>
      <c r="J445">
        <v>0</v>
      </c>
      <c r="K445">
        <v>0</v>
      </c>
      <c r="L445">
        <v>0</v>
      </c>
      <c r="M445">
        <v>0</v>
      </c>
      <c r="N445">
        <v>1</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c r="BJ445">
        <v>0</v>
      </c>
      <c r="BK445">
        <v>0</v>
      </c>
    </row>
    <row r="446" spans="3:63">
      <c r="C446" s="145" t="s">
        <v>26</v>
      </c>
      <c r="D446">
        <v>1</v>
      </c>
      <c r="E446">
        <v>0</v>
      </c>
      <c r="F446">
        <v>0</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c r="BJ446">
        <v>0</v>
      </c>
      <c r="BK446">
        <v>0</v>
      </c>
    </row>
    <row r="447" spans="3:63">
      <c r="C447" s="145" t="s">
        <v>909</v>
      </c>
      <c r="D447">
        <v>0</v>
      </c>
      <c r="E447">
        <v>0</v>
      </c>
      <c r="F447">
        <v>0</v>
      </c>
      <c r="G447">
        <v>0</v>
      </c>
      <c r="H447">
        <v>0</v>
      </c>
      <c r="I447">
        <v>1</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c r="BJ447">
        <v>0</v>
      </c>
      <c r="BK447">
        <v>0</v>
      </c>
    </row>
    <row r="448" spans="3:63">
      <c r="C448" s="145" t="s">
        <v>28</v>
      </c>
      <c r="D448">
        <v>0</v>
      </c>
      <c r="E448">
        <v>0</v>
      </c>
      <c r="F448">
        <v>0</v>
      </c>
      <c r="G448">
        <v>0</v>
      </c>
      <c r="H448">
        <v>0</v>
      </c>
      <c r="I448">
        <v>0</v>
      </c>
      <c r="J448">
        <v>0</v>
      </c>
      <c r="K448">
        <v>0</v>
      </c>
      <c r="L448">
        <v>0</v>
      </c>
      <c r="M448">
        <v>0</v>
      </c>
      <c r="N448">
        <v>0</v>
      </c>
      <c r="O448">
        <v>0</v>
      </c>
      <c r="P448">
        <v>0</v>
      </c>
      <c r="Q448">
        <v>1</v>
      </c>
      <c r="R448">
        <v>0</v>
      </c>
      <c r="S448">
        <v>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c r="BJ448">
        <v>0</v>
      </c>
      <c r="BK448">
        <v>0</v>
      </c>
    </row>
    <row r="449" spans="3:63">
      <c r="C449" s="145" t="s">
        <v>915</v>
      </c>
      <c r="D449">
        <v>1</v>
      </c>
      <c r="E449">
        <v>0</v>
      </c>
      <c r="F449">
        <v>0</v>
      </c>
      <c r="G449">
        <v>0</v>
      </c>
      <c r="H449">
        <v>0</v>
      </c>
      <c r="I449">
        <v>1</v>
      </c>
      <c r="J449">
        <v>0</v>
      </c>
      <c r="K449">
        <v>0</v>
      </c>
      <c r="L449">
        <v>0</v>
      </c>
      <c r="M449">
        <v>0</v>
      </c>
      <c r="N449">
        <v>0</v>
      </c>
      <c r="O449">
        <v>0</v>
      </c>
      <c r="P449">
        <v>0</v>
      </c>
      <c r="Q449">
        <v>1</v>
      </c>
      <c r="R449">
        <v>0</v>
      </c>
      <c r="S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0</v>
      </c>
      <c r="BJ449">
        <v>0</v>
      </c>
      <c r="BK449">
        <v>0</v>
      </c>
    </row>
    <row r="450" spans="3:63">
      <c r="C450" s="145" t="s">
        <v>51</v>
      </c>
      <c r="D450">
        <v>0</v>
      </c>
      <c r="E450">
        <v>0</v>
      </c>
      <c r="F450">
        <v>0</v>
      </c>
      <c r="G450">
        <v>0</v>
      </c>
      <c r="H450">
        <v>0</v>
      </c>
      <c r="I450">
        <v>0</v>
      </c>
      <c r="J450">
        <v>0</v>
      </c>
      <c r="K450">
        <v>1</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0</v>
      </c>
      <c r="BD450">
        <v>0</v>
      </c>
      <c r="BE450">
        <v>0</v>
      </c>
      <c r="BF450">
        <v>0</v>
      </c>
      <c r="BG450">
        <v>0</v>
      </c>
      <c r="BH450">
        <v>0</v>
      </c>
      <c r="BI450">
        <v>0</v>
      </c>
      <c r="BJ450">
        <v>0</v>
      </c>
      <c r="BK450">
        <v>0</v>
      </c>
    </row>
    <row r="451" spans="3:63">
      <c r="C451" s="145" t="s">
        <v>950</v>
      </c>
      <c r="D451">
        <v>0</v>
      </c>
      <c r="E451">
        <v>1</v>
      </c>
      <c r="F451">
        <v>0</v>
      </c>
      <c r="G451">
        <v>0</v>
      </c>
      <c r="H451">
        <v>0</v>
      </c>
      <c r="I451">
        <v>0</v>
      </c>
      <c r="J451">
        <v>0</v>
      </c>
      <c r="K451">
        <v>0</v>
      </c>
      <c r="L451">
        <v>0</v>
      </c>
      <c r="M451">
        <v>0</v>
      </c>
      <c r="N451">
        <v>1</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c r="BJ451">
        <v>0</v>
      </c>
      <c r="BK451">
        <v>0</v>
      </c>
    </row>
    <row r="452" spans="3:63">
      <c r="C452" s="145" t="s">
        <v>26</v>
      </c>
      <c r="D452">
        <v>1</v>
      </c>
      <c r="E452">
        <v>0</v>
      </c>
      <c r="F452">
        <v>0</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c r="BJ452">
        <v>0</v>
      </c>
      <c r="BK452">
        <v>0</v>
      </c>
    </row>
    <row r="453" spans="3:63">
      <c r="C453" s="145" t="s">
        <v>50</v>
      </c>
      <c r="D453">
        <v>0</v>
      </c>
      <c r="E453">
        <v>0</v>
      </c>
      <c r="F453">
        <v>0</v>
      </c>
      <c r="G453">
        <v>0</v>
      </c>
      <c r="H453">
        <v>0</v>
      </c>
      <c r="I453">
        <v>0</v>
      </c>
      <c r="J453">
        <v>0</v>
      </c>
      <c r="K453">
        <v>0</v>
      </c>
      <c r="L453">
        <v>0</v>
      </c>
      <c r="M453">
        <v>0</v>
      </c>
      <c r="N453">
        <v>0</v>
      </c>
      <c r="O453">
        <v>0</v>
      </c>
      <c r="P453">
        <v>1</v>
      </c>
      <c r="Q453">
        <v>0</v>
      </c>
      <c r="R453">
        <v>0</v>
      </c>
      <c r="S453">
        <v>0</v>
      </c>
      <c r="T453">
        <v>0</v>
      </c>
      <c r="U453">
        <v>0</v>
      </c>
      <c r="V453">
        <v>0</v>
      </c>
      <c r="W453">
        <v>0</v>
      </c>
      <c r="X453">
        <v>0</v>
      </c>
      <c r="Y453">
        <v>0</v>
      </c>
      <c r="Z453">
        <v>0</v>
      </c>
      <c r="AA453">
        <v>0</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c r="BJ453">
        <v>0</v>
      </c>
      <c r="BK453">
        <v>0</v>
      </c>
    </row>
    <row r="454" spans="3:63">
      <c r="C454" s="145" t="s">
        <v>53</v>
      </c>
      <c r="D454">
        <v>0</v>
      </c>
      <c r="E454">
        <v>1</v>
      </c>
      <c r="F454">
        <v>0</v>
      </c>
      <c r="G454">
        <v>1</v>
      </c>
      <c r="H454">
        <v>0</v>
      </c>
      <c r="I454">
        <v>0</v>
      </c>
      <c r="J454">
        <v>0</v>
      </c>
      <c r="K454">
        <v>0</v>
      </c>
      <c r="L454">
        <v>0</v>
      </c>
      <c r="M454">
        <v>0</v>
      </c>
      <c r="N454">
        <v>0</v>
      </c>
      <c r="O454">
        <v>0</v>
      </c>
      <c r="P454">
        <v>0</v>
      </c>
      <c r="Q454">
        <v>0</v>
      </c>
      <c r="R454">
        <v>0</v>
      </c>
      <c r="S454">
        <v>0</v>
      </c>
      <c r="T454">
        <v>0</v>
      </c>
      <c r="U454">
        <v>0</v>
      </c>
      <c r="V454">
        <v>0</v>
      </c>
      <c r="W454">
        <v>0</v>
      </c>
      <c r="X454">
        <v>0</v>
      </c>
      <c r="Y454">
        <v>0</v>
      </c>
      <c r="Z454">
        <v>0</v>
      </c>
      <c r="AA454">
        <v>0</v>
      </c>
      <c r="AB454">
        <v>0</v>
      </c>
      <c r="AC454">
        <v>0</v>
      </c>
      <c r="AD454">
        <v>0</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0</v>
      </c>
      <c r="BD454">
        <v>0</v>
      </c>
      <c r="BE454">
        <v>0</v>
      </c>
      <c r="BF454">
        <v>0</v>
      </c>
      <c r="BG454">
        <v>0</v>
      </c>
      <c r="BH454">
        <v>0</v>
      </c>
      <c r="BI454">
        <v>0</v>
      </c>
      <c r="BJ454">
        <v>0</v>
      </c>
      <c r="BK454">
        <v>0</v>
      </c>
    </row>
    <row r="455" spans="3:63">
      <c r="C455" s="145" t="s">
        <v>26</v>
      </c>
      <c r="D455">
        <v>1</v>
      </c>
      <c r="E455">
        <v>0</v>
      </c>
      <c r="F455">
        <v>0</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c r="BJ455">
        <v>0</v>
      </c>
      <c r="BK455">
        <v>0</v>
      </c>
    </row>
    <row r="456" spans="3:63">
      <c r="C456" s="145" t="s">
        <v>897</v>
      </c>
      <c r="D456">
        <v>1</v>
      </c>
      <c r="E456">
        <v>1</v>
      </c>
      <c r="F456">
        <v>0</v>
      </c>
      <c r="G456">
        <v>0</v>
      </c>
      <c r="H456">
        <v>0</v>
      </c>
      <c r="I456">
        <v>1</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0</v>
      </c>
      <c r="AX456">
        <v>0</v>
      </c>
      <c r="AY456">
        <v>0</v>
      </c>
      <c r="AZ456">
        <v>0</v>
      </c>
      <c r="BA456">
        <v>0</v>
      </c>
      <c r="BB456">
        <v>0</v>
      </c>
      <c r="BC456">
        <v>0</v>
      </c>
      <c r="BD456">
        <v>0</v>
      </c>
      <c r="BE456">
        <v>0</v>
      </c>
      <c r="BF456">
        <v>0</v>
      </c>
      <c r="BG456">
        <v>0</v>
      </c>
      <c r="BH456">
        <v>0</v>
      </c>
      <c r="BI456">
        <v>0</v>
      </c>
      <c r="BJ456">
        <v>0</v>
      </c>
      <c r="BK456">
        <v>0</v>
      </c>
    </row>
    <row r="457" spans="3:63">
      <c r="C457" s="145" t="s">
        <v>26</v>
      </c>
      <c r="D457">
        <v>1</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c r="BJ457">
        <v>0</v>
      </c>
      <c r="BK457">
        <v>0</v>
      </c>
    </row>
    <row r="458" spans="3:63">
      <c r="C458" s="145" t="s">
        <v>47</v>
      </c>
      <c r="D458">
        <v>0</v>
      </c>
      <c r="E458">
        <v>1</v>
      </c>
      <c r="F458">
        <v>0</v>
      </c>
      <c r="G458">
        <v>0</v>
      </c>
      <c r="H458">
        <v>0</v>
      </c>
      <c r="I458">
        <v>0</v>
      </c>
      <c r="J458">
        <v>0</v>
      </c>
      <c r="K458">
        <v>0</v>
      </c>
      <c r="L458">
        <v>0</v>
      </c>
      <c r="M458">
        <v>0</v>
      </c>
      <c r="N458">
        <v>0</v>
      </c>
      <c r="O458">
        <v>0</v>
      </c>
      <c r="P458">
        <v>0</v>
      </c>
      <c r="Q458">
        <v>0</v>
      </c>
      <c r="R458">
        <v>0</v>
      </c>
      <c r="S458">
        <v>0</v>
      </c>
      <c r="T458">
        <v>0</v>
      </c>
      <c r="U458">
        <v>0</v>
      </c>
      <c r="V458">
        <v>0</v>
      </c>
      <c r="W458">
        <v>0</v>
      </c>
      <c r="X458">
        <v>0</v>
      </c>
      <c r="Y458">
        <v>0</v>
      </c>
      <c r="Z458">
        <v>0</v>
      </c>
      <c r="AA458">
        <v>0</v>
      </c>
      <c r="AB458">
        <v>0</v>
      </c>
      <c r="AC458">
        <v>0</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c r="BJ458">
        <v>0</v>
      </c>
      <c r="BK458">
        <v>0</v>
      </c>
    </row>
    <row r="459" spans="3:63">
      <c r="C459" s="145" t="s">
        <v>26</v>
      </c>
      <c r="D459">
        <v>1</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0</v>
      </c>
      <c r="AO459">
        <v>0</v>
      </c>
      <c r="AP459">
        <v>0</v>
      </c>
      <c r="AQ459">
        <v>0</v>
      </c>
      <c r="AR459">
        <v>0</v>
      </c>
      <c r="AS459">
        <v>0</v>
      </c>
      <c r="AT459">
        <v>0</v>
      </c>
      <c r="AU459">
        <v>0</v>
      </c>
      <c r="AV459">
        <v>0</v>
      </c>
      <c r="AW459">
        <v>0</v>
      </c>
      <c r="AX459">
        <v>0</v>
      </c>
      <c r="AY459">
        <v>0</v>
      </c>
      <c r="AZ459">
        <v>0</v>
      </c>
      <c r="BA459">
        <v>0</v>
      </c>
      <c r="BB459">
        <v>0</v>
      </c>
      <c r="BC459">
        <v>0</v>
      </c>
      <c r="BD459">
        <v>0</v>
      </c>
      <c r="BE459">
        <v>0</v>
      </c>
      <c r="BF459">
        <v>0</v>
      </c>
      <c r="BG459">
        <v>0</v>
      </c>
      <c r="BH459">
        <v>0</v>
      </c>
      <c r="BI459">
        <v>0</v>
      </c>
      <c r="BJ459">
        <v>0</v>
      </c>
      <c r="BK459">
        <v>0</v>
      </c>
    </row>
    <row r="460" spans="3:63">
      <c r="C460" s="145" t="s">
        <v>930</v>
      </c>
      <c r="D460">
        <v>0</v>
      </c>
      <c r="E460">
        <v>0</v>
      </c>
      <c r="F460">
        <v>0</v>
      </c>
      <c r="G460">
        <v>0</v>
      </c>
      <c r="H460">
        <v>1</v>
      </c>
      <c r="I460">
        <v>0</v>
      </c>
      <c r="J460">
        <v>0</v>
      </c>
      <c r="K460">
        <v>0</v>
      </c>
      <c r="L460">
        <v>0</v>
      </c>
      <c r="M460">
        <v>0</v>
      </c>
      <c r="N460">
        <v>1</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c r="BJ460">
        <v>0</v>
      </c>
      <c r="BK460">
        <v>0</v>
      </c>
    </row>
    <row r="461" spans="3:63">
      <c r="C461" s="145" t="s">
        <v>26</v>
      </c>
      <c r="D461">
        <v>1</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v>0</v>
      </c>
      <c r="BH461">
        <v>0</v>
      </c>
      <c r="BI461">
        <v>0</v>
      </c>
      <c r="BJ461">
        <v>0</v>
      </c>
      <c r="BK461">
        <v>0</v>
      </c>
    </row>
    <row r="462" spans="3:63">
      <c r="C462" s="145" t="s">
        <v>26</v>
      </c>
      <c r="D462">
        <v>1</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v>0</v>
      </c>
      <c r="BH462">
        <v>0</v>
      </c>
      <c r="BI462">
        <v>0</v>
      </c>
      <c r="BJ462">
        <v>0</v>
      </c>
      <c r="BK462">
        <v>0</v>
      </c>
    </row>
    <row r="463" spans="3:63">
      <c r="C463" s="145" t="s">
        <v>26</v>
      </c>
      <c r="D463">
        <v>1</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c r="BJ463">
        <v>0</v>
      </c>
      <c r="BK463">
        <v>0</v>
      </c>
    </row>
    <row r="464" spans="3:63">
      <c r="C464" s="145" t="s">
        <v>26</v>
      </c>
      <c r="D464">
        <v>1</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0</v>
      </c>
      <c r="BJ464">
        <v>0</v>
      </c>
      <c r="BK464">
        <v>0</v>
      </c>
    </row>
    <row r="465" spans="3:63">
      <c r="C465" s="145" t="s">
        <v>32</v>
      </c>
      <c r="D465">
        <v>1</v>
      </c>
      <c r="E465">
        <v>0</v>
      </c>
      <c r="F465">
        <v>0</v>
      </c>
      <c r="G465">
        <v>0</v>
      </c>
      <c r="H465">
        <v>0</v>
      </c>
      <c r="I465">
        <v>0</v>
      </c>
      <c r="J465">
        <v>0</v>
      </c>
      <c r="K465">
        <v>0</v>
      </c>
      <c r="L465">
        <v>0</v>
      </c>
      <c r="M465">
        <v>0</v>
      </c>
      <c r="N465">
        <v>0</v>
      </c>
      <c r="O465">
        <v>0</v>
      </c>
      <c r="P465">
        <v>0</v>
      </c>
      <c r="Q465">
        <v>1</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c r="BJ465">
        <v>0</v>
      </c>
      <c r="BK465">
        <v>0</v>
      </c>
    </row>
    <row r="466" spans="3:63">
      <c r="C466" s="145" t="s">
        <v>918</v>
      </c>
      <c r="D466">
        <v>0</v>
      </c>
      <c r="E466">
        <v>0</v>
      </c>
      <c r="F466">
        <v>0</v>
      </c>
      <c r="G466">
        <v>0</v>
      </c>
      <c r="H466">
        <v>0</v>
      </c>
      <c r="I466">
        <v>0</v>
      </c>
      <c r="J466">
        <v>0</v>
      </c>
      <c r="K466">
        <v>0</v>
      </c>
      <c r="L466">
        <v>1</v>
      </c>
      <c r="M466">
        <v>1</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c r="BJ466">
        <v>0</v>
      </c>
      <c r="BK466">
        <v>0</v>
      </c>
    </row>
    <row r="467" spans="3:63">
      <c r="C467" s="145" t="s">
        <v>897</v>
      </c>
      <c r="D467">
        <v>1</v>
      </c>
      <c r="E467">
        <v>1</v>
      </c>
      <c r="F467">
        <v>0</v>
      </c>
      <c r="G467">
        <v>0</v>
      </c>
      <c r="H467">
        <v>0</v>
      </c>
      <c r="I467">
        <v>1</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c r="BJ467">
        <v>0</v>
      </c>
      <c r="BK467">
        <v>0</v>
      </c>
    </row>
    <row r="468" spans="3:63">
      <c r="C468" s="145" t="s">
        <v>47</v>
      </c>
      <c r="D468">
        <v>0</v>
      </c>
      <c r="E468">
        <v>1</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v>0</v>
      </c>
      <c r="BH468">
        <v>0</v>
      </c>
      <c r="BI468">
        <v>0</v>
      </c>
      <c r="BJ468">
        <v>0</v>
      </c>
      <c r="BK468">
        <v>0</v>
      </c>
    </row>
    <row r="469" spans="3:63">
      <c r="C469" s="145" t="s">
        <v>26</v>
      </c>
      <c r="D469">
        <v>1</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v>0</v>
      </c>
      <c r="BH469">
        <v>0</v>
      </c>
      <c r="BI469">
        <v>0</v>
      </c>
      <c r="BJ469">
        <v>0</v>
      </c>
      <c r="BK469">
        <v>0</v>
      </c>
    </row>
    <row r="470" spans="3:63">
      <c r="C470" s="145" t="s">
        <v>30</v>
      </c>
      <c r="D470">
        <v>1</v>
      </c>
      <c r="E470">
        <v>1</v>
      </c>
      <c r="F470">
        <v>0</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v>0</v>
      </c>
      <c r="BH470">
        <v>0</v>
      </c>
      <c r="BI470">
        <v>0</v>
      </c>
      <c r="BJ470">
        <v>0</v>
      </c>
      <c r="BK470">
        <v>0</v>
      </c>
    </row>
    <row r="471" spans="3:63">
      <c r="C471" s="145" t="s">
        <v>26</v>
      </c>
      <c r="D471">
        <v>1</v>
      </c>
      <c r="E471">
        <v>0</v>
      </c>
      <c r="F471">
        <v>0</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c r="BJ471">
        <v>0</v>
      </c>
      <c r="BK471">
        <v>0</v>
      </c>
    </row>
    <row r="472" spans="3:63">
      <c r="C472" s="145" t="s">
        <v>26</v>
      </c>
      <c r="D472">
        <v>1</v>
      </c>
      <c r="E472">
        <v>0</v>
      </c>
      <c r="F472">
        <v>0</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c r="BJ472">
        <v>0</v>
      </c>
      <c r="BK472">
        <v>0</v>
      </c>
    </row>
    <row r="473" spans="3:63">
      <c r="C473" s="145" t="s">
        <v>916</v>
      </c>
      <c r="D473">
        <v>1</v>
      </c>
      <c r="E473">
        <v>0</v>
      </c>
      <c r="F473">
        <v>0</v>
      </c>
      <c r="G473">
        <v>0</v>
      </c>
      <c r="H473">
        <v>1</v>
      </c>
      <c r="I473">
        <v>1</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c r="BJ473">
        <v>0</v>
      </c>
      <c r="BK473">
        <v>0</v>
      </c>
    </row>
    <row r="474" spans="3:63">
      <c r="C474" s="145" t="s">
        <v>29</v>
      </c>
      <c r="D474">
        <v>1</v>
      </c>
      <c r="E474">
        <v>0</v>
      </c>
      <c r="F474">
        <v>0</v>
      </c>
      <c r="G474">
        <v>0</v>
      </c>
      <c r="H474">
        <v>0</v>
      </c>
      <c r="I474">
        <v>0</v>
      </c>
      <c r="J474">
        <v>0</v>
      </c>
      <c r="K474">
        <v>0</v>
      </c>
      <c r="L474">
        <v>1</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0</v>
      </c>
      <c r="BJ474">
        <v>0</v>
      </c>
      <c r="BK474">
        <v>0</v>
      </c>
    </row>
    <row r="475" spans="3:63">
      <c r="C475" s="145" t="s">
        <v>30</v>
      </c>
      <c r="D475">
        <v>1</v>
      </c>
      <c r="E475">
        <v>1</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c r="BJ475">
        <v>0</v>
      </c>
      <c r="BK475">
        <v>0</v>
      </c>
    </row>
    <row r="476" spans="3:63">
      <c r="C476" s="145" t="s">
        <v>29</v>
      </c>
      <c r="D476">
        <v>1</v>
      </c>
      <c r="E476">
        <v>0</v>
      </c>
      <c r="F476">
        <v>0</v>
      </c>
      <c r="G476">
        <v>0</v>
      </c>
      <c r="H476">
        <v>0</v>
      </c>
      <c r="I476">
        <v>0</v>
      </c>
      <c r="J476">
        <v>0</v>
      </c>
      <c r="K476">
        <v>0</v>
      </c>
      <c r="L476">
        <v>1</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0</v>
      </c>
      <c r="BK476">
        <v>0</v>
      </c>
    </row>
    <row r="477" spans="3:63">
      <c r="C477" s="145" t="s">
        <v>30</v>
      </c>
      <c r="D477">
        <v>1</v>
      </c>
      <c r="E477">
        <v>1</v>
      </c>
      <c r="F477">
        <v>0</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v>0</v>
      </c>
      <c r="BH477">
        <v>0</v>
      </c>
      <c r="BI477">
        <v>0</v>
      </c>
      <c r="BJ477">
        <v>0</v>
      </c>
      <c r="BK477">
        <v>0</v>
      </c>
    </row>
    <row r="478" spans="3:63">
      <c r="C478" s="145" t="s">
        <v>26</v>
      </c>
      <c r="D478">
        <v>1</v>
      </c>
      <c r="E478">
        <v>0</v>
      </c>
      <c r="F478">
        <v>0</v>
      </c>
      <c r="G478">
        <v>0</v>
      </c>
      <c r="H478">
        <v>0</v>
      </c>
      <c r="I478">
        <v>0</v>
      </c>
      <c r="J478">
        <v>0</v>
      </c>
      <c r="K478">
        <v>0</v>
      </c>
      <c r="L478">
        <v>0</v>
      </c>
      <c r="M478">
        <v>0</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0</v>
      </c>
      <c r="BJ478">
        <v>0</v>
      </c>
      <c r="BK478">
        <v>0</v>
      </c>
    </row>
    <row r="479" spans="3:63">
      <c r="C479" s="145" t="s">
        <v>928</v>
      </c>
      <c r="D479">
        <v>1</v>
      </c>
      <c r="E479">
        <v>0</v>
      </c>
      <c r="F479">
        <v>0</v>
      </c>
      <c r="G479">
        <v>1</v>
      </c>
      <c r="H479">
        <v>0</v>
      </c>
      <c r="I479">
        <v>1</v>
      </c>
      <c r="J479">
        <v>0</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v>0</v>
      </c>
      <c r="BH479">
        <v>0</v>
      </c>
      <c r="BI479">
        <v>0</v>
      </c>
      <c r="BJ479">
        <v>0</v>
      </c>
      <c r="BK479">
        <v>0</v>
      </c>
    </row>
    <row r="480" spans="3:63">
      <c r="C480" s="145" t="s">
        <v>30</v>
      </c>
      <c r="D480">
        <v>1</v>
      </c>
      <c r="E480">
        <v>1</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v>0</v>
      </c>
      <c r="BH480">
        <v>0</v>
      </c>
      <c r="BI480">
        <v>0</v>
      </c>
      <c r="BJ480">
        <v>0</v>
      </c>
      <c r="BK480">
        <v>0</v>
      </c>
    </row>
    <row r="481" spans="3:63">
      <c r="C481" s="145" t="s">
        <v>40</v>
      </c>
      <c r="D481">
        <v>1</v>
      </c>
      <c r="E481">
        <v>1</v>
      </c>
      <c r="F481">
        <v>0</v>
      </c>
      <c r="G481">
        <v>0</v>
      </c>
      <c r="H481">
        <v>0</v>
      </c>
      <c r="I481">
        <v>0</v>
      </c>
      <c r="J481">
        <v>0</v>
      </c>
      <c r="K481">
        <v>0</v>
      </c>
      <c r="L481">
        <v>0</v>
      </c>
      <c r="M481">
        <v>0</v>
      </c>
      <c r="N481">
        <v>0</v>
      </c>
      <c r="O481">
        <v>1</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c r="BJ481">
        <v>0</v>
      </c>
      <c r="BK481">
        <v>0</v>
      </c>
    </row>
    <row r="482" spans="3:63">
      <c r="C482" s="145" t="s">
        <v>951</v>
      </c>
      <c r="D482">
        <v>0</v>
      </c>
      <c r="E482">
        <v>0</v>
      </c>
      <c r="F482">
        <v>0</v>
      </c>
      <c r="G482">
        <v>0</v>
      </c>
      <c r="H482">
        <v>0</v>
      </c>
      <c r="I482">
        <v>1</v>
      </c>
      <c r="J482">
        <v>0</v>
      </c>
      <c r="K482">
        <v>1</v>
      </c>
      <c r="L482">
        <v>0</v>
      </c>
      <c r="M482">
        <v>1</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v>0</v>
      </c>
      <c r="BH482">
        <v>0</v>
      </c>
      <c r="BI482">
        <v>0</v>
      </c>
      <c r="BJ482">
        <v>0</v>
      </c>
      <c r="BK482">
        <v>0</v>
      </c>
    </row>
    <row r="483" spans="3:63">
      <c r="C483" s="145" t="s">
        <v>27</v>
      </c>
      <c r="D483">
        <v>0</v>
      </c>
      <c r="E483">
        <v>0</v>
      </c>
      <c r="F483">
        <v>0</v>
      </c>
      <c r="G483">
        <v>0</v>
      </c>
      <c r="H483">
        <v>0</v>
      </c>
      <c r="I483">
        <v>0</v>
      </c>
      <c r="J483">
        <v>0</v>
      </c>
      <c r="K483">
        <v>0</v>
      </c>
      <c r="L483">
        <v>1</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v>0</v>
      </c>
      <c r="BH483">
        <v>0</v>
      </c>
      <c r="BI483">
        <v>0</v>
      </c>
      <c r="BJ483">
        <v>0</v>
      </c>
      <c r="BK483">
        <v>0</v>
      </c>
    </row>
    <row r="484" spans="3:63">
      <c r="C484" s="145" t="s">
        <v>26</v>
      </c>
      <c r="D484">
        <v>1</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v>0</v>
      </c>
      <c r="BH484">
        <v>0</v>
      </c>
      <c r="BI484">
        <v>0</v>
      </c>
      <c r="BJ484">
        <v>0</v>
      </c>
      <c r="BK484">
        <v>0</v>
      </c>
    </row>
    <row r="485" spans="3:63">
      <c r="C485" s="145" t="s">
        <v>32</v>
      </c>
      <c r="D485">
        <v>1</v>
      </c>
      <c r="E485">
        <v>0</v>
      </c>
      <c r="F485">
        <v>0</v>
      </c>
      <c r="G485">
        <v>0</v>
      </c>
      <c r="H485">
        <v>0</v>
      </c>
      <c r="I485">
        <v>0</v>
      </c>
      <c r="J485">
        <v>0</v>
      </c>
      <c r="K485">
        <v>0</v>
      </c>
      <c r="L485">
        <v>0</v>
      </c>
      <c r="M485">
        <v>0</v>
      </c>
      <c r="N485">
        <v>0</v>
      </c>
      <c r="O485">
        <v>0</v>
      </c>
      <c r="P485">
        <v>0</v>
      </c>
      <c r="Q485">
        <v>1</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0</v>
      </c>
      <c r="BJ485">
        <v>0</v>
      </c>
      <c r="BK485">
        <v>0</v>
      </c>
    </row>
    <row r="486" spans="3:63">
      <c r="C486" s="145" t="s">
        <v>40</v>
      </c>
      <c r="D486">
        <v>1</v>
      </c>
      <c r="E486">
        <v>1</v>
      </c>
      <c r="F486">
        <v>0</v>
      </c>
      <c r="G486">
        <v>0</v>
      </c>
      <c r="H486">
        <v>0</v>
      </c>
      <c r="I486">
        <v>0</v>
      </c>
      <c r="J486">
        <v>0</v>
      </c>
      <c r="K486">
        <v>0</v>
      </c>
      <c r="L486">
        <v>0</v>
      </c>
      <c r="M486">
        <v>0</v>
      </c>
      <c r="N486">
        <v>0</v>
      </c>
      <c r="O486">
        <v>1</v>
      </c>
      <c r="P486">
        <v>0</v>
      </c>
      <c r="Q486">
        <v>0</v>
      </c>
      <c r="R486">
        <v>0</v>
      </c>
      <c r="S486">
        <v>0</v>
      </c>
      <c r="T486">
        <v>0</v>
      </c>
      <c r="U486">
        <v>0</v>
      </c>
      <c r="V486">
        <v>0</v>
      </c>
      <c r="W486">
        <v>0</v>
      </c>
      <c r="X486">
        <v>0</v>
      </c>
      <c r="Y486">
        <v>0</v>
      </c>
      <c r="Z486">
        <v>0</v>
      </c>
      <c r="AA486">
        <v>0</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v>0</v>
      </c>
      <c r="BH486">
        <v>0</v>
      </c>
      <c r="BI486">
        <v>0</v>
      </c>
      <c r="BJ486">
        <v>0</v>
      </c>
      <c r="BK486">
        <v>0</v>
      </c>
    </row>
    <row r="487" spans="3:63">
      <c r="C487" s="145" t="s">
        <v>26</v>
      </c>
      <c r="D487">
        <v>1</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v>0</v>
      </c>
      <c r="BH487">
        <v>0</v>
      </c>
      <c r="BI487">
        <v>0</v>
      </c>
      <c r="BJ487">
        <v>0</v>
      </c>
      <c r="BK487">
        <v>0</v>
      </c>
    </row>
    <row r="488" spans="3:63">
      <c r="C488" s="145" t="s">
        <v>897</v>
      </c>
      <c r="D488">
        <v>1</v>
      </c>
      <c r="E488">
        <v>1</v>
      </c>
      <c r="F488">
        <v>0</v>
      </c>
      <c r="G488">
        <v>0</v>
      </c>
      <c r="H488">
        <v>0</v>
      </c>
      <c r="I488">
        <v>1</v>
      </c>
      <c r="J488">
        <v>0</v>
      </c>
      <c r="K488">
        <v>0</v>
      </c>
      <c r="L488">
        <v>0</v>
      </c>
      <c r="M488">
        <v>0</v>
      </c>
      <c r="N488">
        <v>0</v>
      </c>
      <c r="O488">
        <v>0</v>
      </c>
      <c r="P488">
        <v>0</v>
      </c>
      <c r="Q488">
        <v>0</v>
      </c>
      <c r="R488">
        <v>0</v>
      </c>
      <c r="S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0</v>
      </c>
      <c r="BD488">
        <v>0</v>
      </c>
      <c r="BE488">
        <v>0</v>
      </c>
      <c r="BF488">
        <v>0</v>
      </c>
      <c r="BG488">
        <v>0</v>
      </c>
      <c r="BH488">
        <v>0</v>
      </c>
      <c r="BI488">
        <v>0</v>
      </c>
      <c r="BJ488">
        <v>0</v>
      </c>
      <c r="BK488">
        <v>0</v>
      </c>
    </row>
    <row r="489" spans="3:63">
      <c r="C489" s="145" t="s">
        <v>897</v>
      </c>
      <c r="D489">
        <v>1</v>
      </c>
      <c r="E489">
        <v>1</v>
      </c>
      <c r="F489">
        <v>0</v>
      </c>
      <c r="G489">
        <v>0</v>
      </c>
      <c r="H489">
        <v>0</v>
      </c>
      <c r="I489">
        <v>1</v>
      </c>
      <c r="J489">
        <v>0</v>
      </c>
      <c r="K489">
        <v>0</v>
      </c>
      <c r="L489">
        <v>0</v>
      </c>
      <c r="M489">
        <v>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0</v>
      </c>
      <c r="BI489">
        <v>0</v>
      </c>
      <c r="BJ489">
        <v>0</v>
      </c>
      <c r="BK489">
        <v>0</v>
      </c>
    </row>
    <row r="490" spans="3:63">
      <c r="C490" s="145" t="s">
        <v>26</v>
      </c>
      <c r="D490">
        <v>1</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0</v>
      </c>
      <c r="BD490">
        <v>0</v>
      </c>
      <c r="BE490">
        <v>0</v>
      </c>
      <c r="BF490">
        <v>0</v>
      </c>
      <c r="BG490">
        <v>0</v>
      </c>
      <c r="BH490">
        <v>0</v>
      </c>
      <c r="BI490">
        <v>0</v>
      </c>
      <c r="BJ490">
        <v>0</v>
      </c>
      <c r="BK490">
        <v>0</v>
      </c>
    </row>
    <row r="491" spans="3:63">
      <c r="C491" s="145" t="s">
        <v>48</v>
      </c>
      <c r="D491">
        <v>0</v>
      </c>
      <c r="E491">
        <v>0</v>
      </c>
      <c r="F491">
        <v>1</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0</v>
      </c>
      <c r="BJ491">
        <v>0</v>
      </c>
      <c r="BK491">
        <v>0</v>
      </c>
    </row>
    <row r="492" spans="3:63">
      <c r="C492" s="145" t="s">
        <v>28</v>
      </c>
      <c r="D492">
        <v>0</v>
      </c>
      <c r="E492">
        <v>0</v>
      </c>
      <c r="F492">
        <v>0</v>
      </c>
      <c r="G492">
        <v>0</v>
      </c>
      <c r="H492">
        <v>0</v>
      </c>
      <c r="I492">
        <v>0</v>
      </c>
      <c r="J492">
        <v>0</v>
      </c>
      <c r="K492">
        <v>0</v>
      </c>
      <c r="L492">
        <v>0</v>
      </c>
      <c r="M492">
        <v>0</v>
      </c>
      <c r="N492">
        <v>0</v>
      </c>
      <c r="O492">
        <v>0</v>
      </c>
      <c r="P492">
        <v>0</v>
      </c>
      <c r="Q492">
        <v>1</v>
      </c>
      <c r="R492">
        <v>0</v>
      </c>
      <c r="S492">
        <v>0</v>
      </c>
      <c r="T492">
        <v>0</v>
      </c>
      <c r="U492">
        <v>0</v>
      </c>
      <c r="V492">
        <v>0</v>
      </c>
      <c r="W492">
        <v>0</v>
      </c>
      <c r="X492">
        <v>0</v>
      </c>
      <c r="Y492">
        <v>0</v>
      </c>
      <c r="Z492">
        <v>0</v>
      </c>
      <c r="AA492">
        <v>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0</v>
      </c>
      <c r="BD492">
        <v>0</v>
      </c>
      <c r="BE492">
        <v>0</v>
      </c>
      <c r="BF492">
        <v>0</v>
      </c>
      <c r="BG492">
        <v>0</v>
      </c>
      <c r="BH492">
        <v>0</v>
      </c>
      <c r="BI492">
        <v>0</v>
      </c>
      <c r="BJ492">
        <v>0</v>
      </c>
      <c r="BK492">
        <v>0</v>
      </c>
    </row>
    <row r="493" spans="3:63">
      <c r="C493" s="145" t="s">
        <v>26</v>
      </c>
      <c r="D493">
        <v>1</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0</v>
      </c>
      <c r="AL493">
        <v>0</v>
      </c>
      <c r="AM493">
        <v>0</v>
      </c>
      <c r="AN493">
        <v>0</v>
      </c>
      <c r="AO493">
        <v>0</v>
      </c>
      <c r="AP493">
        <v>0</v>
      </c>
      <c r="AQ493">
        <v>0</v>
      </c>
      <c r="AR493">
        <v>0</v>
      </c>
      <c r="AS493">
        <v>0</v>
      </c>
      <c r="AT493">
        <v>0</v>
      </c>
      <c r="AU493">
        <v>0</v>
      </c>
      <c r="AV493">
        <v>0</v>
      </c>
      <c r="AW493">
        <v>0</v>
      </c>
      <c r="AX493">
        <v>0</v>
      </c>
      <c r="AY493">
        <v>0</v>
      </c>
      <c r="AZ493">
        <v>0</v>
      </c>
      <c r="BA493">
        <v>0</v>
      </c>
      <c r="BB493">
        <v>0</v>
      </c>
      <c r="BC493">
        <v>0</v>
      </c>
      <c r="BD493">
        <v>0</v>
      </c>
      <c r="BE493">
        <v>0</v>
      </c>
      <c r="BF493">
        <v>0</v>
      </c>
      <c r="BG493">
        <v>0</v>
      </c>
      <c r="BH493">
        <v>0</v>
      </c>
      <c r="BI493">
        <v>0</v>
      </c>
      <c r="BJ493">
        <v>0</v>
      </c>
      <c r="BK493">
        <v>0</v>
      </c>
    </row>
    <row r="494" spans="3:63">
      <c r="C494" s="145" t="s">
        <v>946</v>
      </c>
      <c r="D494">
        <v>1</v>
      </c>
      <c r="E494">
        <v>0</v>
      </c>
      <c r="F494">
        <v>0</v>
      </c>
      <c r="G494">
        <v>0</v>
      </c>
      <c r="H494">
        <v>0</v>
      </c>
      <c r="I494">
        <v>0</v>
      </c>
      <c r="J494">
        <v>0</v>
      </c>
      <c r="K494">
        <v>0</v>
      </c>
      <c r="L494">
        <v>0</v>
      </c>
      <c r="M494">
        <v>0</v>
      </c>
      <c r="N494">
        <v>1</v>
      </c>
      <c r="O494">
        <v>0</v>
      </c>
      <c r="P494">
        <v>0</v>
      </c>
      <c r="Q494">
        <v>0</v>
      </c>
      <c r="R494">
        <v>0</v>
      </c>
      <c r="S494">
        <v>0</v>
      </c>
      <c r="T494">
        <v>0</v>
      </c>
      <c r="U494">
        <v>0</v>
      </c>
      <c r="V494">
        <v>0</v>
      </c>
      <c r="W494">
        <v>0</v>
      </c>
      <c r="X494">
        <v>0</v>
      </c>
      <c r="Y494">
        <v>0</v>
      </c>
      <c r="Z494">
        <v>0</v>
      </c>
      <c r="AA494">
        <v>0</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0</v>
      </c>
      <c r="BD494">
        <v>0</v>
      </c>
      <c r="BE494">
        <v>0</v>
      </c>
      <c r="BF494">
        <v>0</v>
      </c>
      <c r="BG494">
        <v>0</v>
      </c>
      <c r="BH494">
        <v>0</v>
      </c>
      <c r="BI494">
        <v>0</v>
      </c>
      <c r="BJ494">
        <v>0</v>
      </c>
      <c r="BK494">
        <v>0</v>
      </c>
    </row>
    <row r="495" spans="3:63">
      <c r="C495" s="145" t="s">
        <v>30</v>
      </c>
      <c r="D495">
        <v>1</v>
      </c>
      <c r="E495">
        <v>1</v>
      </c>
      <c r="F495">
        <v>0</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c r="BJ495">
        <v>0</v>
      </c>
      <c r="BK495">
        <v>0</v>
      </c>
    </row>
    <row r="496" spans="3:63">
      <c r="C496" s="145" t="s">
        <v>26</v>
      </c>
      <c r="D496">
        <v>1</v>
      </c>
      <c r="E496">
        <v>0</v>
      </c>
      <c r="F496">
        <v>0</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c r="BJ496">
        <v>0</v>
      </c>
      <c r="BK496">
        <v>0</v>
      </c>
    </row>
    <row r="497" spans="3:63">
      <c r="C497" s="145" t="s">
        <v>26</v>
      </c>
      <c r="D497">
        <v>1</v>
      </c>
      <c r="E497">
        <v>0</v>
      </c>
      <c r="F497">
        <v>0</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0</v>
      </c>
      <c r="BD497">
        <v>0</v>
      </c>
      <c r="BE497">
        <v>0</v>
      </c>
      <c r="BF497">
        <v>0</v>
      </c>
      <c r="BG497">
        <v>0</v>
      </c>
      <c r="BH497">
        <v>0</v>
      </c>
      <c r="BI497">
        <v>0</v>
      </c>
      <c r="BJ497">
        <v>0</v>
      </c>
      <c r="BK497">
        <v>0</v>
      </c>
    </row>
    <row r="498" spans="3:63">
      <c r="C498" s="145" t="s">
        <v>26</v>
      </c>
      <c r="D498">
        <v>1</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0</v>
      </c>
      <c r="BD498">
        <v>0</v>
      </c>
      <c r="BE498">
        <v>0</v>
      </c>
      <c r="BF498">
        <v>0</v>
      </c>
      <c r="BG498">
        <v>0</v>
      </c>
      <c r="BH498">
        <v>0</v>
      </c>
      <c r="BI498">
        <v>0</v>
      </c>
      <c r="BJ498">
        <v>0</v>
      </c>
      <c r="BK498">
        <v>0</v>
      </c>
    </row>
    <row r="499" spans="3:63">
      <c r="C499" s="145" t="s">
        <v>909</v>
      </c>
      <c r="D499">
        <v>0</v>
      </c>
      <c r="E499">
        <v>0</v>
      </c>
      <c r="F499">
        <v>0</v>
      </c>
      <c r="G499">
        <v>0</v>
      </c>
      <c r="H499">
        <v>0</v>
      </c>
      <c r="I499">
        <v>1</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0</v>
      </c>
      <c r="BD499">
        <v>0</v>
      </c>
      <c r="BE499">
        <v>0</v>
      </c>
      <c r="BF499">
        <v>0</v>
      </c>
      <c r="BG499">
        <v>0</v>
      </c>
      <c r="BH499">
        <v>0</v>
      </c>
      <c r="BI499">
        <v>0</v>
      </c>
      <c r="BJ499">
        <v>0</v>
      </c>
      <c r="BK499">
        <v>0</v>
      </c>
    </row>
    <row r="500" spans="3:63">
      <c r="C500" s="145" t="s">
        <v>29</v>
      </c>
      <c r="D500">
        <v>1</v>
      </c>
      <c r="E500">
        <v>0</v>
      </c>
      <c r="F500">
        <v>0</v>
      </c>
      <c r="G500">
        <v>0</v>
      </c>
      <c r="H500">
        <v>0</v>
      </c>
      <c r="I500">
        <v>0</v>
      </c>
      <c r="J500">
        <v>0</v>
      </c>
      <c r="K500">
        <v>0</v>
      </c>
      <c r="L500">
        <v>1</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c r="BJ500">
        <v>0</v>
      </c>
      <c r="BK500">
        <v>0</v>
      </c>
    </row>
    <row r="501" spans="3:63">
      <c r="C501" s="145" t="s">
        <v>26</v>
      </c>
      <c r="D501">
        <v>1</v>
      </c>
      <c r="E501">
        <v>0</v>
      </c>
      <c r="F501">
        <v>0</v>
      </c>
      <c r="G501">
        <v>0</v>
      </c>
      <c r="H501">
        <v>0</v>
      </c>
      <c r="I501">
        <v>0</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0</v>
      </c>
      <c r="BD501">
        <v>0</v>
      </c>
      <c r="BE501">
        <v>0</v>
      </c>
      <c r="BF501">
        <v>0</v>
      </c>
      <c r="BG501">
        <v>0</v>
      </c>
      <c r="BH501">
        <v>0</v>
      </c>
      <c r="BI501">
        <v>0</v>
      </c>
      <c r="BJ501">
        <v>0</v>
      </c>
      <c r="BK501">
        <v>0</v>
      </c>
    </row>
    <row r="502" spans="3:63">
      <c r="C502" s="145" t="s">
        <v>26</v>
      </c>
      <c r="D502">
        <v>1</v>
      </c>
      <c r="E502">
        <v>0</v>
      </c>
      <c r="F502">
        <v>0</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0</v>
      </c>
      <c r="BD502">
        <v>0</v>
      </c>
      <c r="BE502">
        <v>0</v>
      </c>
      <c r="BF502">
        <v>0</v>
      </c>
      <c r="BG502">
        <v>0</v>
      </c>
      <c r="BH502">
        <v>0</v>
      </c>
      <c r="BI502">
        <v>0</v>
      </c>
      <c r="BJ502">
        <v>0</v>
      </c>
      <c r="BK502">
        <v>0</v>
      </c>
    </row>
    <row r="503" spans="3:63">
      <c r="C503" s="145" t="s">
        <v>952</v>
      </c>
      <c r="D503">
        <v>1</v>
      </c>
      <c r="E503">
        <v>0</v>
      </c>
      <c r="F503">
        <v>0</v>
      </c>
      <c r="G503">
        <v>1</v>
      </c>
      <c r="H503">
        <v>0</v>
      </c>
      <c r="I503">
        <v>0</v>
      </c>
      <c r="J503">
        <v>0</v>
      </c>
      <c r="K503">
        <v>0</v>
      </c>
      <c r="L503">
        <v>1</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0</v>
      </c>
      <c r="BF503">
        <v>0</v>
      </c>
      <c r="BG503">
        <v>0</v>
      </c>
      <c r="BH503">
        <v>0</v>
      </c>
      <c r="BI503">
        <v>0</v>
      </c>
      <c r="BJ503">
        <v>0</v>
      </c>
      <c r="BK503">
        <v>0</v>
      </c>
    </row>
    <row r="504" spans="3:63">
      <c r="C504" s="145" t="s">
        <v>897</v>
      </c>
      <c r="D504">
        <v>1</v>
      </c>
      <c r="E504">
        <v>1</v>
      </c>
      <c r="F504">
        <v>0</v>
      </c>
      <c r="G504">
        <v>0</v>
      </c>
      <c r="H504">
        <v>0</v>
      </c>
      <c r="I504">
        <v>1</v>
      </c>
      <c r="J504">
        <v>0</v>
      </c>
      <c r="K504">
        <v>0</v>
      </c>
      <c r="L504">
        <v>0</v>
      </c>
      <c r="M504">
        <v>0</v>
      </c>
      <c r="N504">
        <v>0</v>
      </c>
      <c r="O504">
        <v>0</v>
      </c>
      <c r="P504">
        <v>0</v>
      </c>
      <c r="Q504">
        <v>0</v>
      </c>
      <c r="R504">
        <v>0</v>
      </c>
      <c r="S504">
        <v>0</v>
      </c>
      <c r="T504">
        <v>0</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0</v>
      </c>
      <c r="BD504">
        <v>0</v>
      </c>
      <c r="BE504">
        <v>0</v>
      </c>
      <c r="BF504">
        <v>0</v>
      </c>
      <c r="BG504">
        <v>0</v>
      </c>
      <c r="BH504">
        <v>0</v>
      </c>
      <c r="BI504">
        <v>0</v>
      </c>
      <c r="BJ504">
        <v>0</v>
      </c>
      <c r="BK504">
        <v>0</v>
      </c>
    </row>
    <row r="505" spans="3:63">
      <c r="C505" s="145" t="s">
        <v>33</v>
      </c>
      <c r="D505">
        <v>1</v>
      </c>
      <c r="E505">
        <v>1</v>
      </c>
      <c r="F505">
        <v>0</v>
      </c>
      <c r="G505">
        <v>0</v>
      </c>
      <c r="H505">
        <v>0</v>
      </c>
      <c r="I505">
        <v>0</v>
      </c>
      <c r="J505">
        <v>0</v>
      </c>
      <c r="K505">
        <v>0</v>
      </c>
      <c r="L505">
        <v>1</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0</v>
      </c>
      <c r="BD505">
        <v>0</v>
      </c>
      <c r="BE505">
        <v>0</v>
      </c>
      <c r="BF505">
        <v>0</v>
      </c>
      <c r="BG505">
        <v>0</v>
      </c>
      <c r="BH505">
        <v>0</v>
      </c>
      <c r="BI505">
        <v>0</v>
      </c>
      <c r="BJ505">
        <v>0</v>
      </c>
      <c r="BK505">
        <v>0</v>
      </c>
    </row>
    <row r="506" spans="3:63">
      <c r="C506" s="145" t="s">
        <v>912</v>
      </c>
      <c r="D506">
        <v>1</v>
      </c>
      <c r="E506">
        <v>0</v>
      </c>
      <c r="F506">
        <v>0</v>
      </c>
      <c r="G506">
        <v>0</v>
      </c>
      <c r="H506">
        <v>0</v>
      </c>
      <c r="I506">
        <v>1</v>
      </c>
      <c r="J506">
        <v>0</v>
      </c>
      <c r="K506">
        <v>0</v>
      </c>
      <c r="L506">
        <v>0</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0</v>
      </c>
      <c r="BD506">
        <v>0</v>
      </c>
      <c r="BE506">
        <v>0</v>
      </c>
      <c r="BF506">
        <v>0</v>
      </c>
      <c r="BG506">
        <v>0</v>
      </c>
      <c r="BH506">
        <v>0</v>
      </c>
      <c r="BI506">
        <v>0</v>
      </c>
      <c r="BJ506">
        <v>0</v>
      </c>
      <c r="BK506">
        <v>0</v>
      </c>
    </row>
    <row r="507" spans="3:63">
      <c r="C507" s="145" t="s">
        <v>953</v>
      </c>
      <c r="D507">
        <v>0</v>
      </c>
      <c r="E507">
        <v>0</v>
      </c>
      <c r="F507">
        <v>0</v>
      </c>
      <c r="G507">
        <v>0</v>
      </c>
      <c r="H507">
        <v>1</v>
      </c>
      <c r="I507">
        <v>0</v>
      </c>
      <c r="J507">
        <v>0</v>
      </c>
      <c r="K507">
        <v>0</v>
      </c>
      <c r="L507">
        <v>0</v>
      </c>
      <c r="M507">
        <v>0</v>
      </c>
      <c r="N507">
        <v>0</v>
      </c>
      <c r="O507">
        <v>0</v>
      </c>
      <c r="P507">
        <v>1</v>
      </c>
      <c r="Q507">
        <v>0</v>
      </c>
      <c r="R507">
        <v>0</v>
      </c>
      <c r="S507">
        <v>0</v>
      </c>
      <c r="T507">
        <v>0</v>
      </c>
      <c r="U507">
        <v>0</v>
      </c>
      <c r="V507">
        <v>0</v>
      </c>
      <c r="W507">
        <v>0</v>
      </c>
      <c r="X507">
        <v>0</v>
      </c>
      <c r="Y507">
        <v>0</v>
      </c>
      <c r="Z507">
        <v>0</v>
      </c>
      <c r="AA507">
        <v>0</v>
      </c>
      <c r="AB507">
        <v>0</v>
      </c>
      <c r="AC507">
        <v>0</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0</v>
      </c>
      <c r="AW507">
        <v>0</v>
      </c>
      <c r="AX507">
        <v>0</v>
      </c>
      <c r="AY507">
        <v>0</v>
      </c>
      <c r="AZ507">
        <v>0</v>
      </c>
      <c r="BA507">
        <v>0</v>
      </c>
      <c r="BB507">
        <v>0</v>
      </c>
      <c r="BC507">
        <v>0</v>
      </c>
      <c r="BD507">
        <v>0</v>
      </c>
      <c r="BE507">
        <v>0</v>
      </c>
      <c r="BF507">
        <v>0</v>
      </c>
      <c r="BG507">
        <v>0</v>
      </c>
      <c r="BH507">
        <v>0</v>
      </c>
      <c r="BI507">
        <v>0</v>
      </c>
      <c r="BJ507">
        <v>0</v>
      </c>
      <c r="BK507">
        <v>0</v>
      </c>
    </row>
    <row r="508" spans="3:63">
      <c r="C508" s="145" t="s">
        <v>941</v>
      </c>
      <c r="D508">
        <v>0</v>
      </c>
      <c r="E508">
        <v>0</v>
      </c>
      <c r="F508">
        <v>0</v>
      </c>
      <c r="G508">
        <v>0</v>
      </c>
      <c r="H508">
        <v>0</v>
      </c>
      <c r="I508">
        <v>1</v>
      </c>
      <c r="J508">
        <v>0</v>
      </c>
      <c r="K508">
        <v>0</v>
      </c>
      <c r="L508">
        <v>0</v>
      </c>
      <c r="M508">
        <v>1</v>
      </c>
      <c r="N508">
        <v>0</v>
      </c>
      <c r="O508">
        <v>0</v>
      </c>
      <c r="P508">
        <v>0</v>
      </c>
      <c r="Q508">
        <v>0</v>
      </c>
      <c r="R508">
        <v>0</v>
      </c>
      <c r="S508">
        <v>0</v>
      </c>
      <c r="T508">
        <v>0</v>
      </c>
      <c r="U508">
        <v>0</v>
      </c>
      <c r="V508">
        <v>0</v>
      </c>
      <c r="W508">
        <v>0</v>
      </c>
      <c r="X508">
        <v>0</v>
      </c>
      <c r="Y508">
        <v>0</v>
      </c>
      <c r="Z508">
        <v>0</v>
      </c>
      <c r="AA508">
        <v>0</v>
      </c>
      <c r="AB508">
        <v>0</v>
      </c>
      <c r="AC508">
        <v>0</v>
      </c>
      <c r="AD508">
        <v>0</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0</v>
      </c>
      <c r="BD508">
        <v>0</v>
      </c>
      <c r="BE508">
        <v>0</v>
      </c>
      <c r="BF508">
        <v>0</v>
      </c>
      <c r="BG508">
        <v>0</v>
      </c>
      <c r="BH508">
        <v>0</v>
      </c>
      <c r="BI508">
        <v>0</v>
      </c>
      <c r="BJ508">
        <v>0</v>
      </c>
      <c r="BK508">
        <v>0</v>
      </c>
    </row>
    <row r="509" spans="3:63">
      <c r="C509" s="145" t="s">
        <v>947</v>
      </c>
      <c r="D509">
        <v>0</v>
      </c>
      <c r="E509">
        <v>1</v>
      </c>
      <c r="F509">
        <v>0</v>
      </c>
      <c r="G509">
        <v>0</v>
      </c>
      <c r="H509">
        <v>0</v>
      </c>
      <c r="I509">
        <v>0</v>
      </c>
      <c r="J509">
        <v>1</v>
      </c>
      <c r="K509">
        <v>0</v>
      </c>
      <c r="L509">
        <v>0</v>
      </c>
      <c r="M509">
        <v>0</v>
      </c>
      <c r="N509">
        <v>0</v>
      </c>
      <c r="O509">
        <v>0</v>
      </c>
      <c r="P509">
        <v>0</v>
      </c>
      <c r="Q509">
        <v>0</v>
      </c>
      <c r="R509">
        <v>0</v>
      </c>
      <c r="S509">
        <v>0</v>
      </c>
      <c r="T509">
        <v>0</v>
      </c>
      <c r="U509">
        <v>0</v>
      </c>
      <c r="V509">
        <v>0</v>
      </c>
      <c r="W509">
        <v>0</v>
      </c>
      <c r="X509">
        <v>0</v>
      </c>
      <c r="Y509">
        <v>0</v>
      </c>
      <c r="Z509">
        <v>0</v>
      </c>
      <c r="AA509">
        <v>0</v>
      </c>
      <c r="AB509">
        <v>0</v>
      </c>
      <c r="AC509">
        <v>0</v>
      </c>
      <c r="AD509">
        <v>0</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0</v>
      </c>
      <c r="BD509">
        <v>0</v>
      </c>
      <c r="BE509">
        <v>0</v>
      </c>
      <c r="BF509">
        <v>0</v>
      </c>
      <c r="BG509">
        <v>0</v>
      </c>
      <c r="BH509">
        <v>0</v>
      </c>
      <c r="BI509">
        <v>0</v>
      </c>
      <c r="BJ509">
        <v>0</v>
      </c>
      <c r="BK509">
        <v>0</v>
      </c>
    </row>
    <row r="510" spans="3:63">
      <c r="C510" s="145" t="s">
        <v>26</v>
      </c>
      <c r="D510">
        <v>1</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v>0</v>
      </c>
      <c r="AZ510">
        <v>0</v>
      </c>
      <c r="BA510">
        <v>0</v>
      </c>
      <c r="BB510">
        <v>0</v>
      </c>
      <c r="BC510">
        <v>0</v>
      </c>
      <c r="BD510">
        <v>0</v>
      </c>
      <c r="BE510">
        <v>0</v>
      </c>
      <c r="BF510">
        <v>0</v>
      </c>
      <c r="BG510">
        <v>0</v>
      </c>
      <c r="BH510">
        <v>0</v>
      </c>
      <c r="BI510">
        <v>0</v>
      </c>
      <c r="BJ510">
        <v>0</v>
      </c>
      <c r="BK510">
        <v>0</v>
      </c>
    </row>
    <row r="511" spans="3:63">
      <c r="C511" s="145" t="s">
        <v>946</v>
      </c>
      <c r="D511">
        <v>1</v>
      </c>
      <c r="E511">
        <v>0</v>
      </c>
      <c r="F511">
        <v>0</v>
      </c>
      <c r="G511">
        <v>0</v>
      </c>
      <c r="H511">
        <v>0</v>
      </c>
      <c r="I511">
        <v>0</v>
      </c>
      <c r="J511">
        <v>0</v>
      </c>
      <c r="K511">
        <v>0</v>
      </c>
      <c r="L511">
        <v>0</v>
      </c>
      <c r="M511">
        <v>0</v>
      </c>
      <c r="N511">
        <v>1</v>
      </c>
      <c r="O511">
        <v>0</v>
      </c>
      <c r="P511">
        <v>0</v>
      </c>
      <c r="Q511">
        <v>0</v>
      </c>
      <c r="R511">
        <v>0</v>
      </c>
      <c r="S511">
        <v>0</v>
      </c>
      <c r="T511">
        <v>0</v>
      </c>
      <c r="U511">
        <v>0</v>
      </c>
      <c r="V511">
        <v>0</v>
      </c>
      <c r="W511">
        <v>0</v>
      </c>
      <c r="X511">
        <v>0</v>
      </c>
      <c r="Y511">
        <v>0</v>
      </c>
      <c r="Z511">
        <v>0</v>
      </c>
      <c r="AA511">
        <v>0</v>
      </c>
      <c r="AB511">
        <v>0</v>
      </c>
      <c r="AC511">
        <v>0</v>
      </c>
      <c r="AD511">
        <v>0</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v>0</v>
      </c>
      <c r="AZ511">
        <v>0</v>
      </c>
      <c r="BA511">
        <v>0</v>
      </c>
      <c r="BB511">
        <v>0</v>
      </c>
      <c r="BC511">
        <v>0</v>
      </c>
      <c r="BD511">
        <v>0</v>
      </c>
      <c r="BE511">
        <v>0</v>
      </c>
      <c r="BF511">
        <v>0</v>
      </c>
      <c r="BG511">
        <v>0</v>
      </c>
      <c r="BH511">
        <v>0</v>
      </c>
      <c r="BI511">
        <v>0</v>
      </c>
      <c r="BJ511">
        <v>0</v>
      </c>
      <c r="BK511">
        <v>0</v>
      </c>
    </row>
    <row r="512" spans="3:63">
      <c r="C512" s="145" t="s">
        <v>30</v>
      </c>
      <c r="D512">
        <v>1</v>
      </c>
      <c r="E512">
        <v>1</v>
      </c>
      <c r="F512">
        <v>0</v>
      </c>
      <c r="G512">
        <v>0</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v>0</v>
      </c>
      <c r="AG512">
        <v>0</v>
      </c>
      <c r="AH512">
        <v>0</v>
      </c>
      <c r="AI512">
        <v>0</v>
      </c>
      <c r="AJ512">
        <v>0</v>
      </c>
      <c r="AK512">
        <v>0</v>
      </c>
      <c r="AL512">
        <v>0</v>
      </c>
      <c r="AM512">
        <v>0</v>
      </c>
      <c r="AN512">
        <v>0</v>
      </c>
      <c r="AO512">
        <v>0</v>
      </c>
      <c r="AP512">
        <v>0</v>
      </c>
      <c r="AQ512">
        <v>0</v>
      </c>
      <c r="AR512">
        <v>0</v>
      </c>
      <c r="AS512">
        <v>0</v>
      </c>
      <c r="AT512">
        <v>0</v>
      </c>
      <c r="AU512">
        <v>0</v>
      </c>
      <c r="AV512">
        <v>0</v>
      </c>
      <c r="AW512">
        <v>0</v>
      </c>
      <c r="AX512">
        <v>0</v>
      </c>
      <c r="AY512">
        <v>0</v>
      </c>
      <c r="AZ512">
        <v>0</v>
      </c>
      <c r="BA512">
        <v>0</v>
      </c>
      <c r="BB512">
        <v>0</v>
      </c>
      <c r="BC512">
        <v>0</v>
      </c>
      <c r="BD512">
        <v>0</v>
      </c>
      <c r="BE512">
        <v>0</v>
      </c>
      <c r="BF512">
        <v>0</v>
      </c>
      <c r="BG512">
        <v>0</v>
      </c>
      <c r="BH512">
        <v>0</v>
      </c>
      <c r="BI512">
        <v>0</v>
      </c>
      <c r="BJ512">
        <v>0</v>
      </c>
      <c r="BK512">
        <v>0</v>
      </c>
    </row>
    <row r="513" spans="3:63">
      <c r="C513" s="145" t="s">
        <v>908</v>
      </c>
      <c r="D513">
        <v>1</v>
      </c>
      <c r="E513">
        <v>1</v>
      </c>
      <c r="F513">
        <v>0</v>
      </c>
      <c r="G513">
        <v>1</v>
      </c>
      <c r="H513">
        <v>0</v>
      </c>
      <c r="I513">
        <v>0</v>
      </c>
      <c r="J513">
        <v>0</v>
      </c>
      <c r="K513">
        <v>0</v>
      </c>
      <c r="L513">
        <v>0</v>
      </c>
      <c r="M513">
        <v>0</v>
      </c>
      <c r="N513">
        <v>0</v>
      </c>
      <c r="O513">
        <v>0</v>
      </c>
      <c r="P513">
        <v>0</v>
      </c>
      <c r="Q513">
        <v>0</v>
      </c>
      <c r="R513">
        <v>0</v>
      </c>
      <c r="S513">
        <v>0</v>
      </c>
      <c r="T513">
        <v>0</v>
      </c>
      <c r="U513">
        <v>0</v>
      </c>
      <c r="V513">
        <v>0</v>
      </c>
      <c r="W513">
        <v>0</v>
      </c>
      <c r="X513">
        <v>0</v>
      </c>
      <c r="Y513">
        <v>0</v>
      </c>
      <c r="Z513">
        <v>0</v>
      </c>
      <c r="AA513">
        <v>0</v>
      </c>
      <c r="AB513">
        <v>0</v>
      </c>
      <c r="AC513">
        <v>0</v>
      </c>
      <c r="AD513">
        <v>0</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0</v>
      </c>
      <c r="BD513">
        <v>0</v>
      </c>
      <c r="BE513">
        <v>0</v>
      </c>
      <c r="BF513">
        <v>0</v>
      </c>
      <c r="BG513">
        <v>0</v>
      </c>
      <c r="BH513">
        <v>0</v>
      </c>
      <c r="BI513">
        <v>0</v>
      </c>
      <c r="BJ513">
        <v>0</v>
      </c>
      <c r="BK513">
        <v>0</v>
      </c>
    </row>
    <row r="514" spans="3:63">
      <c r="C514" s="145" t="s">
        <v>26</v>
      </c>
      <c r="D514">
        <v>1</v>
      </c>
      <c r="E514">
        <v>0</v>
      </c>
      <c r="F514">
        <v>0</v>
      </c>
      <c r="G514">
        <v>0</v>
      </c>
      <c r="H514">
        <v>0</v>
      </c>
      <c r="I514">
        <v>0</v>
      </c>
      <c r="J514">
        <v>0</v>
      </c>
      <c r="K514">
        <v>0</v>
      </c>
      <c r="L514">
        <v>0</v>
      </c>
      <c r="M514">
        <v>0</v>
      </c>
      <c r="N514">
        <v>0</v>
      </c>
      <c r="O514">
        <v>0</v>
      </c>
      <c r="P514">
        <v>0</v>
      </c>
      <c r="Q514">
        <v>0</v>
      </c>
      <c r="R514">
        <v>0</v>
      </c>
      <c r="S514">
        <v>0</v>
      </c>
      <c r="T514">
        <v>0</v>
      </c>
      <c r="U514">
        <v>0</v>
      </c>
      <c r="V514">
        <v>0</v>
      </c>
      <c r="W514">
        <v>0</v>
      </c>
      <c r="X514">
        <v>0</v>
      </c>
      <c r="Y514">
        <v>0</v>
      </c>
      <c r="Z514">
        <v>0</v>
      </c>
      <c r="AA514">
        <v>0</v>
      </c>
      <c r="AB514">
        <v>0</v>
      </c>
      <c r="AC514">
        <v>0</v>
      </c>
      <c r="AD514">
        <v>0</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0</v>
      </c>
      <c r="BD514">
        <v>0</v>
      </c>
      <c r="BE514">
        <v>0</v>
      </c>
      <c r="BF514">
        <v>0</v>
      </c>
      <c r="BG514">
        <v>0</v>
      </c>
      <c r="BH514">
        <v>0</v>
      </c>
      <c r="BI514">
        <v>0</v>
      </c>
      <c r="BJ514">
        <v>0</v>
      </c>
      <c r="BK514">
        <v>0</v>
      </c>
    </row>
    <row r="515" spans="3:63">
      <c r="C515" s="145" t="s">
        <v>47</v>
      </c>
      <c r="D515">
        <v>0</v>
      </c>
      <c r="E515">
        <v>1</v>
      </c>
      <c r="F515">
        <v>0</v>
      </c>
      <c r="G515">
        <v>0</v>
      </c>
      <c r="H515">
        <v>0</v>
      </c>
      <c r="I515">
        <v>0</v>
      </c>
      <c r="J515">
        <v>0</v>
      </c>
      <c r="K515">
        <v>0</v>
      </c>
      <c r="L515">
        <v>0</v>
      </c>
      <c r="M515">
        <v>0</v>
      </c>
      <c r="N515">
        <v>0</v>
      </c>
      <c r="O515">
        <v>0</v>
      </c>
      <c r="P515">
        <v>0</v>
      </c>
      <c r="Q515">
        <v>0</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0</v>
      </c>
      <c r="BD515">
        <v>0</v>
      </c>
      <c r="BE515">
        <v>0</v>
      </c>
      <c r="BF515">
        <v>0</v>
      </c>
      <c r="BG515">
        <v>0</v>
      </c>
      <c r="BH515">
        <v>0</v>
      </c>
      <c r="BI515">
        <v>0</v>
      </c>
      <c r="BJ515">
        <v>0</v>
      </c>
      <c r="BK515">
        <v>0</v>
      </c>
    </row>
    <row r="516" spans="3:63">
      <c r="C516" s="145" t="s">
        <v>909</v>
      </c>
      <c r="D516">
        <v>0</v>
      </c>
      <c r="E516">
        <v>0</v>
      </c>
      <c r="F516">
        <v>0</v>
      </c>
      <c r="G516">
        <v>0</v>
      </c>
      <c r="H516">
        <v>0</v>
      </c>
      <c r="I516">
        <v>1</v>
      </c>
      <c r="J516">
        <v>0</v>
      </c>
      <c r="K516">
        <v>0</v>
      </c>
      <c r="L516">
        <v>0</v>
      </c>
      <c r="M516">
        <v>0</v>
      </c>
      <c r="N516">
        <v>0</v>
      </c>
      <c r="O516">
        <v>0</v>
      </c>
      <c r="P516">
        <v>0</v>
      </c>
      <c r="Q516">
        <v>0</v>
      </c>
      <c r="R516">
        <v>0</v>
      </c>
      <c r="S516">
        <v>0</v>
      </c>
      <c r="T516">
        <v>0</v>
      </c>
      <c r="U516">
        <v>0</v>
      </c>
      <c r="V516">
        <v>0</v>
      </c>
      <c r="W516">
        <v>0</v>
      </c>
      <c r="X516">
        <v>0</v>
      </c>
      <c r="Y516">
        <v>0</v>
      </c>
      <c r="Z516">
        <v>0</v>
      </c>
      <c r="AA516">
        <v>0</v>
      </c>
      <c r="AB516">
        <v>0</v>
      </c>
      <c r="AC516">
        <v>0</v>
      </c>
      <c r="AD516">
        <v>0</v>
      </c>
      <c r="AE516">
        <v>0</v>
      </c>
      <c r="AF516">
        <v>0</v>
      </c>
      <c r="AG516">
        <v>0</v>
      </c>
      <c r="AH516">
        <v>0</v>
      </c>
      <c r="AI516">
        <v>0</v>
      </c>
      <c r="AJ516">
        <v>0</v>
      </c>
      <c r="AK516">
        <v>0</v>
      </c>
      <c r="AL516">
        <v>0</v>
      </c>
      <c r="AM516">
        <v>0</v>
      </c>
      <c r="AN516">
        <v>0</v>
      </c>
      <c r="AO516">
        <v>0</v>
      </c>
      <c r="AP516">
        <v>0</v>
      </c>
      <c r="AQ516">
        <v>0</v>
      </c>
      <c r="AR516">
        <v>0</v>
      </c>
      <c r="AS516">
        <v>0</v>
      </c>
      <c r="AT516">
        <v>0</v>
      </c>
      <c r="AU516">
        <v>0</v>
      </c>
      <c r="AV516">
        <v>0</v>
      </c>
      <c r="AW516">
        <v>0</v>
      </c>
      <c r="AX516">
        <v>0</v>
      </c>
      <c r="AY516">
        <v>0</v>
      </c>
      <c r="AZ516">
        <v>0</v>
      </c>
      <c r="BA516">
        <v>0</v>
      </c>
      <c r="BB516">
        <v>0</v>
      </c>
      <c r="BC516">
        <v>0</v>
      </c>
      <c r="BD516">
        <v>0</v>
      </c>
      <c r="BE516">
        <v>0</v>
      </c>
      <c r="BF516">
        <v>0</v>
      </c>
      <c r="BG516">
        <v>0</v>
      </c>
      <c r="BH516">
        <v>0</v>
      </c>
      <c r="BI516">
        <v>0</v>
      </c>
      <c r="BJ516">
        <v>0</v>
      </c>
      <c r="BK516">
        <v>0</v>
      </c>
    </row>
    <row r="517" spans="3:63">
      <c r="C517" s="145" t="s">
        <v>909</v>
      </c>
      <c r="D517">
        <v>0</v>
      </c>
      <c r="E517">
        <v>0</v>
      </c>
      <c r="F517">
        <v>0</v>
      </c>
      <c r="G517">
        <v>0</v>
      </c>
      <c r="H517">
        <v>0</v>
      </c>
      <c r="I517">
        <v>1</v>
      </c>
      <c r="J517">
        <v>0</v>
      </c>
      <c r="K517">
        <v>0</v>
      </c>
      <c r="L517">
        <v>0</v>
      </c>
      <c r="M517">
        <v>0</v>
      </c>
      <c r="N517">
        <v>0</v>
      </c>
      <c r="O517">
        <v>0</v>
      </c>
      <c r="P517">
        <v>0</v>
      </c>
      <c r="Q517">
        <v>0</v>
      </c>
      <c r="R517">
        <v>0</v>
      </c>
      <c r="S517">
        <v>0</v>
      </c>
      <c r="T517">
        <v>0</v>
      </c>
      <c r="U517">
        <v>0</v>
      </c>
      <c r="V517">
        <v>0</v>
      </c>
      <c r="W517">
        <v>0</v>
      </c>
      <c r="X517">
        <v>0</v>
      </c>
      <c r="Y517">
        <v>0</v>
      </c>
      <c r="Z517">
        <v>0</v>
      </c>
      <c r="AA517">
        <v>0</v>
      </c>
      <c r="AB517">
        <v>0</v>
      </c>
      <c r="AC517">
        <v>0</v>
      </c>
      <c r="AD517">
        <v>0</v>
      </c>
      <c r="AE517">
        <v>0</v>
      </c>
      <c r="AF517">
        <v>0</v>
      </c>
      <c r="AG517">
        <v>0</v>
      </c>
      <c r="AH517">
        <v>0</v>
      </c>
      <c r="AI517">
        <v>0</v>
      </c>
      <c r="AJ517">
        <v>0</v>
      </c>
      <c r="AK517">
        <v>0</v>
      </c>
      <c r="AL517">
        <v>0</v>
      </c>
      <c r="AM517">
        <v>0</v>
      </c>
      <c r="AN517">
        <v>0</v>
      </c>
      <c r="AO517">
        <v>0</v>
      </c>
      <c r="AP517">
        <v>0</v>
      </c>
      <c r="AQ517">
        <v>0</v>
      </c>
      <c r="AR517">
        <v>0</v>
      </c>
      <c r="AS517">
        <v>0</v>
      </c>
      <c r="AT517">
        <v>0</v>
      </c>
      <c r="AU517">
        <v>0</v>
      </c>
      <c r="AV517">
        <v>0</v>
      </c>
      <c r="AW517">
        <v>0</v>
      </c>
      <c r="AX517">
        <v>0</v>
      </c>
      <c r="AY517">
        <v>0</v>
      </c>
      <c r="AZ517">
        <v>0</v>
      </c>
      <c r="BA517">
        <v>0</v>
      </c>
      <c r="BB517">
        <v>0</v>
      </c>
      <c r="BC517">
        <v>0</v>
      </c>
      <c r="BD517">
        <v>0</v>
      </c>
      <c r="BE517">
        <v>0</v>
      </c>
      <c r="BF517">
        <v>0</v>
      </c>
      <c r="BG517">
        <v>0</v>
      </c>
      <c r="BH517">
        <v>0</v>
      </c>
      <c r="BI517">
        <v>0</v>
      </c>
      <c r="BJ517">
        <v>0</v>
      </c>
      <c r="BK517">
        <v>0</v>
      </c>
    </row>
    <row r="518" spans="3:63">
      <c r="C518" s="145" t="s">
        <v>26</v>
      </c>
      <c r="D518">
        <v>1</v>
      </c>
      <c r="E518">
        <v>0</v>
      </c>
      <c r="F518">
        <v>0</v>
      </c>
      <c r="G518">
        <v>0</v>
      </c>
      <c r="H518">
        <v>0</v>
      </c>
      <c r="I518">
        <v>0</v>
      </c>
      <c r="J518">
        <v>0</v>
      </c>
      <c r="K518">
        <v>0</v>
      </c>
      <c r="L518">
        <v>0</v>
      </c>
      <c r="M518">
        <v>0</v>
      </c>
      <c r="N518">
        <v>0</v>
      </c>
      <c r="O518">
        <v>0</v>
      </c>
      <c r="P518">
        <v>0</v>
      </c>
      <c r="Q518">
        <v>0</v>
      </c>
      <c r="R518">
        <v>0</v>
      </c>
      <c r="S518">
        <v>0</v>
      </c>
      <c r="T518">
        <v>0</v>
      </c>
      <c r="U518">
        <v>0</v>
      </c>
      <c r="V518">
        <v>0</v>
      </c>
      <c r="W518">
        <v>0</v>
      </c>
      <c r="X518">
        <v>0</v>
      </c>
      <c r="Y518">
        <v>0</v>
      </c>
      <c r="Z518">
        <v>0</v>
      </c>
      <c r="AA518">
        <v>0</v>
      </c>
      <c r="AB518">
        <v>0</v>
      </c>
      <c r="AC518">
        <v>0</v>
      </c>
      <c r="AD518">
        <v>0</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0</v>
      </c>
      <c r="BD518">
        <v>0</v>
      </c>
      <c r="BE518">
        <v>0</v>
      </c>
      <c r="BF518">
        <v>0</v>
      </c>
      <c r="BG518">
        <v>0</v>
      </c>
      <c r="BH518">
        <v>0</v>
      </c>
      <c r="BI518">
        <v>0</v>
      </c>
      <c r="BJ518">
        <v>0</v>
      </c>
      <c r="BK518">
        <v>0</v>
      </c>
    </row>
    <row r="519" spans="3:63">
      <c r="C519" s="145" t="s">
        <v>32</v>
      </c>
      <c r="D519">
        <v>1</v>
      </c>
      <c r="E519">
        <v>0</v>
      </c>
      <c r="F519">
        <v>0</v>
      </c>
      <c r="G519">
        <v>0</v>
      </c>
      <c r="H519">
        <v>0</v>
      </c>
      <c r="I519">
        <v>0</v>
      </c>
      <c r="J519">
        <v>0</v>
      </c>
      <c r="K519">
        <v>0</v>
      </c>
      <c r="L519">
        <v>0</v>
      </c>
      <c r="M519">
        <v>0</v>
      </c>
      <c r="N519">
        <v>0</v>
      </c>
      <c r="O519">
        <v>0</v>
      </c>
      <c r="P519">
        <v>0</v>
      </c>
      <c r="Q519">
        <v>1</v>
      </c>
      <c r="R519">
        <v>0</v>
      </c>
      <c r="S519">
        <v>0</v>
      </c>
      <c r="T519">
        <v>0</v>
      </c>
      <c r="U519">
        <v>0</v>
      </c>
      <c r="V519">
        <v>0</v>
      </c>
      <c r="W519">
        <v>0</v>
      </c>
      <c r="X519">
        <v>0</v>
      </c>
      <c r="Y519">
        <v>0</v>
      </c>
      <c r="Z519">
        <v>0</v>
      </c>
      <c r="AA519">
        <v>0</v>
      </c>
      <c r="AB519">
        <v>0</v>
      </c>
      <c r="AC519">
        <v>0</v>
      </c>
      <c r="AD519">
        <v>0</v>
      </c>
      <c r="AE519">
        <v>0</v>
      </c>
      <c r="AF519">
        <v>0</v>
      </c>
      <c r="AG519">
        <v>0</v>
      </c>
      <c r="AH519">
        <v>0</v>
      </c>
      <c r="AI519">
        <v>0</v>
      </c>
      <c r="AJ519">
        <v>0</v>
      </c>
      <c r="AK519">
        <v>0</v>
      </c>
      <c r="AL519">
        <v>0</v>
      </c>
      <c r="AM519">
        <v>0</v>
      </c>
      <c r="AN519">
        <v>0</v>
      </c>
      <c r="AO519">
        <v>0</v>
      </c>
      <c r="AP519">
        <v>0</v>
      </c>
      <c r="AQ519">
        <v>0</v>
      </c>
      <c r="AR519">
        <v>0</v>
      </c>
      <c r="AS519">
        <v>0</v>
      </c>
      <c r="AT519">
        <v>0</v>
      </c>
      <c r="AU519">
        <v>0</v>
      </c>
      <c r="AV519">
        <v>0</v>
      </c>
      <c r="AW519">
        <v>0</v>
      </c>
      <c r="AX519">
        <v>0</v>
      </c>
      <c r="AY519">
        <v>0</v>
      </c>
      <c r="AZ519">
        <v>0</v>
      </c>
      <c r="BA519">
        <v>0</v>
      </c>
      <c r="BB519">
        <v>0</v>
      </c>
      <c r="BC519">
        <v>0</v>
      </c>
      <c r="BD519">
        <v>0</v>
      </c>
      <c r="BE519">
        <v>0</v>
      </c>
      <c r="BF519">
        <v>0</v>
      </c>
      <c r="BG519">
        <v>0</v>
      </c>
      <c r="BH519">
        <v>0</v>
      </c>
      <c r="BI519">
        <v>0</v>
      </c>
      <c r="BJ519">
        <v>0</v>
      </c>
      <c r="BK519">
        <v>0</v>
      </c>
    </row>
    <row r="520" spans="3:63">
      <c r="C520" s="145" t="s">
        <v>38</v>
      </c>
      <c r="D520">
        <v>0</v>
      </c>
      <c r="E520">
        <v>0</v>
      </c>
      <c r="F520">
        <v>0</v>
      </c>
      <c r="G520">
        <v>0</v>
      </c>
      <c r="H520">
        <v>0</v>
      </c>
      <c r="I520">
        <v>0</v>
      </c>
      <c r="J520">
        <v>0</v>
      </c>
      <c r="K520">
        <v>0</v>
      </c>
      <c r="L520">
        <v>0</v>
      </c>
      <c r="M520">
        <v>0</v>
      </c>
      <c r="N520">
        <v>1</v>
      </c>
      <c r="O520">
        <v>0</v>
      </c>
      <c r="P520">
        <v>0</v>
      </c>
      <c r="Q520">
        <v>0</v>
      </c>
      <c r="R520">
        <v>0</v>
      </c>
      <c r="S520">
        <v>0</v>
      </c>
      <c r="T520">
        <v>0</v>
      </c>
      <c r="U520">
        <v>0</v>
      </c>
      <c r="V520">
        <v>0</v>
      </c>
      <c r="W520">
        <v>0</v>
      </c>
      <c r="X520">
        <v>0</v>
      </c>
      <c r="Y520">
        <v>0</v>
      </c>
      <c r="Z520">
        <v>0</v>
      </c>
      <c r="AA520">
        <v>0</v>
      </c>
      <c r="AB520">
        <v>0</v>
      </c>
      <c r="AC520">
        <v>0</v>
      </c>
      <c r="AD520">
        <v>0</v>
      </c>
      <c r="AE520">
        <v>0</v>
      </c>
      <c r="AF520">
        <v>0</v>
      </c>
      <c r="AG520">
        <v>0</v>
      </c>
      <c r="AH520">
        <v>0</v>
      </c>
      <c r="AI520">
        <v>0</v>
      </c>
      <c r="AJ520">
        <v>0</v>
      </c>
      <c r="AK520">
        <v>0</v>
      </c>
      <c r="AL520">
        <v>0</v>
      </c>
      <c r="AM520">
        <v>0</v>
      </c>
      <c r="AN520">
        <v>0</v>
      </c>
      <c r="AO520">
        <v>0</v>
      </c>
      <c r="AP520">
        <v>0</v>
      </c>
      <c r="AQ520">
        <v>0</v>
      </c>
      <c r="AR520">
        <v>0</v>
      </c>
      <c r="AS520">
        <v>0</v>
      </c>
      <c r="AT520">
        <v>0</v>
      </c>
      <c r="AU520">
        <v>0</v>
      </c>
      <c r="AV520">
        <v>0</v>
      </c>
      <c r="AW520">
        <v>0</v>
      </c>
      <c r="AX520">
        <v>0</v>
      </c>
      <c r="AY520">
        <v>0</v>
      </c>
      <c r="AZ520">
        <v>0</v>
      </c>
      <c r="BA520">
        <v>0</v>
      </c>
      <c r="BB520">
        <v>0</v>
      </c>
      <c r="BC520">
        <v>0</v>
      </c>
      <c r="BD520">
        <v>0</v>
      </c>
      <c r="BE520">
        <v>0</v>
      </c>
      <c r="BF520">
        <v>0</v>
      </c>
      <c r="BG520">
        <v>0</v>
      </c>
      <c r="BH520">
        <v>0</v>
      </c>
      <c r="BI520">
        <v>0</v>
      </c>
      <c r="BJ520">
        <v>0</v>
      </c>
      <c r="BK520">
        <v>0</v>
      </c>
    </row>
    <row r="521" spans="3:63">
      <c r="C521" s="145" t="s">
        <v>26</v>
      </c>
      <c r="D521">
        <v>1</v>
      </c>
      <c r="E521">
        <v>0</v>
      </c>
      <c r="F521">
        <v>0</v>
      </c>
      <c r="G521">
        <v>0</v>
      </c>
      <c r="H521">
        <v>0</v>
      </c>
      <c r="I521">
        <v>0</v>
      </c>
      <c r="J521">
        <v>0</v>
      </c>
      <c r="K521">
        <v>0</v>
      </c>
      <c r="L521">
        <v>0</v>
      </c>
      <c r="M521">
        <v>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v>0</v>
      </c>
      <c r="AZ521">
        <v>0</v>
      </c>
      <c r="BA521">
        <v>0</v>
      </c>
      <c r="BB521">
        <v>0</v>
      </c>
      <c r="BC521">
        <v>0</v>
      </c>
      <c r="BD521">
        <v>0</v>
      </c>
      <c r="BE521">
        <v>0</v>
      </c>
      <c r="BF521">
        <v>0</v>
      </c>
      <c r="BG521">
        <v>0</v>
      </c>
      <c r="BH521">
        <v>0</v>
      </c>
      <c r="BI521">
        <v>0</v>
      </c>
      <c r="BJ521">
        <v>0</v>
      </c>
      <c r="BK521">
        <v>0</v>
      </c>
    </row>
    <row r="522" spans="3:63">
      <c r="C522" s="145" t="s">
        <v>26</v>
      </c>
      <c r="D522">
        <v>1</v>
      </c>
      <c r="E522">
        <v>0</v>
      </c>
      <c r="F522">
        <v>0</v>
      </c>
      <c r="G522">
        <v>0</v>
      </c>
      <c r="H522">
        <v>0</v>
      </c>
      <c r="I522">
        <v>0</v>
      </c>
      <c r="J522">
        <v>0</v>
      </c>
      <c r="K522">
        <v>0</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0</v>
      </c>
      <c r="BD522">
        <v>0</v>
      </c>
      <c r="BE522">
        <v>0</v>
      </c>
      <c r="BF522">
        <v>0</v>
      </c>
      <c r="BG522">
        <v>0</v>
      </c>
      <c r="BH522">
        <v>0</v>
      </c>
      <c r="BI522">
        <v>0</v>
      </c>
      <c r="BJ522">
        <v>0</v>
      </c>
      <c r="BK522">
        <v>0</v>
      </c>
    </row>
    <row r="523" spans="3:63">
      <c r="C523" s="145" t="s">
        <v>26</v>
      </c>
      <c r="D523">
        <v>1</v>
      </c>
      <c r="E523">
        <v>0</v>
      </c>
      <c r="F523">
        <v>0</v>
      </c>
      <c r="G523">
        <v>0</v>
      </c>
      <c r="H523">
        <v>0</v>
      </c>
      <c r="I523">
        <v>0</v>
      </c>
      <c r="J523">
        <v>0</v>
      </c>
      <c r="K523">
        <v>0</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v>0</v>
      </c>
      <c r="AF523">
        <v>0</v>
      </c>
      <c r="AG523">
        <v>0</v>
      </c>
      <c r="AH523">
        <v>0</v>
      </c>
      <c r="AI523">
        <v>0</v>
      </c>
      <c r="AJ523">
        <v>0</v>
      </c>
      <c r="AK523">
        <v>0</v>
      </c>
      <c r="AL523">
        <v>0</v>
      </c>
      <c r="AM523">
        <v>0</v>
      </c>
      <c r="AN523">
        <v>0</v>
      </c>
      <c r="AO523">
        <v>0</v>
      </c>
      <c r="AP523">
        <v>0</v>
      </c>
      <c r="AQ523">
        <v>0</v>
      </c>
      <c r="AR523">
        <v>0</v>
      </c>
      <c r="AS523">
        <v>0</v>
      </c>
      <c r="AT523">
        <v>0</v>
      </c>
      <c r="AU523">
        <v>0</v>
      </c>
      <c r="AV523">
        <v>0</v>
      </c>
      <c r="AW523">
        <v>0</v>
      </c>
      <c r="AX523">
        <v>0</v>
      </c>
      <c r="AY523">
        <v>0</v>
      </c>
      <c r="AZ523">
        <v>0</v>
      </c>
      <c r="BA523">
        <v>0</v>
      </c>
      <c r="BB523">
        <v>0</v>
      </c>
      <c r="BC523">
        <v>0</v>
      </c>
      <c r="BD523">
        <v>0</v>
      </c>
      <c r="BE523">
        <v>0</v>
      </c>
      <c r="BF523">
        <v>0</v>
      </c>
      <c r="BG523">
        <v>0</v>
      </c>
      <c r="BH523">
        <v>0</v>
      </c>
      <c r="BI523">
        <v>0</v>
      </c>
      <c r="BJ523">
        <v>0</v>
      </c>
      <c r="BK523">
        <v>0</v>
      </c>
    </row>
    <row r="524" spans="3:63">
      <c r="C524" s="145" t="s">
        <v>26</v>
      </c>
      <c r="D524">
        <v>1</v>
      </c>
      <c r="E524">
        <v>0</v>
      </c>
      <c r="F524">
        <v>0</v>
      </c>
      <c r="G524">
        <v>0</v>
      </c>
      <c r="H524">
        <v>0</v>
      </c>
      <c r="I524">
        <v>0</v>
      </c>
      <c r="J524">
        <v>0</v>
      </c>
      <c r="K524">
        <v>0</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0</v>
      </c>
      <c r="AZ524">
        <v>0</v>
      </c>
      <c r="BA524">
        <v>0</v>
      </c>
      <c r="BB524">
        <v>0</v>
      </c>
      <c r="BC524">
        <v>0</v>
      </c>
      <c r="BD524">
        <v>0</v>
      </c>
      <c r="BE524">
        <v>0</v>
      </c>
      <c r="BF524">
        <v>0</v>
      </c>
      <c r="BG524">
        <v>0</v>
      </c>
      <c r="BH524">
        <v>0</v>
      </c>
      <c r="BI524">
        <v>0</v>
      </c>
      <c r="BJ524">
        <v>0</v>
      </c>
      <c r="BK524">
        <v>0</v>
      </c>
    </row>
    <row r="525" spans="3:63">
      <c r="C525" s="145" t="s">
        <v>26</v>
      </c>
      <c r="D525">
        <v>1</v>
      </c>
      <c r="E525">
        <v>0</v>
      </c>
      <c r="F525">
        <v>0</v>
      </c>
      <c r="G525">
        <v>0</v>
      </c>
      <c r="H525">
        <v>0</v>
      </c>
      <c r="I525">
        <v>0</v>
      </c>
      <c r="J525">
        <v>0</v>
      </c>
      <c r="K525">
        <v>0</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0</v>
      </c>
      <c r="BD525">
        <v>0</v>
      </c>
      <c r="BE525">
        <v>0</v>
      </c>
      <c r="BF525">
        <v>0</v>
      </c>
      <c r="BG525">
        <v>0</v>
      </c>
      <c r="BH525">
        <v>0</v>
      </c>
      <c r="BI525">
        <v>0</v>
      </c>
      <c r="BJ525">
        <v>0</v>
      </c>
      <c r="BK525">
        <v>0</v>
      </c>
    </row>
    <row r="526" spans="3:63">
      <c r="C526" s="145" t="s">
        <v>26</v>
      </c>
      <c r="D526">
        <v>1</v>
      </c>
      <c r="E526">
        <v>0</v>
      </c>
      <c r="F526">
        <v>0</v>
      </c>
      <c r="G526">
        <v>0</v>
      </c>
      <c r="H526">
        <v>0</v>
      </c>
      <c r="I526">
        <v>0</v>
      </c>
      <c r="J526">
        <v>0</v>
      </c>
      <c r="K526">
        <v>0</v>
      </c>
      <c r="L526">
        <v>0</v>
      </c>
      <c r="M526">
        <v>0</v>
      </c>
      <c r="N526">
        <v>0</v>
      </c>
      <c r="O526">
        <v>0</v>
      </c>
      <c r="P526">
        <v>0</v>
      </c>
      <c r="Q526">
        <v>0</v>
      </c>
      <c r="R526">
        <v>0</v>
      </c>
      <c r="S526">
        <v>0</v>
      </c>
      <c r="T526">
        <v>0</v>
      </c>
      <c r="U526">
        <v>0</v>
      </c>
      <c r="V526">
        <v>0</v>
      </c>
      <c r="W526">
        <v>0</v>
      </c>
      <c r="X526">
        <v>0</v>
      </c>
      <c r="Y526">
        <v>0</v>
      </c>
      <c r="Z526">
        <v>0</v>
      </c>
      <c r="AA526">
        <v>0</v>
      </c>
      <c r="AB526">
        <v>0</v>
      </c>
      <c r="AC526">
        <v>0</v>
      </c>
      <c r="AD526">
        <v>0</v>
      </c>
      <c r="AE526">
        <v>0</v>
      </c>
      <c r="AF526">
        <v>0</v>
      </c>
      <c r="AG526">
        <v>0</v>
      </c>
      <c r="AH526">
        <v>0</v>
      </c>
      <c r="AI526">
        <v>0</v>
      </c>
      <c r="AJ526">
        <v>0</v>
      </c>
      <c r="AK526">
        <v>0</v>
      </c>
      <c r="AL526">
        <v>0</v>
      </c>
      <c r="AM526">
        <v>0</v>
      </c>
      <c r="AN526">
        <v>0</v>
      </c>
      <c r="AO526">
        <v>0</v>
      </c>
      <c r="AP526">
        <v>0</v>
      </c>
      <c r="AQ526">
        <v>0</v>
      </c>
      <c r="AR526">
        <v>0</v>
      </c>
      <c r="AS526">
        <v>0</v>
      </c>
      <c r="AT526">
        <v>0</v>
      </c>
      <c r="AU526">
        <v>0</v>
      </c>
      <c r="AV526">
        <v>0</v>
      </c>
      <c r="AW526">
        <v>0</v>
      </c>
      <c r="AX526">
        <v>0</v>
      </c>
      <c r="AY526">
        <v>0</v>
      </c>
      <c r="AZ526">
        <v>0</v>
      </c>
      <c r="BA526">
        <v>0</v>
      </c>
      <c r="BB526">
        <v>0</v>
      </c>
      <c r="BC526">
        <v>0</v>
      </c>
      <c r="BD526">
        <v>0</v>
      </c>
      <c r="BE526">
        <v>0</v>
      </c>
      <c r="BF526">
        <v>0</v>
      </c>
      <c r="BG526">
        <v>0</v>
      </c>
      <c r="BH526">
        <v>0</v>
      </c>
      <c r="BI526">
        <v>0</v>
      </c>
      <c r="BJ526">
        <v>0</v>
      </c>
      <c r="BK526">
        <v>0</v>
      </c>
    </row>
    <row r="527" spans="3:63">
      <c r="C527" s="145" t="s">
        <v>954</v>
      </c>
      <c r="D527">
        <v>1</v>
      </c>
      <c r="E527">
        <v>1</v>
      </c>
      <c r="F527">
        <v>0</v>
      </c>
      <c r="G527">
        <v>0</v>
      </c>
      <c r="H527">
        <v>0</v>
      </c>
      <c r="I527">
        <v>0</v>
      </c>
      <c r="J527">
        <v>0</v>
      </c>
      <c r="K527">
        <v>0</v>
      </c>
      <c r="L527">
        <v>0</v>
      </c>
      <c r="M527">
        <v>1</v>
      </c>
      <c r="N527">
        <v>0</v>
      </c>
      <c r="O527">
        <v>0</v>
      </c>
      <c r="P527">
        <v>0</v>
      </c>
      <c r="Q527">
        <v>0</v>
      </c>
      <c r="R527">
        <v>0</v>
      </c>
      <c r="S527">
        <v>0</v>
      </c>
      <c r="T527">
        <v>0</v>
      </c>
      <c r="U527">
        <v>0</v>
      </c>
      <c r="V527">
        <v>0</v>
      </c>
      <c r="W527">
        <v>0</v>
      </c>
      <c r="X527">
        <v>0</v>
      </c>
      <c r="Y527">
        <v>0</v>
      </c>
      <c r="Z527">
        <v>0</v>
      </c>
      <c r="AA527">
        <v>0</v>
      </c>
      <c r="AB527">
        <v>0</v>
      </c>
      <c r="AC527">
        <v>0</v>
      </c>
      <c r="AD527">
        <v>0</v>
      </c>
      <c r="AE527">
        <v>0</v>
      </c>
      <c r="AF527">
        <v>0</v>
      </c>
      <c r="AG527">
        <v>0</v>
      </c>
      <c r="AH527">
        <v>0</v>
      </c>
      <c r="AI527">
        <v>0</v>
      </c>
      <c r="AJ527">
        <v>0</v>
      </c>
      <c r="AK527">
        <v>0</v>
      </c>
      <c r="AL527">
        <v>0</v>
      </c>
      <c r="AM527">
        <v>0</v>
      </c>
      <c r="AN527">
        <v>0</v>
      </c>
      <c r="AO527">
        <v>0</v>
      </c>
      <c r="AP527">
        <v>0</v>
      </c>
      <c r="AQ527">
        <v>0</v>
      </c>
      <c r="AR527">
        <v>0</v>
      </c>
      <c r="AS527">
        <v>0</v>
      </c>
      <c r="AT527">
        <v>0</v>
      </c>
      <c r="AU527">
        <v>0</v>
      </c>
      <c r="AV527">
        <v>0</v>
      </c>
      <c r="AW527">
        <v>0</v>
      </c>
      <c r="AX527">
        <v>0</v>
      </c>
      <c r="AY527">
        <v>0</v>
      </c>
      <c r="AZ527">
        <v>0</v>
      </c>
      <c r="BA527">
        <v>0</v>
      </c>
      <c r="BB527">
        <v>0</v>
      </c>
      <c r="BC527">
        <v>0</v>
      </c>
      <c r="BD527">
        <v>0</v>
      </c>
      <c r="BE527">
        <v>0</v>
      </c>
      <c r="BF527">
        <v>0</v>
      </c>
      <c r="BG527">
        <v>0</v>
      </c>
      <c r="BH527">
        <v>0</v>
      </c>
      <c r="BI527">
        <v>0</v>
      </c>
      <c r="BJ527">
        <v>0</v>
      </c>
      <c r="BK527">
        <v>0</v>
      </c>
    </row>
    <row r="528" spans="3:63">
      <c r="C528" s="145" t="s">
        <v>28</v>
      </c>
      <c r="D528">
        <v>0</v>
      </c>
      <c r="E528">
        <v>0</v>
      </c>
      <c r="F528">
        <v>0</v>
      </c>
      <c r="G528">
        <v>0</v>
      </c>
      <c r="H528">
        <v>0</v>
      </c>
      <c r="I528">
        <v>0</v>
      </c>
      <c r="J528">
        <v>0</v>
      </c>
      <c r="K528">
        <v>0</v>
      </c>
      <c r="L528">
        <v>0</v>
      </c>
      <c r="M528">
        <v>0</v>
      </c>
      <c r="N528">
        <v>0</v>
      </c>
      <c r="O528">
        <v>0</v>
      </c>
      <c r="P528">
        <v>0</v>
      </c>
      <c r="Q528">
        <v>1</v>
      </c>
      <c r="R528">
        <v>0</v>
      </c>
      <c r="S528">
        <v>0</v>
      </c>
      <c r="T528">
        <v>0</v>
      </c>
      <c r="U528">
        <v>0</v>
      </c>
      <c r="V528">
        <v>0</v>
      </c>
      <c r="W528">
        <v>0</v>
      </c>
      <c r="X528">
        <v>0</v>
      </c>
      <c r="Y528">
        <v>0</v>
      </c>
      <c r="Z528">
        <v>0</v>
      </c>
      <c r="AA528">
        <v>0</v>
      </c>
      <c r="AB528">
        <v>0</v>
      </c>
      <c r="AC528">
        <v>0</v>
      </c>
      <c r="AD528">
        <v>0</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0</v>
      </c>
      <c r="BD528">
        <v>0</v>
      </c>
      <c r="BE528">
        <v>0</v>
      </c>
      <c r="BF528">
        <v>0</v>
      </c>
      <c r="BG528">
        <v>0</v>
      </c>
      <c r="BH528">
        <v>0</v>
      </c>
      <c r="BI528">
        <v>0</v>
      </c>
      <c r="BJ528">
        <v>0</v>
      </c>
      <c r="BK528">
        <v>0</v>
      </c>
    </row>
    <row r="529" spans="3:63">
      <c r="C529" s="145" t="s">
        <v>52</v>
      </c>
      <c r="D529">
        <v>0</v>
      </c>
      <c r="E529">
        <v>0</v>
      </c>
      <c r="F529">
        <v>0</v>
      </c>
      <c r="G529">
        <v>0</v>
      </c>
      <c r="H529">
        <v>0</v>
      </c>
      <c r="I529">
        <v>0</v>
      </c>
      <c r="J529">
        <v>0</v>
      </c>
      <c r="K529">
        <v>0</v>
      </c>
      <c r="L529">
        <v>0</v>
      </c>
      <c r="M529">
        <v>0</v>
      </c>
      <c r="N529">
        <v>0</v>
      </c>
      <c r="O529">
        <v>1</v>
      </c>
      <c r="P529">
        <v>0</v>
      </c>
      <c r="Q529">
        <v>0</v>
      </c>
      <c r="R529">
        <v>0</v>
      </c>
      <c r="S529">
        <v>0</v>
      </c>
      <c r="T529">
        <v>0</v>
      </c>
      <c r="U529">
        <v>0</v>
      </c>
      <c r="V529">
        <v>0</v>
      </c>
      <c r="W529">
        <v>0</v>
      </c>
      <c r="X529">
        <v>0</v>
      </c>
      <c r="Y529">
        <v>0</v>
      </c>
      <c r="Z529">
        <v>0</v>
      </c>
      <c r="AA529">
        <v>0</v>
      </c>
      <c r="AB529">
        <v>0</v>
      </c>
      <c r="AC529">
        <v>0</v>
      </c>
      <c r="AD529">
        <v>0</v>
      </c>
      <c r="AE529">
        <v>0</v>
      </c>
      <c r="AF529">
        <v>0</v>
      </c>
      <c r="AG529">
        <v>0</v>
      </c>
      <c r="AH529">
        <v>0</v>
      </c>
      <c r="AI529">
        <v>0</v>
      </c>
      <c r="AJ529">
        <v>0</v>
      </c>
      <c r="AK529">
        <v>0</v>
      </c>
      <c r="AL529">
        <v>0</v>
      </c>
      <c r="AM529">
        <v>0</v>
      </c>
      <c r="AN529">
        <v>0</v>
      </c>
      <c r="AO529">
        <v>0</v>
      </c>
      <c r="AP529">
        <v>0</v>
      </c>
      <c r="AQ529">
        <v>0</v>
      </c>
      <c r="AR529">
        <v>0</v>
      </c>
      <c r="AS529">
        <v>0</v>
      </c>
      <c r="AT529">
        <v>0</v>
      </c>
      <c r="AU529">
        <v>0</v>
      </c>
      <c r="AV529">
        <v>0</v>
      </c>
      <c r="AW529">
        <v>0</v>
      </c>
      <c r="AX529">
        <v>0</v>
      </c>
      <c r="AY529">
        <v>0</v>
      </c>
      <c r="AZ529">
        <v>0</v>
      </c>
      <c r="BA529">
        <v>0</v>
      </c>
      <c r="BB529">
        <v>0</v>
      </c>
      <c r="BC529">
        <v>0</v>
      </c>
      <c r="BD529">
        <v>0</v>
      </c>
      <c r="BE529">
        <v>0</v>
      </c>
      <c r="BF529">
        <v>0</v>
      </c>
      <c r="BG529">
        <v>0</v>
      </c>
      <c r="BH529">
        <v>0</v>
      </c>
      <c r="BI529">
        <v>0</v>
      </c>
      <c r="BJ529">
        <v>0</v>
      </c>
      <c r="BK529">
        <v>0</v>
      </c>
    </row>
    <row r="530" spans="3:63">
      <c r="C530" s="145" t="s">
        <v>28</v>
      </c>
      <c r="D530">
        <v>0</v>
      </c>
      <c r="E530">
        <v>0</v>
      </c>
      <c r="F530">
        <v>0</v>
      </c>
      <c r="G530">
        <v>0</v>
      </c>
      <c r="H530">
        <v>0</v>
      </c>
      <c r="I530">
        <v>0</v>
      </c>
      <c r="J530">
        <v>0</v>
      </c>
      <c r="K530">
        <v>0</v>
      </c>
      <c r="L530">
        <v>0</v>
      </c>
      <c r="M530">
        <v>0</v>
      </c>
      <c r="N530">
        <v>0</v>
      </c>
      <c r="O530">
        <v>0</v>
      </c>
      <c r="P530">
        <v>0</v>
      </c>
      <c r="Q530">
        <v>1</v>
      </c>
      <c r="R530">
        <v>0</v>
      </c>
      <c r="S530">
        <v>0</v>
      </c>
      <c r="T530">
        <v>0</v>
      </c>
      <c r="U530">
        <v>0</v>
      </c>
      <c r="V530">
        <v>0</v>
      </c>
      <c r="W530">
        <v>0</v>
      </c>
      <c r="X530">
        <v>0</v>
      </c>
      <c r="Y530">
        <v>0</v>
      </c>
      <c r="Z530">
        <v>0</v>
      </c>
      <c r="AA530">
        <v>0</v>
      </c>
      <c r="AB530">
        <v>0</v>
      </c>
      <c r="AC530">
        <v>0</v>
      </c>
      <c r="AD530">
        <v>0</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0</v>
      </c>
      <c r="BD530">
        <v>0</v>
      </c>
      <c r="BE530">
        <v>0</v>
      </c>
      <c r="BF530">
        <v>0</v>
      </c>
      <c r="BG530">
        <v>0</v>
      </c>
      <c r="BH530">
        <v>0</v>
      </c>
      <c r="BI530">
        <v>0</v>
      </c>
      <c r="BJ530">
        <v>0</v>
      </c>
      <c r="BK530">
        <v>0</v>
      </c>
    </row>
    <row r="531" spans="3:63">
      <c r="C531" s="145" t="s">
        <v>955</v>
      </c>
      <c r="D531">
        <v>1</v>
      </c>
      <c r="E531">
        <v>0</v>
      </c>
      <c r="F531">
        <v>0</v>
      </c>
      <c r="G531">
        <v>1</v>
      </c>
      <c r="H531">
        <v>0</v>
      </c>
      <c r="I531">
        <v>0</v>
      </c>
      <c r="J531">
        <v>0</v>
      </c>
      <c r="K531">
        <v>0</v>
      </c>
      <c r="L531">
        <v>0</v>
      </c>
      <c r="M531">
        <v>0</v>
      </c>
      <c r="N531">
        <v>0</v>
      </c>
      <c r="O531">
        <v>1</v>
      </c>
      <c r="P531">
        <v>0</v>
      </c>
      <c r="Q531">
        <v>0</v>
      </c>
      <c r="R531">
        <v>0</v>
      </c>
      <c r="S531">
        <v>0</v>
      </c>
      <c r="T531">
        <v>0</v>
      </c>
      <c r="U531">
        <v>0</v>
      </c>
      <c r="V531">
        <v>0</v>
      </c>
      <c r="W531">
        <v>0</v>
      </c>
      <c r="X531">
        <v>0</v>
      </c>
      <c r="Y531">
        <v>0</v>
      </c>
      <c r="Z531">
        <v>0</v>
      </c>
      <c r="AA531">
        <v>0</v>
      </c>
      <c r="AB531">
        <v>0</v>
      </c>
      <c r="AC531">
        <v>0</v>
      </c>
      <c r="AD531">
        <v>0</v>
      </c>
      <c r="AE531">
        <v>0</v>
      </c>
      <c r="AF531">
        <v>0</v>
      </c>
      <c r="AG531">
        <v>0</v>
      </c>
      <c r="AH531">
        <v>0</v>
      </c>
      <c r="AI531">
        <v>0</v>
      </c>
      <c r="AJ531">
        <v>0</v>
      </c>
      <c r="AK531">
        <v>0</v>
      </c>
      <c r="AL531">
        <v>0</v>
      </c>
      <c r="AM531">
        <v>0</v>
      </c>
      <c r="AN531">
        <v>0</v>
      </c>
      <c r="AO531">
        <v>0</v>
      </c>
      <c r="AP531">
        <v>0</v>
      </c>
      <c r="AQ531">
        <v>0</v>
      </c>
      <c r="AR531">
        <v>0</v>
      </c>
      <c r="AS531">
        <v>0</v>
      </c>
      <c r="AT531">
        <v>0</v>
      </c>
      <c r="AU531">
        <v>0</v>
      </c>
      <c r="AV531">
        <v>0</v>
      </c>
      <c r="AW531">
        <v>0</v>
      </c>
      <c r="AX531">
        <v>0</v>
      </c>
      <c r="AY531">
        <v>0</v>
      </c>
      <c r="AZ531">
        <v>0</v>
      </c>
      <c r="BA531">
        <v>0</v>
      </c>
      <c r="BB531">
        <v>0</v>
      </c>
      <c r="BC531">
        <v>0</v>
      </c>
      <c r="BD531">
        <v>0</v>
      </c>
      <c r="BE531">
        <v>0</v>
      </c>
      <c r="BF531">
        <v>0</v>
      </c>
      <c r="BG531">
        <v>0</v>
      </c>
      <c r="BH531">
        <v>0</v>
      </c>
      <c r="BI531">
        <v>0</v>
      </c>
      <c r="BJ531">
        <v>0</v>
      </c>
      <c r="BK531">
        <v>0</v>
      </c>
    </row>
    <row r="532" spans="3:63">
      <c r="C532" s="145" t="s">
        <v>38</v>
      </c>
      <c r="D532">
        <v>0</v>
      </c>
      <c r="E532">
        <v>0</v>
      </c>
      <c r="F532">
        <v>0</v>
      </c>
      <c r="G532">
        <v>0</v>
      </c>
      <c r="H532">
        <v>0</v>
      </c>
      <c r="I532">
        <v>0</v>
      </c>
      <c r="J532">
        <v>0</v>
      </c>
      <c r="K532">
        <v>0</v>
      </c>
      <c r="L532">
        <v>0</v>
      </c>
      <c r="M532">
        <v>0</v>
      </c>
      <c r="N532">
        <v>1</v>
      </c>
      <c r="O532">
        <v>0</v>
      </c>
      <c r="P532">
        <v>0</v>
      </c>
      <c r="Q532">
        <v>0</v>
      </c>
      <c r="R532">
        <v>0</v>
      </c>
      <c r="S532">
        <v>0</v>
      </c>
      <c r="T532">
        <v>0</v>
      </c>
      <c r="U532">
        <v>0</v>
      </c>
      <c r="V532">
        <v>0</v>
      </c>
      <c r="W532">
        <v>0</v>
      </c>
      <c r="X532">
        <v>0</v>
      </c>
      <c r="Y532">
        <v>0</v>
      </c>
      <c r="Z532">
        <v>0</v>
      </c>
      <c r="AA532">
        <v>0</v>
      </c>
      <c r="AB532">
        <v>0</v>
      </c>
      <c r="AC532">
        <v>0</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0</v>
      </c>
      <c r="BD532">
        <v>0</v>
      </c>
      <c r="BE532">
        <v>0</v>
      </c>
      <c r="BF532">
        <v>0</v>
      </c>
      <c r="BG532">
        <v>0</v>
      </c>
      <c r="BH532">
        <v>0</v>
      </c>
      <c r="BI532">
        <v>0</v>
      </c>
      <c r="BJ532">
        <v>0</v>
      </c>
      <c r="BK532">
        <v>0</v>
      </c>
    </row>
    <row r="533" spans="3:63">
      <c r="C533" s="145" t="s">
        <v>42</v>
      </c>
      <c r="D533">
        <v>1</v>
      </c>
      <c r="E533">
        <v>0</v>
      </c>
      <c r="F533">
        <v>0</v>
      </c>
      <c r="G533">
        <v>1</v>
      </c>
      <c r="H533">
        <v>0</v>
      </c>
      <c r="I533">
        <v>0</v>
      </c>
      <c r="J533">
        <v>0</v>
      </c>
      <c r="K533">
        <v>0</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0</v>
      </c>
      <c r="BD533">
        <v>0</v>
      </c>
      <c r="BE533">
        <v>0</v>
      </c>
      <c r="BF533">
        <v>0</v>
      </c>
      <c r="BG533">
        <v>0</v>
      </c>
      <c r="BH533">
        <v>0</v>
      </c>
      <c r="BI533">
        <v>0</v>
      </c>
      <c r="BJ533">
        <v>0</v>
      </c>
      <c r="BK533">
        <v>0</v>
      </c>
    </row>
    <row r="534" spans="3:63">
      <c r="C534" s="145" t="s">
        <v>956</v>
      </c>
      <c r="D534">
        <v>1</v>
      </c>
      <c r="E534">
        <v>0</v>
      </c>
      <c r="F534">
        <v>0</v>
      </c>
      <c r="G534">
        <v>0</v>
      </c>
      <c r="H534">
        <v>1</v>
      </c>
      <c r="I534">
        <v>0</v>
      </c>
      <c r="J534">
        <v>0</v>
      </c>
      <c r="K534">
        <v>0</v>
      </c>
      <c r="L534">
        <v>0</v>
      </c>
      <c r="M534">
        <v>0</v>
      </c>
      <c r="N534">
        <v>1</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0</v>
      </c>
      <c r="AL534">
        <v>0</v>
      </c>
      <c r="AM534">
        <v>0</v>
      </c>
      <c r="AN534">
        <v>0</v>
      </c>
      <c r="AO534">
        <v>0</v>
      </c>
      <c r="AP534">
        <v>0</v>
      </c>
      <c r="AQ534">
        <v>0</v>
      </c>
      <c r="AR534">
        <v>0</v>
      </c>
      <c r="AS534">
        <v>0</v>
      </c>
      <c r="AT534">
        <v>0</v>
      </c>
      <c r="AU534">
        <v>0</v>
      </c>
      <c r="AV534">
        <v>0</v>
      </c>
      <c r="AW534">
        <v>0</v>
      </c>
      <c r="AX534">
        <v>0</v>
      </c>
      <c r="AY534">
        <v>0</v>
      </c>
      <c r="AZ534">
        <v>0</v>
      </c>
      <c r="BA534">
        <v>0</v>
      </c>
      <c r="BB534">
        <v>0</v>
      </c>
      <c r="BC534">
        <v>0</v>
      </c>
      <c r="BD534">
        <v>0</v>
      </c>
      <c r="BE534">
        <v>0</v>
      </c>
      <c r="BF534">
        <v>0</v>
      </c>
      <c r="BG534">
        <v>0</v>
      </c>
      <c r="BH534">
        <v>0</v>
      </c>
      <c r="BI534">
        <v>0</v>
      </c>
      <c r="BJ534">
        <v>0</v>
      </c>
      <c r="BK534">
        <v>0</v>
      </c>
    </row>
    <row r="535" spans="3:63">
      <c r="C535" s="145" t="s">
        <v>957</v>
      </c>
      <c r="D535">
        <v>0</v>
      </c>
      <c r="E535">
        <v>0</v>
      </c>
      <c r="F535">
        <v>0</v>
      </c>
      <c r="G535">
        <v>0</v>
      </c>
      <c r="H535">
        <v>1</v>
      </c>
      <c r="I535">
        <v>1</v>
      </c>
      <c r="J535">
        <v>0</v>
      </c>
      <c r="K535">
        <v>0</v>
      </c>
      <c r="L535">
        <v>1</v>
      </c>
      <c r="M535">
        <v>0</v>
      </c>
      <c r="N535">
        <v>0</v>
      </c>
      <c r="O535">
        <v>0</v>
      </c>
      <c r="P535">
        <v>0</v>
      </c>
      <c r="Q535">
        <v>0</v>
      </c>
      <c r="R535">
        <v>0</v>
      </c>
      <c r="S535">
        <v>0</v>
      </c>
      <c r="T535">
        <v>0</v>
      </c>
      <c r="U535">
        <v>0</v>
      </c>
      <c r="V535">
        <v>0</v>
      </c>
      <c r="W535">
        <v>0</v>
      </c>
      <c r="X535">
        <v>0</v>
      </c>
      <c r="Y535">
        <v>0</v>
      </c>
      <c r="Z535">
        <v>0</v>
      </c>
      <c r="AA535">
        <v>0</v>
      </c>
      <c r="AB535">
        <v>0</v>
      </c>
      <c r="AC535">
        <v>0</v>
      </c>
      <c r="AD535">
        <v>0</v>
      </c>
      <c r="AE535">
        <v>0</v>
      </c>
      <c r="AF535">
        <v>0</v>
      </c>
      <c r="AG535">
        <v>0</v>
      </c>
      <c r="AH535">
        <v>0</v>
      </c>
      <c r="AI535">
        <v>0</v>
      </c>
      <c r="AJ535">
        <v>0</v>
      </c>
      <c r="AK535">
        <v>0</v>
      </c>
      <c r="AL535">
        <v>0</v>
      </c>
      <c r="AM535">
        <v>0</v>
      </c>
      <c r="AN535">
        <v>0</v>
      </c>
      <c r="AO535">
        <v>0</v>
      </c>
      <c r="AP535">
        <v>0</v>
      </c>
      <c r="AQ535">
        <v>0</v>
      </c>
      <c r="AR535">
        <v>0</v>
      </c>
      <c r="AS535">
        <v>0</v>
      </c>
      <c r="AT535">
        <v>0</v>
      </c>
      <c r="AU535">
        <v>0</v>
      </c>
      <c r="AV535">
        <v>0</v>
      </c>
      <c r="AW535">
        <v>0</v>
      </c>
      <c r="AX535">
        <v>0</v>
      </c>
      <c r="AY535">
        <v>0</v>
      </c>
      <c r="AZ535">
        <v>0</v>
      </c>
      <c r="BA535">
        <v>0</v>
      </c>
      <c r="BB535">
        <v>0</v>
      </c>
      <c r="BC535">
        <v>0</v>
      </c>
      <c r="BD535">
        <v>0</v>
      </c>
      <c r="BE535">
        <v>0</v>
      </c>
      <c r="BF535">
        <v>0</v>
      </c>
      <c r="BG535">
        <v>0</v>
      </c>
      <c r="BH535">
        <v>0</v>
      </c>
      <c r="BI535">
        <v>0</v>
      </c>
      <c r="BJ535">
        <v>0</v>
      </c>
      <c r="BK535">
        <v>0</v>
      </c>
    </row>
    <row r="536" spans="3:63">
      <c r="C536" s="145" t="s">
        <v>936</v>
      </c>
      <c r="D536">
        <v>1</v>
      </c>
      <c r="E536">
        <v>0</v>
      </c>
      <c r="F536">
        <v>0</v>
      </c>
      <c r="G536">
        <v>1</v>
      </c>
      <c r="H536">
        <v>1</v>
      </c>
      <c r="I536">
        <v>0</v>
      </c>
      <c r="J536">
        <v>0</v>
      </c>
      <c r="K536">
        <v>0</v>
      </c>
      <c r="L536">
        <v>0</v>
      </c>
      <c r="M536">
        <v>0</v>
      </c>
      <c r="N536">
        <v>0</v>
      </c>
      <c r="O536">
        <v>0</v>
      </c>
      <c r="P536">
        <v>0</v>
      </c>
      <c r="Q536">
        <v>0</v>
      </c>
      <c r="R536">
        <v>0</v>
      </c>
      <c r="S536">
        <v>0</v>
      </c>
      <c r="T536">
        <v>0</v>
      </c>
      <c r="U536">
        <v>0</v>
      </c>
      <c r="V536">
        <v>0</v>
      </c>
      <c r="W536">
        <v>0</v>
      </c>
      <c r="X536">
        <v>0</v>
      </c>
      <c r="Y536">
        <v>0</v>
      </c>
      <c r="Z536">
        <v>0</v>
      </c>
      <c r="AA536">
        <v>0</v>
      </c>
      <c r="AB536">
        <v>0</v>
      </c>
      <c r="AC536">
        <v>0</v>
      </c>
      <c r="AD536">
        <v>0</v>
      </c>
      <c r="AE536">
        <v>0</v>
      </c>
      <c r="AF536">
        <v>0</v>
      </c>
      <c r="AG536">
        <v>0</v>
      </c>
      <c r="AH536">
        <v>0</v>
      </c>
      <c r="AI536">
        <v>0</v>
      </c>
      <c r="AJ536">
        <v>0</v>
      </c>
      <c r="AK536">
        <v>0</v>
      </c>
      <c r="AL536">
        <v>0</v>
      </c>
      <c r="AM536">
        <v>0</v>
      </c>
      <c r="AN536">
        <v>0</v>
      </c>
      <c r="AO536">
        <v>0</v>
      </c>
      <c r="AP536">
        <v>0</v>
      </c>
      <c r="AQ536">
        <v>0</v>
      </c>
      <c r="AR536">
        <v>0</v>
      </c>
      <c r="AS536">
        <v>0</v>
      </c>
      <c r="AT536">
        <v>0</v>
      </c>
      <c r="AU536">
        <v>0</v>
      </c>
      <c r="AV536">
        <v>0</v>
      </c>
      <c r="AW536">
        <v>0</v>
      </c>
      <c r="AX536">
        <v>0</v>
      </c>
      <c r="AY536">
        <v>0</v>
      </c>
      <c r="AZ536">
        <v>0</v>
      </c>
      <c r="BA536">
        <v>0</v>
      </c>
      <c r="BB536">
        <v>0</v>
      </c>
      <c r="BC536">
        <v>0</v>
      </c>
      <c r="BD536">
        <v>0</v>
      </c>
      <c r="BE536">
        <v>0</v>
      </c>
      <c r="BF536">
        <v>0</v>
      </c>
      <c r="BG536">
        <v>0</v>
      </c>
      <c r="BH536">
        <v>0</v>
      </c>
      <c r="BI536">
        <v>0</v>
      </c>
      <c r="BJ536">
        <v>0</v>
      </c>
      <c r="BK536">
        <v>0</v>
      </c>
    </row>
    <row r="537" spans="3:63">
      <c r="C537" s="145" t="s">
        <v>27</v>
      </c>
      <c r="D537">
        <v>0</v>
      </c>
      <c r="E537">
        <v>0</v>
      </c>
      <c r="F537">
        <v>0</v>
      </c>
      <c r="G537">
        <v>0</v>
      </c>
      <c r="H537">
        <v>0</v>
      </c>
      <c r="I537">
        <v>0</v>
      </c>
      <c r="J537">
        <v>0</v>
      </c>
      <c r="K537">
        <v>0</v>
      </c>
      <c r="L537">
        <v>1</v>
      </c>
      <c r="M537">
        <v>0</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0</v>
      </c>
      <c r="BD537">
        <v>0</v>
      </c>
      <c r="BE537">
        <v>0</v>
      </c>
      <c r="BF537">
        <v>0</v>
      </c>
      <c r="BG537">
        <v>0</v>
      </c>
      <c r="BH537">
        <v>0</v>
      </c>
      <c r="BI537">
        <v>0</v>
      </c>
      <c r="BJ537">
        <v>0</v>
      </c>
      <c r="BK537">
        <v>0</v>
      </c>
    </row>
    <row r="538" spans="3:63">
      <c r="C538" s="145" t="s">
        <v>909</v>
      </c>
      <c r="D538">
        <v>0</v>
      </c>
      <c r="E538">
        <v>0</v>
      </c>
      <c r="F538">
        <v>0</v>
      </c>
      <c r="G538">
        <v>0</v>
      </c>
      <c r="H538">
        <v>0</v>
      </c>
      <c r="I538">
        <v>1</v>
      </c>
      <c r="J538">
        <v>0</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0</v>
      </c>
      <c r="BD538">
        <v>0</v>
      </c>
      <c r="BE538">
        <v>0</v>
      </c>
      <c r="BF538">
        <v>0</v>
      </c>
      <c r="BG538">
        <v>0</v>
      </c>
      <c r="BH538">
        <v>0</v>
      </c>
      <c r="BI538">
        <v>0</v>
      </c>
      <c r="BJ538">
        <v>0</v>
      </c>
      <c r="BK538">
        <v>0</v>
      </c>
    </row>
    <row r="539" spans="3:63">
      <c r="C539" s="145" t="s">
        <v>48</v>
      </c>
      <c r="D539">
        <v>0</v>
      </c>
      <c r="E539">
        <v>0</v>
      </c>
      <c r="F539">
        <v>1</v>
      </c>
      <c r="G539">
        <v>0</v>
      </c>
      <c r="H539">
        <v>0</v>
      </c>
      <c r="I539">
        <v>0</v>
      </c>
      <c r="J539">
        <v>0</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0</v>
      </c>
      <c r="BD539">
        <v>0</v>
      </c>
      <c r="BE539">
        <v>0</v>
      </c>
      <c r="BF539">
        <v>0</v>
      </c>
      <c r="BG539">
        <v>0</v>
      </c>
      <c r="BH539">
        <v>0</v>
      </c>
      <c r="BI539">
        <v>0</v>
      </c>
      <c r="BJ539">
        <v>0</v>
      </c>
      <c r="BK539">
        <v>0</v>
      </c>
    </row>
    <row r="540" spans="3:63">
      <c r="C540" s="145" t="s">
        <v>26</v>
      </c>
      <c r="D540">
        <v>1</v>
      </c>
      <c r="E540">
        <v>0</v>
      </c>
      <c r="F540">
        <v>0</v>
      </c>
      <c r="G540">
        <v>0</v>
      </c>
      <c r="H540">
        <v>0</v>
      </c>
      <c r="I540">
        <v>0</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0</v>
      </c>
      <c r="AX540">
        <v>0</v>
      </c>
      <c r="AY540">
        <v>0</v>
      </c>
      <c r="AZ540">
        <v>0</v>
      </c>
      <c r="BA540">
        <v>0</v>
      </c>
      <c r="BB540">
        <v>0</v>
      </c>
      <c r="BC540">
        <v>0</v>
      </c>
      <c r="BD540">
        <v>0</v>
      </c>
      <c r="BE540">
        <v>0</v>
      </c>
      <c r="BF540">
        <v>0</v>
      </c>
      <c r="BG540">
        <v>0</v>
      </c>
      <c r="BH540">
        <v>0</v>
      </c>
      <c r="BI540">
        <v>0</v>
      </c>
      <c r="BJ540">
        <v>0</v>
      </c>
      <c r="BK540">
        <v>0</v>
      </c>
    </row>
    <row r="541" spans="3:63">
      <c r="C541" s="145" t="s">
        <v>28</v>
      </c>
      <c r="D541">
        <v>0</v>
      </c>
      <c r="E541">
        <v>0</v>
      </c>
      <c r="F541">
        <v>0</v>
      </c>
      <c r="G541">
        <v>0</v>
      </c>
      <c r="H541">
        <v>0</v>
      </c>
      <c r="I541">
        <v>0</v>
      </c>
      <c r="J541">
        <v>0</v>
      </c>
      <c r="K541">
        <v>0</v>
      </c>
      <c r="L541">
        <v>0</v>
      </c>
      <c r="M541">
        <v>0</v>
      </c>
      <c r="N541">
        <v>0</v>
      </c>
      <c r="O541">
        <v>0</v>
      </c>
      <c r="P541">
        <v>0</v>
      </c>
      <c r="Q541">
        <v>1</v>
      </c>
      <c r="R541">
        <v>0</v>
      </c>
      <c r="S541">
        <v>0</v>
      </c>
      <c r="T541">
        <v>0</v>
      </c>
      <c r="U541">
        <v>0</v>
      </c>
      <c r="V541">
        <v>0</v>
      </c>
      <c r="W541">
        <v>0</v>
      </c>
      <c r="X541">
        <v>0</v>
      </c>
      <c r="Y541">
        <v>0</v>
      </c>
      <c r="Z541">
        <v>0</v>
      </c>
      <c r="AA541">
        <v>0</v>
      </c>
      <c r="AB541">
        <v>0</v>
      </c>
      <c r="AC541">
        <v>0</v>
      </c>
      <c r="AD541">
        <v>0</v>
      </c>
      <c r="AE541">
        <v>0</v>
      </c>
      <c r="AF541">
        <v>0</v>
      </c>
      <c r="AG541">
        <v>0</v>
      </c>
      <c r="AH541">
        <v>0</v>
      </c>
      <c r="AI541">
        <v>0</v>
      </c>
      <c r="AJ541">
        <v>0</v>
      </c>
      <c r="AK541">
        <v>0</v>
      </c>
      <c r="AL541">
        <v>0</v>
      </c>
      <c r="AM541">
        <v>0</v>
      </c>
      <c r="AN541">
        <v>0</v>
      </c>
      <c r="AO541">
        <v>0</v>
      </c>
      <c r="AP541">
        <v>0</v>
      </c>
      <c r="AQ541">
        <v>0</v>
      </c>
      <c r="AR541">
        <v>0</v>
      </c>
      <c r="AS541">
        <v>0</v>
      </c>
      <c r="AT541">
        <v>0</v>
      </c>
      <c r="AU541">
        <v>0</v>
      </c>
      <c r="AV541">
        <v>0</v>
      </c>
      <c r="AW541">
        <v>0</v>
      </c>
      <c r="AX541">
        <v>0</v>
      </c>
      <c r="AY541">
        <v>0</v>
      </c>
      <c r="AZ541">
        <v>0</v>
      </c>
      <c r="BA541">
        <v>0</v>
      </c>
      <c r="BB541">
        <v>0</v>
      </c>
      <c r="BC541">
        <v>0</v>
      </c>
      <c r="BD541">
        <v>0</v>
      </c>
      <c r="BE541">
        <v>0</v>
      </c>
      <c r="BF541">
        <v>0</v>
      </c>
      <c r="BG541">
        <v>0</v>
      </c>
      <c r="BH541">
        <v>0</v>
      </c>
      <c r="BI541">
        <v>0</v>
      </c>
      <c r="BJ541">
        <v>0</v>
      </c>
      <c r="BK541">
        <v>0</v>
      </c>
    </row>
    <row r="542" spans="3:63">
      <c r="C542" s="145" t="s">
        <v>26</v>
      </c>
      <c r="D542">
        <v>1</v>
      </c>
      <c r="E542">
        <v>0</v>
      </c>
      <c r="F542">
        <v>0</v>
      </c>
      <c r="G542">
        <v>0</v>
      </c>
      <c r="H542">
        <v>0</v>
      </c>
      <c r="I542">
        <v>0</v>
      </c>
      <c r="J542">
        <v>0</v>
      </c>
      <c r="K542">
        <v>0</v>
      </c>
      <c r="L542">
        <v>0</v>
      </c>
      <c r="M542">
        <v>0</v>
      </c>
      <c r="N542">
        <v>0</v>
      </c>
      <c r="O542">
        <v>0</v>
      </c>
      <c r="P542">
        <v>0</v>
      </c>
      <c r="Q542">
        <v>0</v>
      </c>
      <c r="R542">
        <v>0</v>
      </c>
      <c r="S542">
        <v>0</v>
      </c>
      <c r="T542">
        <v>0</v>
      </c>
      <c r="U542">
        <v>0</v>
      </c>
      <c r="V542">
        <v>0</v>
      </c>
      <c r="W542">
        <v>0</v>
      </c>
      <c r="X542">
        <v>0</v>
      </c>
      <c r="Y542">
        <v>0</v>
      </c>
      <c r="Z542">
        <v>0</v>
      </c>
      <c r="AA542">
        <v>0</v>
      </c>
      <c r="AB542">
        <v>0</v>
      </c>
      <c r="AC542">
        <v>0</v>
      </c>
      <c r="AD542">
        <v>0</v>
      </c>
      <c r="AE542">
        <v>0</v>
      </c>
      <c r="AF542">
        <v>0</v>
      </c>
      <c r="AG542">
        <v>0</v>
      </c>
      <c r="AH542">
        <v>0</v>
      </c>
      <c r="AI542">
        <v>0</v>
      </c>
      <c r="AJ542">
        <v>0</v>
      </c>
      <c r="AK542">
        <v>0</v>
      </c>
      <c r="AL542">
        <v>0</v>
      </c>
      <c r="AM542">
        <v>0</v>
      </c>
      <c r="AN542">
        <v>0</v>
      </c>
      <c r="AO542">
        <v>0</v>
      </c>
      <c r="AP542">
        <v>0</v>
      </c>
      <c r="AQ542">
        <v>0</v>
      </c>
      <c r="AR542">
        <v>0</v>
      </c>
      <c r="AS542">
        <v>0</v>
      </c>
      <c r="AT542">
        <v>0</v>
      </c>
      <c r="AU542">
        <v>0</v>
      </c>
      <c r="AV542">
        <v>0</v>
      </c>
      <c r="AW542">
        <v>0</v>
      </c>
      <c r="AX542">
        <v>0</v>
      </c>
      <c r="AY542">
        <v>0</v>
      </c>
      <c r="AZ542">
        <v>0</v>
      </c>
      <c r="BA542">
        <v>0</v>
      </c>
      <c r="BB542">
        <v>0</v>
      </c>
      <c r="BC542">
        <v>0</v>
      </c>
      <c r="BD542">
        <v>0</v>
      </c>
      <c r="BE542">
        <v>0</v>
      </c>
      <c r="BF542">
        <v>0</v>
      </c>
      <c r="BG542">
        <v>0</v>
      </c>
      <c r="BH542">
        <v>0</v>
      </c>
      <c r="BI542">
        <v>0</v>
      </c>
      <c r="BJ542">
        <v>0</v>
      </c>
      <c r="BK542">
        <v>0</v>
      </c>
    </row>
    <row r="543" spans="3:63">
      <c r="C543" s="145" t="s">
        <v>958</v>
      </c>
      <c r="D543">
        <v>1</v>
      </c>
      <c r="E543">
        <v>0</v>
      </c>
      <c r="F543">
        <v>0</v>
      </c>
      <c r="G543">
        <v>0</v>
      </c>
      <c r="H543">
        <v>0</v>
      </c>
      <c r="I543">
        <v>0</v>
      </c>
      <c r="J543">
        <v>0</v>
      </c>
      <c r="K543">
        <v>0</v>
      </c>
      <c r="L543">
        <v>0</v>
      </c>
      <c r="M543">
        <v>1</v>
      </c>
      <c r="N543">
        <v>1</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0</v>
      </c>
      <c r="AL543">
        <v>0</v>
      </c>
      <c r="AM543">
        <v>0</v>
      </c>
      <c r="AN543">
        <v>0</v>
      </c>
      <c r="AO543">
        <v>0</v>
      </c>
      <c r="AP543">
        <v>0</v>
      </c>
      <c r="AQ543">
        <v>0</v>
      </c>
      <c r="AR543">
        <v>0</v>
      </c>
      <c r="AS543">
        <v>0</v>
      </c>
      <c r="AT543">
        <v>0</v>
      </c>
      <c r="AU543">
        <v>0</v>
      </c>
      <c r="AV543">
        <v>0</v>
      </c>
      <c r="AW543">
        <v>0</v>
      </c>
      <c r="AX543">
        <v>0</v>
      </c>
      <c r="AY543">
        <v>0</v>
      </c>
      <c r="AZ543">
        <v>0</v>
      </c>
      <c r="BA543">
        <v>0</v>
      </c>
      <c r="BB543">
        <v>0</v>
      </c>
      <c r="BC543">
        <v>0</v>
      </c>
      <c r="BD543">
        <v>0</v>
      </c>
      <c r="BE543">
        <v>0</v>
      </c>
      <c r="BF543">
        <v>0</v>
      </c>
      <c r="BG543">
        <v>0</v>
      </c>
      <c r="BH543">
        <v>0</v>
      </c>
      <c r="BI543">
        <v>0</v>
      </c>
      <c r="BJ543">
        <v>0</v>
      </c>
      <c r="BK543">
        <v>0</v>
      </c>
    </row>
    <row r="544" spans="3:63">
      <c r="C544" s="145" t="s">
        <v>909</v>
      </c>
      <c r="D544">
        <v>0</v>
      </c>
      <c r="E544">
        <v>0</v>
      </c>
      <c r="F544">
        <v>0</v>
      </c>
      <c r="G544">
        <v>0</v>
      </c>
      <c r="H544">
        <v>0</v>
      </c>
      <c r="I544">
        <v>1</v>
      </c>
      <c r="J544">
        <v>0</v>
      </c>
      <c r="K544">
        <v>0</v>
      </c>
      <c r="L544">
        <v>0</v>
      </c>
      <c r="M544">
        <v>0</v>
      </c>
      <c r="N544">
        <v>0</v>
      </c>
      <c r="O544">
        <v>0</v>
      </c>
      <c r="P544">
        <v>0</v>
      </c>
      <c r="Q544">
        <v>0</v>
      </c>
      <c r="R544">
        <v>0</v>
      </c>
      <c r="S544">
        <v>0</v>
      </c>
      <c r="T544">
        <v>0</v>
      </c>
      <c r="U544">
        <v>0</v>
      </c>
      <c r="V544">
        <v>0</v>
      </c>
      <c r="W544">
        <v>0</v>
      </c>
      <c r="X544">
        <v>0</v>
      </c>
      <c r="Y544">
        <v>0</v>
      </c>
      <c r="Z544">
        <v>0</v>
      </c>
      <c r="AA544">
        <v>0</v>
      </c>
      <c r="AB544">
        <v>0</v>
      </c>
      <c r="AC544">
        <v>0</v>
      </c>
      <c r="AD544">
        <v>0</v>
      </c>
      <c r="AE544">
        <v>0</v>
      </c>
      <c r="AF544">
        <v>0</v>
      </c>
      <c r="AG544">
        <v>0</v>
      </c>
      <c r="AH544">
        <v>0</v>
      </c>
      <c r="AI544">
        <v>0</v>
      </c>
      <c r="AJ544">
        <v>0</v>
      </c>
      <c r="AK544">
        <v>0</v>
      </c>
      <c r="AL544">
        <v>0</v>
      </c>
      <c r="AM544">
        <v>0</v>
      </c>
      <c r="AN544">
        <v>0</v>
      </c>
      <c r="AO544">
        <v>0</v>
      </c>
      <c r="AP544">
        <v>0</v>
      </c>
      <c r="AQ544">
        <v>0</v>
      </c>
      <c r="AR544">
        <v>0</v>
      </c>
      <c r="AS544">
        <v>0</v>
      </c>
      <c r="AT544">
        <v>0</v>
      </c>
      <c r="AU544">
        <v>0</v>
      </c>
      <c r="AV544">
        <v>0</v>
      </c>
      <c r="AW544">
        <v>0</v>
      </c>
      <c r="AX544">
        <v>0</v>
      </c>
      <c r="AY544">
        <v>0</v>
      </c>
      <c r="AZ544">
        <v>0</v>
      </c>
      <c r="BA544">
        <v>0</v>
      </c>
      <c r="BB544">
        <v>0</v>
      </c>
      <c r="BC544">
        <v>0</v>
      </c>
      <c r="BD544">
        <v>0</v>
      </c>
      <c r="BE544">
        <v>0</v>
      </c>
      <c r="BF544">
        <v>0</v>
      </c>
      <c r="BG544">
        <v>0</v>
      </c>
      <c r="BH544">
        <v>0</v>
      </c>
      <c r="BI544">
        <v>0</v>
      </c>
      <c r="BJ544">
        <v>0</v>
      </c>
      <c r="BK544">
        <v>0</v>
      </c>
    </row>
    <row r="545" spans="3:63">
      <c r="C545" s="145" t="s">
        <v>52</v>
      </c>
      <c r="D545">
        <v>0</v>
      </c>
      <c r="E545">
        <v>0</v>
      </c>
      <c r="F545">
        <v>0</v>
      </c>
      <c r="G545">
        <v>0</v>
      </c>
      <c r="H545">
        <v>0</v>
      </c>
      <c r="I545">
        <v>0</v>
      </c>
      <c r="J545">
        <v>0</v>
      </c>
      <c r="K545">
        <v>0</v>
      </c>
      <c r="L545">
        <v>0</v>
      </c>
      <c r="M545">
        <v>0</v>
      </c>
      <c r="N545">
        <v>0</v>
      </c>
      <c r="O545">
        <v>1</v>
      </c>
      <c r="P545">
        <v>0</v>
      </c>
      <c r="Q545">
        <v>0</v>
      </c>
      <c r="R545">
        <v>0</v>
      </c>
      <c r="S545">
        <v>0</v>
      </c>
      <c r="T545">
        <v>0</v>
      </c>
      <c r="U545">
        <v>0</v>
      </c>
      <c r="V545">
        <v>0</v>
      </c>
      <c r="W545">
        <v>0</v>
      </c>
      <c r="X545">
        <v>0</v>
      </c>
      <c r="Y545">
        <v>0</v>
      </c>
      <c r="Z545">
        <v>0</v>
      </c>
      <c r="AA545">
        <v>0</v>
      </c>
      <c r="AB545">
        <v>0</v>
      </c>
      <c r="AC545">
        <v>0</v>
      </c>
      <c r="AD545">
        <v>0</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0</v>
      </c>
      <c r="BD545">
        <v>0</v>
      </c>
      <c r="BE545">
        <v>0</v>
      </c>
      <c r="BF545">
        <v>0</v>
      </c>
      <c r="BG545">
        <v>0</v>
      </c>
      <c r="BH545">
        <v>0</v>
      </c>
      <c r="BI545">
        <v>0</v>
      </c>
      <c r="BJ545">
        <v>0</v>
      </c>
      <c r="BK545">
        <v>0</v>
      </c>
    </row>
    <row r="546" spans="3:63">
      <c r="C546" s="145" t="s">
        <v>26</v>
      </c>
      <c r="D546">
        <v>1</v>
      </c>
      <c r="E546">
        <v>0</v>
      </c>
      <c r="F546">
        <v>0</v>
      </c>
      <c r="G546">
        <v>0</v>
      </c>
      <c r="H546">
        <v>0</v>
      </c>
      <c r="I546">
        <v>0</v>
      </c>
      <c r="J546">
        <v>0</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0</v>
      </c>
      <c r="BD546">
        <v>0</v>
      </c>
      <c r="BE546">
        <v>0</v>
      </c>
      <c r="BF546">
        <v>0</v>
      </c>
      <c r="BG546">
        <v>0</v>
      </c>
      <c r="BH546">
        <v>0</v>
      </c>
      <c r="BI546">
        <v>0</v>
      </c>
      <c r="BJ546">
        <v>0</v>
      </c>
      <c r="BK546">
        <v>0</v>
      </c>
    </row>
    <row r="547" spans="3:63">
      <c r="C547" s="145" t="s">
        <v>38</v>
      </c>
      <c r="D547">
        <v>0</v>
      </c>
      <c r="E547">
        <v>0</v>
      </c>
      <c r="F547">
        <v>0</v>
      </c>
      <c r="G547">
        <v>0</v>
      </c>
      <c r="H547">
        <v>0</v>
      </c>
      <c r="I547">
        <v>0</v>
      </c>
      <c r="J547">
        <v>0</v>
      </c>
      <c r="K547">
        <v>0</v>
      </c>
      <c r="L547">
        <v>0</v>
      </c>
      <c r="M547">
        <v>0</v>
      </c>
      <c r="N547">
        <v>1</v>
      </c>
      <c r="O547">
        <v>0</v>
      </c>
      <c r="P547">
        <v>0</v>
      </c>
      <c r="Q547">
        <v>0</v>
      </c>
      <c r="R547">
        <v>0</v>
      </c>
      <c r="S547">
        <v>0</v>
      </c>
      <c r="T547">
        <v>0</v>
      </c>
      <c r="U547">
        <v>0</v>
      </c>
      <c r="V547">
        <v>0</v>
      </c>
      <c r="W547">
        <v>0</v>
      </c>
      <c r="X547">
        <v>0</v>
      </c>
      <c r="Y547">
        <v>0</v>
      </c>
      <c r="Z547">
        <v>0</v>
      </c>
      <c r="AA547">
        <v>0</v>
      </c>
      <c r="AB547">
        <v>0</v>
      </c>
      <c r="AC547">
        <v>0</v>
      </c>
      <c r="AD547">
        <v>0</v>
      </c>
      <c r="AE547">
        <v>0</v>
      </c>
      <c r="AF547">
        <v>0</v>
      </c>
      <c r="AG547">
        <v>0</v>
      </c>
      <c r="AH547">
        <v>0</v>
      </c>
      <c r="AI547">
        <v>0</v>
      </c>
      <c r="AJ547">
        <v>0</v>
      </c>
      <c r="AK547">
        <v>0</v>
      </c>
      <c r="AL547">
        <v>0</v>
      </c>
      <c r="AM547">
        <v>0</v>
      </c>
      <c r="AN547">
        <v>0</v>
      </c>
      <c r="AO547">
        <v>0</v>
      </c>
      <c r="AP547">
        <v>0</v>
      </c>
      <c r="AQ547">
        <v>0</v>
      </c>
      <c r="AR547">
        <v>0</v>
      </c>
      <c r="AS547">
        <v>0</v>
      </c>
      <c r="AT547">
        <v>0</v>
      </c>
      <c r="AU547">
        <v>0</v>
      </c>
      <c r="AV547">
        <v>0</v>
      </c>
      <c r="AW547">
        <v>0</v>
      </c>
      <c r="AX547">
        <v>0</v>
      </c>
      <c r="AY547">
        <v>0</v>
      </c>
      <c r="AZ547">
        <v>0</v>
      </c>
      <c r="BA547">
        <v>0</v>
      </c>
      <c r="BB547">
        <v>0</v>
      </c>
      <c r="BC547">
        <v>0</v>
      </c>
      <c r="BD547">
        <v>0</v>
      </c>
      <c r="BE547">
        <v>0</v>
      </c>
      <c r="BF547">
        <v>0</v>
      </c>
      <c r="BG547">
        <v>0</v>
      </c>
      <c r="BH547">
        <v>0</v>
      </c>
      <c r="BI547">
        <v>0</v>
      </c>
      <c r="BJ547">
        <v>0</v>
      </c>
      <c r="BK547">
        <v>0</v>
      </c>
    </row>
    <row r="548" spans="3:63">
      <c r="C548" s="145" t="s">
        <v>32</v>
      </c>
      <c r="D548">
        <v>1</v>
      </c>
      <c r="E548">
        <v>0</v>
      </c>
      <c r="F548">
        <v>0</v>
      </c>
      <c r="G548">
        <v>0</v>
      </c>
      <c r="H548">
        <v>0</v>
      </c>
      <c r="I548">
        <v>0</v>
      </c>
      <c r="J548">
        <v>0</v>
      </c>
      <c r="K548">
        <v>0</v>
      </c>
      <c r="L548">
        <v>0</v>
      </c>
      <c r="M548">
        <v>0</v>
      </c>
      <c r="N548">
        <v>0</v>
      </c>
      <c r="O548">
        <v>0</v>
      </c>
      <c r="P548">
        <v>0</v>
      </c>
      <c r="Q548">
        <v>1</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0</v>
      </c>
      <c r="BD548">
        <v>0</v>
      </c>
      <c r="BE548">
        <v>0</v>
      </c>
      <c r="BF548">
        <v>0</v>
      </c>
      <c r="BG548">
        <v>0</v>
      </c>
      <c r="BH548">
        <v>0</v>
      </c>
      <c r="BI548">
        <v>0</v>
      </c>
      <c r="BJ548">
        <v>0</v>
      </c>
      <c r="BK548">
        <v>0</v>
      </c>
    </row>
    <row r="549" spans="3:63">
      <c r="C549" s="145" t="s">
        <v>32</v>
      </c>
      <c r="D549">
        <v>1</v>
      </c>
      <c r="E549">
        <v>0</v>
      </c>
      <c r="F549">
        <v>0</v>
      </c>
      <c r="G549">
        <v>0</v>
      </c>
      <c r="H549">
        <v>0</v>
      </c>
      <c r="I549">
        <v>0</v>
      </c>
      <c r="J549">
        <v>0</v>
      </c>
      <c r="K549">
        <v>0</v>
      </c>
      <c r="L549">
        <v>0</v>
      </c>
      <c r="M549">
        <v>0</v>
      </c>
      <c r="N549">
        <v>0</v>
      </c>
      <c r="O549">
        <v>0</v>
      </c>
      <c r="P549">
        <v>0</v>
      </c>
      <c r="Q549">
        <v>1</v>
      </c>
      <c r="R549">
        <v>0</v>
      </c>
      <c r="S549">
        <v>0</v>
      </c>
      <c r="T549">
        <v>0</v>
      </c>
      <c r="U549">
        <v>0</v>
      </c>
      <c r="V549">
        <v>0</v>
      </c>
      <c r="W549">
        <v>0</v>
      </c>
      <c r="X549">
        <v>0</v>
      </c>
      <c r="Y549">
        <v>0</v>
      </c>
      <c r="Z549">
        <v>0</v>
      </c>
      <c r="AA549">
        <v>0</v>
      </c>
      <c r="AB549">
        <v>0</v>
      </c>
      <c r="AC549">
        <v>0</v>
      </c>
      <c r="AD549">
        <v>0</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0</v>
      </c>
      <c r="BD549">
        <v>0</v>
      </c>
      <c r="BE549">
        <v>0</v>
      </c>
      <c r="BF549">
        <v>0</v>
      </c>
      <c r="BG549">
        <v>0</v>
      </c>
      <c r="BH549">
        <v>0</v>
      </c>
      <c r="BI549">
        <v>0</v>
      </c>
      <c r="BJ549">
        <v>0</v>
      </c>
      <c r="BK549">
        <v>0</v>
      </c>
    </row>
    <row r="550" spans="3:63">
      <c r="C550" s="145" t="s">
        <v>900</v>
      </c>
      <c r="D550">
        <v>1</v>
      </c>
      <c r="E550">
        <v>1</v>
      </c>
      <c r="F550">
        <v>1</v>
      </c>
      <c r="G550">
        <v>0</v>
      </c>
      <c r="H550">
        <v>0</v>
      </c>
      <c r="I550">
        <v>0</v>
      </c>
      <c r="J550">
        <v>0</v>
      </c>
      <c r="K550">
        <v>0</v>
      </c>
      <c r="L550">
        <v>0</v>
      </c>
      <c r="M550">
        <v>0</v>
      </c>
      <c r="N550">
        <v>0</v>
      </c>
      <c r="O550">
        <v>0</v>
      </c>
      <c r="P550">
        <v>0</v>
      </c>
      <c r="Q550">
        <v>0</v>
      </c>
      <c r="R550">
        <v>0</v>
      </c>
      <c r="S550">
        <v>0</v>
      </c>
      <c r="T550">
        <v>0</v>
      </c>
      <c r="U550">
        <v>0</v>
      </c>
      <c r="V550">
        <v>0</v>
      </c>
      <c r="W550">
        <v>0</v>
      </c>
      <c r="X550">
        <v>0</v>
      </c>
      <c r="Y550">
        <v>0</v>
      </c>
      <c r="Z550">
        <v>0</v>
      </c>
      <c r="AA550">
        <v>0</v>
      </c>
      <c r="AB550">
        <v>0</v>
      </c>
      <c r="AC550">
        <v>0</v>
      </c>
      <c r="AD550">
        <v>0</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0</v>
      </c>
      <c r="BD550">
        <v>0</v>
      </c>
      <c r="BE550">
        <v>0</v>
      </c>
      <c r="BF550">
        <v>0</v>
      </c>
      <c r="BG550">
        <v>0</v>
      </c>
      <c r="BH550">
        <v>0</v>
      </c>
      <c r="BI550">
        <v>0</v>
      </c>
      <c r="BJ550">
        <v>0</v>
      </c>
      <c r="BK550">
        <v>0</v>
      </c>
    </row>
    <row r="551" spans="3:63">
      <c r="C551" s="145" t="s">
        <v>26</v>
      </c>
      <c r="D551">
        <v>1</v>
      </c>
      <c r="E551">
        <v>0</v>
      </c>
      <c r="F551">
        <v>0</v>
      </c>
      <c r="G551">
        <v>0</v>
      </c>
      <c r="H551">
        <v>0</v>
      </c>
      <c r="I551">
        <v>0</v>
      </c>
      <c r="J551">
        <v>0</v>
      </c>
      <c r="K551">
        <v>0</v>
      </c>
      <c r="L551">
        <v>0</v>
      </c>
      <c r="M551">
        <v>0</v>
      </c>
      <c r="N551">
        <v>0</v>
      </c>
      <c r="O551">
        <v>0</v>
      </c>
      <c r="P551">
        <v>0</v>
      </c>
      <c r="Q551">
        <v>0</v>
      </c>
      <c r="R551">
        <v>0</v>
      </c>
      <c r="S551">
        <v>0</v>
      </c>
      <c r="T551">
        <v>0</v>
      </c>
      <c r="U551">
        <v>0</v>
      </c>
      <c r="V551">
        <v>0</v>
      </c>
      <c r="W551">
        <v>0</v>
      </c>
      <c r="X551">
        <v>0</v>
      </c>
      <c r="Y551">
        <v>0</v>
      </c>
      <c r="Z551">
        <v>0</v>
      </c>
      <c r="AA551">
        <v>0</v>
      </c>
      <c r="AB551">
        <v>0</v>
      </c>
      <c r="AC551">
        <v>0</v>
      </c>
      <c r="AD551">
        <v>0</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0</v>
      </c>
      <c r="BD551">
        <v>0</v>
      </c>
      <c r="BE551">
        <v>0</v>
      </c>
      <c r="BF551">
        <v>0</v>
      </c>
      <c r="BG551">
        <v>0</v>
      </c>
      <c r="BH551">
        <v>0</v>
      </c>
      <c r="BI551">
        <v>0</v>
      </c>
      <c r="BJ551">
        <v>0</v>
      </c>
      <c r="BK551">
        <v>0</v>
      </c>
    </row>
    <row r="552" spans="3:63">
      <c r="C552" s="145" t="s">
        <v>933</v>
      </c>
      <c r="D552">
        <v>0</v>
      </c>
      <c r="E552">
        <v>0</v>
      </c>
      <c r="F552">
        <v>0</v>
      </c>
      <c r="G552">
        <v>0</v>
      </c>
      <c r="H552">
        <v>1</v>
      </c>
      <c r="I552">
        <v>1</v>
      </c>
      <c r="J552">
        <v>0</v>
      </c>
      <c r="K552">
        <v>0</v>
      </c>
      <c r="L552">
        <v>0</v>
      </c>
      <c r="M552">
        <v>0</v>
      </c>
      <c r="N552">
        <v>0</v>
      </c>
      <c r="O552">
        <v>0</v>
      </c>
      <c r="P552">
        <v>0</v>
      </c>
      <c r="Q552">
        <v>0</v>
      </c>
      <c r="R552">
        <v>0</v>
      </c>
      <c r="S552">
        <v>0</v>
      </c>
      <c r="T552">
        <v>0</v>
      </c>
      <c r="U552">
        <v>0</v>
      </c>
      <c r="V552">
        <v>0</v>
      </c>
      <c r="W552">
        <v>0</v>
      </c>
      <c r="X552">
        <v>0</v>
      </c>
      <c r="Y552">
        <v>0</v>
      </c>
      <c r="Z552">
        <v>0</v>
      </c>
      <c r="AA552">
        <v>0</v>
      </c>
      <c r="AB552">
        <v>0</v>
      </c>
      <c r="AC552">
        <v>0</v>
      </c>
      <c r="AD552">
        <v>0</v>
      </c>
      <c r="AE552">
        <v>0</v>
      </c>
      <c r="AF552">
        <v>0</v>
      </c>
      <c r="AG552">
        <v>0</v>
      </c>
      <c r="AH552">
        <v>0</v>
      </c>
      <c r="AI552">
        <v>0</v>
      </c>
      <c r="AJ552">
        <v>0</v>
      </c>
      <c r="AK552">
        <v>0</v>
      </c>
      <c r="AL552">
        <v>0</v>
      </c>
      <c r="AM552">
        <v>0</v>
      </c>
      <c r="AN552">
        <v>0</v>
      </c>
      <c r="AO552">
        <v>0</v>
      </c>
      <c r="AP552">
        <v>0</v>
      </c>
      <c r="AQ552">
        <v>0</v>
      </c>
      <c r="AR552">
        <v>0</v>
      </c>
      <c r="AS552">
        <v>0</v>
      </c>
      <c r="AT552">
        <v>0</v>
      </c>
      <c r="AU552">
        <v>0</v>
      </c>
      <c r="AV552">
        <v>0</v>
      </c>
      <c r="AW552">
        <v>0</v>
      </c>
      <c r="AX552">
        <v>0</v>
      </c>
      <c r="AY552">
        <v>0</v>
      </c>
      <c r="AZ552">
        <v>0</v>
      </c>
      <c r="BA552">
        <v>0</v>
      </c>
      <c r="BB552">
        <v>0</v>
      </c>
      <c r="BC552">
        <v>0</v>
      </c>
      <c r="BD552">
        <v>0</v>
      </c>
      <c r="BE552">
        <v>0</v>
      </c>
      <c r="BF552">
        <v>0</v>
      </c>
      <c r="BG552">
        <v>0</v>
      </c>
      <c r="BH552">
        <v>0</v>
      </c>
      <c r="BI552">
        <v>0</v>
      </c>
      <c r="BJ552">
        <v>0</v>
      </c>
      <c r="BK552">
        <v>0</v>
      </c>
    </row>
    <row r="553" spans="3:63">
      <c r="C553" s="145" t="s">
        <v>47</v>
      </c>
      <c r="D553">
        <v>0</v>
      </c>
      <c r="E553">
        <v>1</v>
      </c>
      <c r="F553">
        <v>0</v>
      </c>
      <c r="G553">
        <v>0</v>
      </c>
      <c r="H553">
        <v>0</v>
      </c>
      <c r="I553">
        <v>0</v>
      </c>
      <c r="J553">
        <v>0</v>
      </c>
      <c r="K553">
        <v>0</v>
      </c>
      <c r="L553">
        <v>0</v>
      </c>
      <c r="M553">
        <v>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0</v>
      </c>
      <c r="AJ553">
        <v>0</v>
      </c>
      <c r="AK553">
        <v>0</v>
      </c>
      <c r="AL553">
        <v>0</v>
      </c>
      <c r="AM553">
        <v>0</v>
      </c>
      <c r="AN553">
        <v>0</v>
      </c>
      <c r="AO553">
        <v>0</v>
      </c>
      <c r="AP553">
        <v>0</v>
      </c>
      <c r="AQ553">
        <v>0</v>
      </c>
      <c r="AR553">
        <v>0</v>
      </c>
      <c r="AS553">
        <v>0</v>
      </c>
      <c r="AT553">
        <v>0</v>
      </c>
      <c r="AU553">
        <v>0</v>
      </c>
      <c r="AV553">
        <v>0</v>
      </c>
      <c r="AW553">
        <v>0</v>
      </c>
      <c r="AX553">
        <v>0</v>
      </c>
      <c r="AY553">
        <v>0</v>
      </c>
      <c r="AZ553">
        <v>0</v>
      </c>
      <c r="BA553">
        <v>0</v>
      </c>
      <c r="BB553">
        <v>0</v>
      </c>
      <c r="BC553">
        <v>0</v>
      </c>
      <c r="BD553">
        <v>0</v>
      </c>
      <c r="BE553">
        <v>0</v>
      </c>
      <c r="BF553">
        <v>0</v>
      </c>
      <c r="BG553">
        <v>0</v>
      </c>
      <c r="BH553">
        <v>0</v>
      </c>
      <c r="BI553">
        <v>0</v>
      </c>
      <c r="BJ553">
        <v>0</v>
      </c>
      <c r="BK553">
        <v>0</v>
      </c>
    </row>
    <row r="554" spans="3:63">
      <c r="C554" s="145" t="s">
        <v>26</v>
      </c>
      <c r="D554">
        <v>1</v>
      </c>
      <c r="E554">
        <v>0</v>
      </c>
      <c r="F554">
        <v>0</v>
      </c>
      <c r="G554">
        <v>0</v>
      </c>
      <c r="H554">
        <v>0</v>
      </c>
      <c r="I554">
        <v>0</v>
      </c>
      <c r="J554">
        <v>0</v>
      </c>
      <c r="K554">
        <v>0</v>
      </c>
      <c r="L554">
        <v>0</v>
      </c>
      <c r="M554">
        <v>0</v>
      </c>
      <c r="N554">
        <v>0</v>
      </c>
      <c r="O554">
        <v>0</v>
      </c>
      <c r="P554">
        <v>0</v>
      </c>
      <c r="Q554">
        <v>0</v>
      </c>
      <c r="R554">
        <v>0</v>
      </c>
      <c r="S554">
        <v>0</v>
      </c>
      <c r="T554">
        <v>0</v>
      </c>
      <c r="U554">
        <v>0</v>
      </c>
      <c r="V554">
        <v>0</v>
      </c>
      <c r="W554">
        <v>0</v>
      </c>
      <c r="X554">
        <v>0</v>
      </c>
      <c r="Y554">
        <v>0</v>
      </c>
      <c r="Z554">
        <v>0</v>
      </c>
      <c r="AA554">
        <v>0</v>
      </c>
      <c r="AB554">
        <v>0</v>
      </c>
      <c r="AC554">
        <v>0</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0</v>
      </c>
      <c r="BD554">
        <v>0</v>
      </c>
      <c r="BE554">
        <v>0</v>
      </c>
      <c r="BF554">
        <v>0</v>
      </c>
      <c r="BG554">
        <v>0</v>
      </c>
      <c r="BH554">
        <v>0</v>
      </c>
      <c r="BI554">
        <v>0</v>
      </c>
      <c r="BJ554">
        <v>0</v>
      </c>
      <c r="BK554">
        <v>0</v>
      </c>
    </row>
    <row r="555" spans="3:63">
      <c r="C555" s="145" t="s">
        <v>26</v>
      </c>
      <c r="D555">
        <v>1</v>
      </c>
      <c r="E555">
        <v>0</v>
      </c>
      <c r="F555">
        <v>0</v>
      </c>
      <c r="G555">
        <v>0</v>
      </c>
      <c r="H555">
        <v>0</v>
      </c>
      <c r="I555">
        <v>0</v>
      </c>
      <c r="J555">
        <v>0</v>
      </c>
      <c r="K555">
        <v>0</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v>0</v>
      </c>
      <c r="AF555">
        <v>0</v>
      </c>
      <c r="AG555">
        <v>0</v>
      </c>
      <c r="AH555">
        <v>0</v>
      </c>
      <c r="AI555">
        <v>0</v>
      </c>
      <c r="AJ555">
        <v>0</v>
      </c>
      <c r="AK555">
        <v>0</v>
      </c>
      <c r="AL555">
        <v>0</v>
      </c>
      <c r="AM555">
        <v>0</v>
      </c>
      <c r="AN555">
        <v>0</v>
      </c>
      <c r="AO555">
        <v>0</v>
      </c>
      <c r="AP555">
        <v>0</v>
      </c>
      <c r="AQ555">
        <v>0</v>
      </c>
      <c r="AR555">
        <v>0</v>
      </c>
      <c r="AS555">
        <v>0</v>
      </c>
      <c r="AT555">
        <v>0</v>
      </c>
      <c r="AU555">
        <v>0</v>
      </c>
      <c r="AV555">
        <v>0</v>
      </c>
      <c r="AW555">
        <v>0</v>
      </c>
      <c r="AX555">
        <v>0</v>
      </c>
      <c r="AY555">
        <v>0</v>
      </c>
      <c r="AZ555">
        <v>0</v>
      </c>
      <c r="BA555">
        <v>0</v>
      </c>
      <c r="BB555">
        <v>0</v>
      </c>
      <c r="BC555">
        <v>0</v>
      </c>
      <c r="BD555">
        <v>0</v>
      </c>
      <c r="BE555">
        <v>0</v>
      </c>
      <c r="BF555">
        <v>0</v>
      </c>
      <c r="BG555">
        <v>0</v>
      </c>
      <c r="BH555">
        <v>0</v>
      </c>
      <c r="BI555">
        <v>0</v>
      </c>
      <c r="BJ555">
        <v>0</v>
      </c>
      <c r="BK555">
        <v>0</v>
      </c>
    </row>
    <row r="556" spans="3:63">
      <c r="C556" s="145" t="s">
        <v>959</v>
      </c>
      <c r="D556">
        <v>0</v>
      </c>
      <c r="E556">
        <v>0</v>
      </c>
      <c r="F556">
        <v>0</v>
      </c>
      <c r="G556">
        <v>1</v>
      </c>
      <c r="H556">
        <v>0</v>
      </c>
      <c r="I556">
        <v>0</v>
      </c>
      <c r="J556">
        <v>0</v>
      </c>
      <c r="K556">
        <v>1</v>
      </c>
      <c r="L556">
        <v>0</v>
      </c>
      <c r="M556">
        <v>0</v>
      </c>
      <c r="N556">
        <v>0</v>
      </c>
      <c r="O556">
        <v>0</v>
      </c>
      <c r="P556">
        <v>0</v>
      </c>
      <c r="Q556">
        <v>0</v>
      </c>
      <c r="R556">
        <v>0</v>
      </c>
      <c r="S556">
        <v>0</v>
      </c>
      <c r="T556">
        <v>0</v>
      </c>
      <c r="U556">
        <v>0</v>
      </c>
      <c r="V556">
        <v>0</v>
      </c>
      <c r="W556">
        <v>0</v>
      </c>
      <c r="X556">
        <v>0</v>
      </c>
      <c r="Y556">
        <v>0</v>
      </c>
      <c r="Z556">
        <v>0</v>
      </c>
      <c r="AA556">
        <v>0</v>
      </c>
      <c r="AB556">
        <v>0</v>
      </c>
      <c r="AC556">
        <v>0</v>
      </c>
      <c r="AD556">
        <v>0</v>
      </c>
      <c r="AE556">
        <v>0</v>
      </c>
      <c r="AF556">
        <v>0</v>
      </c>
      <c r="AG556">
        <v>0</v>
      </c>
      <c r="AH556">
        <v>0</v>
      </c>
      <c r="AI556">
        <v>0</v>
      </c>
      <c r="AJ556">
        <v>0</v>
      </c>
      <c r="AK556">
        <v>0</v>
      </c>
      <c r="AL556">
        <v>0</v>
      </c>
      <c r="AM556">
        <v>0</v>
      </c>
      <c r="AN556">
        <v>0</v>
      </c>
      <c r="AO556">
        <v>0</v>
      </c>
      <c r="AP556">
        <v>0</v>
      </c>
      <c r="AQ556">
        <v>0</v>
      </c>
      <c r="AR556">
        <v>0</v>
      </c>
      <c r="AS556">
        <v>0</v>
      </c>
      <c r="AT556">
        <v>0</v>
      </c>
      <c r="AU556">
        <v>0</v>
      </c>
      <c r="AV556">
        <v>0</v>
      </c>
      <c r="AW556">
        <v>0</v>
      </c>
      <c r="AX556">
        <v>0</v>
      </c>
      <c r="AY556">
        <v>0</v>
      </c>
      <c r="AZ556">
        <v>0</v>
      </c>
      <c r="BA556">
        <v>0</v>
      </c>
      <c r="BB556">
        <v>0</v>
      </c>
      <c r="BC556">
        <v>0</v>
      </c>
      <c r="BD556">
        <v>0</v>
      </c>
      <c r="BE556">
        <v>0</v>
      </c>
      <c r="BF556">
        <v>0</v>
      </c>
      <c r="BG556">
        <v>0</v>
      </c>
      <c r="BH556">
        <v>0</v>
      </c>
      <c r="BI556">
        <v>0</v>
      </c>
      <c r="BJ556">
        <v>0</v>
      </c>
      <c r="BK556">
        <v>0</v>
      </c>
    </row>
    <row r="557" spans="3:63">
      <c r="C557" s="145" t="s">
        <v>960</v>
      </c>
      <c r="D557">
        <v>0</v>
      </c>
      <c r="E557">
        <v>0</v>
      </c>
      <c r="F557">
        <v>0</v>
      </c>
      <c r="G557">
        <v>0</v>
      </c>
      <c r="H557">
        <v>1</v>
      </c>
      <c r="I557">
        <v>1</v>
      </c>
      <c r="J557">
        <v>0</v>
      </c>
      <c r="K557">
        <v>0</v>
      </c>
      <c r="L557">
        <v>0</v>
      </c>
      <c r="M557">
        <v>0</v>
      </c>
      <c r="N557">
        <v>0</v>
      </c>
      <c r="O557">
        <v>0</v>
      </c>
      <c r="P557">
        <v>1</v>
      </c>
      <c r="Q557">
        <v>0</v>
      </c>
      <c r="R557">
        <v>0</v>
      </c>
      <c r="S557">
        <v>0</v>
      </c>
      <c r="T557">
        <v>0</v>
      </c>
      <c r="U557">
        <v>0</v>
      </c>
      <c r="V557">
        <v>0</v>
      </c>
      <c r="W557">
        <v>0</v>
      </c>
      <c r="X557">
        <v>0</v>
      </c>
      <c r="Y557">
        <v>0</v>
      </c>
      <c r="Z557">
        <v>0</v>
      </c>
      <c r="AA557">
        <v>0</v>
      </c>
      <c r="AB557">
        <v>0</v>
      </c>
      <c r="AC557">
        <v>0</v>
      </c>
      <c r="AD557">
        <v>0</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0</v>
      </c>
      <c r="BD557">
        <v>0</v>
      </c>
      <c r="BE557">
        <v>0</v>
      </c>
      <c r="BF557">
        <v>0</v>
      </c>
      <c r="BG557">
        <v>0</v>
      </c>
      <c r="BH557">
        <v>0</v>
      </c>
      <c r="BI557">
        <v>0</v>
      </c>
      <c r="BJ557">
        <v>0</v>
      </c>
      <c r="BK557">
        <v>0</v>
      </c>
    </row>
    <row r="558" spans="3:63">
      <c r="C558" s="145" t="s">
        <v>909</v>
      </c>
      <c r="D558">
        <v>0</v>
      </c>
      <c r="E558">
        <v>0</v>
      </c>
      <c r="F558">
        <v>0</v>
      </c>
      <c r="G558">
        <v>0</v>
      </c>
      <c r="H558">
        <v>0</v>
      </c>
      <c r="I558">
        <v>1</v>
      </c>
      <c r="J558">
        <v>0</v>
      </c>
      <c r="K558">
        <v>0</v>
      </c>
      <c r="L558">
        <v>0</v>
      </c>
      <c r="M558">
        <v>0</v>
      </c>
      <c r="N558">
        <v>0</v>
      </c>
      <c r="O558">
        <v>0</v>
      </c>
      <c r="P558">
        <v>0</v>
      </c>
      <c r="Q558">
        <v>0</v>
      </c>
      <c r="R558">
        <v>0</v>
      </c>
      <c r="S558">
        <v>0</v>
      </c>
      <c r="T558">
        <v>0</v>
      </c>
      <c r="U558">
        <v>0</v>
      </c>
      <c r="V558">
        <v>0</v>
      </c>
      <c r="W558">
        <v>0</v>
      </c>
      <c r="X558">
        <v>0</v>
      </c>
      <c r="Y558">
        <v>0</v>
      </c>
      <c r="Z558">
        <v>0</v>
      </c>
      <c r="AA558">
        <v>0</v>
      </c>
      <c r="AB558">
        <v>0</v>
      </c>
      <c r="AC558">
        <v>0</v>
      </c>
      <c r="AD558">
        <v>0</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0</v>
      </c>
      <c r="BD558">
        <v>0</v>
      </c>
      <c r="BE558">
        <v>0</v>
      </c>
      <c r="BF558">
        <v>0</v>
      </c>
      <c r="BG558">
        <v>0</v>
      </c>
      <c r="BH558">
        <v>0</v>
      </c>
      <c r="BI558">
        <v>0</v>
      </c>
      <c r="BJ558">
        <v>0</v>
      </c>
      <c r="BK558">
        <v>0</v>
      </c>
    </row>
    <row r="559" spans="3:63">
      <c r="C559" s="145" t="s">
        <v>38</v>
      </c>
      <c r="D559">
        <v>0</v>
      </c>
      <c r="E559">
        <v>0</v>
      </c>
      <c r="F559">
        <v>0</v>
      </c>
      <c r="G559">
        <v>0</v>
      </c>
      <c r="H559">
        <v>0</v>
      </c>
      <c r="I559">
        <v>0</v>
      </c>
      <c r="J559">
        <v>0</v>
      </c>
      <c r="K559">
        <v>0</v>
      </c>
      <c r="L559">
        <v>0</v>
      </c>
      <c r="M559">
        <v>0</v>
      </c>
      <c r="N559">
        <v>1</v>
      </c>
      <c r="O559">
        <v>0</v>
      </c>
      <c r="P559">
        <v>0</v>
      </c>
      <c r="Q559">
        <v>0</v>
      </c>
      <c r="R559">
        <v>0</v>
      </c>
      <c r="S559">
        <v>0</v>
      </c>
      <c r="T559">
        <v>0</v>
      </c>
      <c r="U559">
        <v>0</v>
      </c>
      <c r="V559">
        <v>0</v>
      </c>
      <c r="W559">
        <v>0</v>
      </c>
      <c r="X559">
        <v>0</v>
      </c>
      <c r="Y559">
        <v>0</v>
      </c>
      <c r="Z559">
        <v>0</v>
      </c>
      <c r="AA559">
        <v>0</v>
      </c>
      <c r="AB559">
        <v>0</v>
      </c>
      <c r="AC559">
        <v>0</v>
      </c>
      <c r="AD559">
        <v>0</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0</v>
      </c>
      <c r="BD559">
        <v>0</v>
      </c>
      <c r="BE559">
        <v>0</v>
      </c>
      <c r="BF559">
        <v>0</v>
      </c>
      <c r="BG559">
        <v>0</v>
      </c>
      <c r="BH559">
        <v>0</v>
      </c>
      <c r="BI559">
        <v>0</v>
      </c>
      <c r="BJ559">
        <v>0</v>
      </c>
      <c r="BK559">
        <v>0</v>
      </c>
    </row>
    <row r="560" spans="3:63">
      <c r="C560" s="145" t="s">
        <v>928</v>
      </c>
      <c r="D560">
        <v>1</v>
      </c>
      <c r="E560">
        <v>0</v>
      </c>
      <c r="F560">
        <v>0</v>
      </c>
      <c r="G560">
        <v>1</v>
      </c>
      <c r="H560">
        <v>0</v>
      </c>
      <c r="I560">
        <v>1</v>
      </c>
      <c r="J560">
        <v>0</v>
      </c>
      <c r="K560">
        <v>0</v>
      </c>
      <c r="L560">
        <v>0</v>
      </c>
      <c r="M560">
        <v>0</v>
      </c>
      <c r="N560">
        <v>0</v>
      </c>
      <c r="O560">
        <v>0</v>
      </c>
      <c r="P560">
        <v>0</v>
      </c>
      <c r="Q560">
        <v>0</v>
      </c>
      <c r="R560">
        <v>0</v>
      </c>
      <c r="S560">
        <v>0</v>
      </c>
      <c r="T560">
        <v>0</v>
      </c>
      <c r="U560">
        <v>0</v>
      </c>
      <c r="V560">
        <v>0</v>
      </c>
      <c r="W560">
        <v>0</v>
      </c>
      <c r="X560">
        <v>0</v>
      </c>
      <c r="Y560">
        <v>0</v>
      </c>
      <c r="Z560">
        <v>0</v>
      </c>
      <c r="AA560">
        <v>0</v>
      </c>
      <c r="AB560">
        <v>0</v>
      </c>
      <c r="AC560">
        <v>0</v>
      </c>
      <c r="AD560">
        <v>0</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0</v>
      </c>
      <c r="BD560">
        <v>0</v>
      </c>
      <c r="BE560">
        <v>0</v>
      </c>
      <c r="BF560">
        <v>0</v>
      </c>
      <c r="BG560">
        <v>0</v>
      </c>
      <c r="BH560">
        <v>0</v>
      </c>
      <c r="BI560">
        <v>0</v>
      </c>
      <c r="BJ560">
        <v>0</v>
      </c>
      <c r="BK560">
        <v>0</v>
      </c>
    </row>
    <row r="561" spans="3:63">
      <c r="C561" s="145" t="s">
        <v>946</v>
      </c>
      <c r="D561">
        <v>1</v>
      </c>
      <c r="E561">
        <v>0</v>
      </c>
      <c r="F561">
        <v>0</v>
      </c>
      <c r="G561">
        <v>0</v>
      </c>
      <c r="H561">
        <v>0</v>
      </c>
      <c r="I561">
        <v>0</v>
      </c>
      <c r="J561">
        <v>0</v>
      </c>
      <c r="K561">
        <v>0</v>
      </c>
      <c r="L561">
        <v>0</v>
      </c>
      <c r="M561">
        <v>0</v>
      </c>
      <c r="N561">
        <v>1</v>
      </c>
      <c r="O561">
        <v>0</v>
      </c>
      <c r="P561">
        <v>0</v>
      </c>
      <c r="Q561">
        <v>0</v>
      </c>
      <c r="R561">
        <v>0</v>
      </c>
      <c r="S561">
        <v>0</v>
      </c>
      <c r="T561">
        <v>0</v>
      </c>
      <c r="U561">
        <v>0</v>
      </c>
      <c r="V561">
        <v>0</v>
      </c>
      <c r="W561">
        <v>0</v>
      </c>
      <c r="X561">
        <v>0</v>
      </c>
      <c r="Y561">
        <v>0</v>
      </c>
      <c r="Z561">
        <v>0</v>
      </c>
      <c r="AA561">
        <v>0</v>
      </c>
      <c r="AB561">
        <v>0</v>
      </c>
      <c r="AC561">
        <v>0</v>
      </c>
      <c r="AD561">
        <v>0</v>
      </c>
      <c r="AE561">
        <v>0</v>
      </c>
      <c r="AF561">
        <v>0</v>
      </c>
      <c r="AG561">
        <v>0</v>
      </c>
      <c r="AH561">
        <v>0</v>
      </c>
      <c r="AI561">
        <v>0</v>
      </c>
      <c r="AJ561">
        <v>0</v>
      </c>
      <c r="AK561">
        <v>0</v>
      </c>
      <c r="AL561">
        <v>0</v>
      </c>
      <c r="AM561">
        <v>0</v>
      </c>
      <c r="AN561">
        <v>0</v>
      </c>
      <c r="AO561">
        <v>0</v>
      </c>
      <c r="AP561">
        <v>0</v>
      </c>
      <c r="AQ561">
        <v>0</v>
      </c>
      <c r="AR561">
        <v>0</v>
      </c>
      <c r="AS561">
        <v>0</v>
      </c>
      <c r="AT561">
        <v>0</v>
      </c>
      <c r="AU561">
        <v>0</v>
      </c>
      <c r="AV561">
        <v>0</v>
      </c>
      <c r="AW561">
        <v>0</v>
      </c>
      <c r="AX561">
        <v>0</v>
      </c>
      <c r="AY561">
        <v>0</v>
      </c>
      <c r="AZ561">
        <v>0</v>
      </c>
      <c r="BA561">
        <v>0</v>
      </c>
      <c r="BB561">
        <v>0</v>
      </c>
      <c r="BC561">
        <v>0</v>
      </c>
      <c r="BD561">
        <v>0</v>
      </c>
      <c r="BE561">
        <v>0</v>
      </c>
      <c r="BF561">
        <v>0</v>
      </c>
      <c r="BG561">
        <v>0</v>
      </c>
      <c r="BH561">
        <v>0</v>
      </c>
      <c r="BI561">
        <v>0</v>
      </c>
      <c r="BJ561">
        <v>0</v>
      </c>
      <c r="BK561">
        <v>0</v>
      </c>
    </row>
    <row r="562" spans="3:63">
      <c r="C562" s="145" t="s">
        <v>961</v>
      </c>
      <c r="D562">
        <v>0</v>
      </c>
      <c r="E562">
        <v>0</v>
      </c>
      <c r="F562">
        <v>1</v>
      </c>
      <c r="G562">
        <v>0</v>
      </c>
      <c r="H562">
        <v>0</v>
      </c>
      <c r="I562">
        <v>0</v>
      </c>
      <c r="J562">
        <v>0</v>
      </c>
      <c r="K562">
        <v>0</v>
      </c>
      <c r="L562">
        <v>0</v>
      </c>
      <c r="M562">
        <v>0</v>
      </c>
      <c r="N562">
        <v>1</v>
      </c>
      <c r="O562">
        <v>0</v>
      </c>
      <c r="P562">
        <v>0</v>
      </c>
      <c r="Q562">
        <v>0</v>
      </c>
      <c r="R562">
        <v>0</v>
      </c>
      <c r="S562">
        <v>0</v>
      </c>
      <c r="T562">
        <v>0</v>
      </c>
      <c r="U562">
        <v>0</v>
      </c>
      <c r="V562">
        <v>0</v>
      </c>
      <c r="W562">
        <v>0</v>
      </c>
      <c r="X562">
        <v>0</v>
      </c>
      <c r="Y562">
        <v>0</v>
      </c>
      <c r="Z562">
        <v>0</v>
      </c>
      <c r="AA562">
        <v>0</v>
      </c>
      <c r="AB562">
        <v>0</v>
      </c>
      <c r="AC562">
        <v>0</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0</v>
      </c>
      <c r="AW562">
        <v>0</v>
      </c>
      <c r="AX562">
        <v>0</v>
      </c>
      <c r="AY562">
        <v>0</v>
      </c>
      <c r="AZ562">
        <v>0</v>
      </c>
      <c r="BA562">
        <v>0</v>
      </c>
      <c r="BB562">
        <v>0</v>
      </c>
      <c r="BC562">
        <v>0</v>
      </c>
      <c r="BD562">
        <v>0</v>
      </c>
      <c r="BE562">
        <v>0</v>
      </c>
      <c r="BF562">
        <v>0</v>
      </c>
      <c r="BG562">
        <v>0</v>
      </c>
      <c r="BH562">
        <v>0</v>
      </c>
      <c r="BI562">
        <v>0</v>
      </c>
      <c r="BJ562">
        <v>0</v>
      </c>
      <c r="BK562">
        <v>0</v>
      </c>
    </row>
    <row r="563" spans="3:63">
      <c r="C563" s="145" t="s">
        <v>26</v>
      </c>
      <c r="D563">
        <v>1</v>
      </c>
      <c r="E563">
        <v>0</v>
      </c>
      <c r="F563">
        <v>0</v>
      </c>
      <c r="G563">
        <v>0</v>
      </c>
      <c r="H563">
        <v>0</v>
      </c>
      <c r="I563">
        <v>0</v>
      </c>
      <c r="J563">
        <v>0</v>
      </c>
      <c r="K563">
        <v>0</v>
      </c>
      <c r="L563">
        <v>0</v>
      </c>
      <c r="M563">
        <v>0</v>
      </c>
      <c r="N563">
        <v>0</v>
      </c>
      <c r="O563">
        <v>0</v>
      </c>
      <c r="P563">
        <v>0</v>
      </c>
      <c r="Q563">
        <v>0</v>
      </c>
      <c r="R563">
        <v>0</v>
      </c>
      <c r="S563">
        <v>0</v>
      </c>
      <c r="T563">
        <v>0</v>
      </c>
      <c r="U563">
        <v>0</v>
      </c>
      <c r="V563">
        <v>0</v>
      </c>
      <c r="W563">
        <v>0</v>
      </c>
      <c r="X563">
        <v>0</v>
      </c>
      <c r="Y563">
        <v>0</v>
      </c>
      <c r="Z563">
        <v>0</v>
      </c>
      <c r="AA563">
        <v>0</v>
      </c>
      <c r="AB563">
        <v>0</v>
      </c>
      <c r="AC563">
        <v>0</v>
      </c>
      <c r="AD563">
        <v>0</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0</v>
      </c>
      <c r="BD563">
        <v>0</v>
      </c>
      <c r="BE563">
        <v>0</v>
      </c>
      <c r="BF563">
        <v>0</v>
      </c>
      <c r="BG563">
        <v>0</v>
      </c>
      <c r="BH563">
        <v>0</v>
      </c>
      <c r="BI563">
        <v>0</v>
      </c>
      <c r="BJ563">
        <v>0</v>
      </c>
      <c r="BK563">
        <v>0</v>
      </c>
    </row>
    <row r="564" spans="3:63">
      <c r="C564" s="145" t="s">
        <v>39</v>
      </c>
      <c r="D564">
        <v>0</v>
      </c>
      <c r="E564">
        <v>0</v>
      </c>
      <c r="F564">
        <v>0</v>
      </c>
      <c r="G564">
        <v>1</v>
      </c>
      <c r="H564">
        <v>0</v>
      </c>
      <c r="I564">
        <v>0</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0</v>
      </c>
      <c r="BD564">
        <v>0</v>
      </c>
      <c r="BE564">
        <v>0</v>
      </c>
      <c r="BF564">
        <v>0</v>
      </c>
      <c r="BG564">
        <v>0</v>
      </c>
      <c r="BH564">
        <v>0</v>
      </c>
      <c r="BI564">
        <v>0</v>
      </c>
      <c r="BJ564">
        <v>0</v>
      </c>
      <c r="BK564">
        <v>0</v>
      </c>
    </row>
    <row r="565" spans="3:63">
      <c r="C565" s="145" t="s">
        <v>27</v>
      </c>
      <c r="D565">
        <v>0</v>
      </c>
      <c r="E565">
        <v>0</v>
      </c>
      <c r="F565">
        <v>0</v>
      </c>
      <c r="G565">
        <v>0</v>
      </c>
      <c r="H565">
        <v>0</v>
      </c>
      <c r="I565">
        <v>0</v>
      </c>
      <c r="J565">
        <v>0</v>
      </c>
      <c r="K565">
        <v>0</v>
      </c>
      <c r="L565">
        <v>1</v>
      </c>
      <c r="M565">
        <v>0</v>
      </c>
      <c r="N565">
        <v>0</v>
      </c>
      <c r="O565">
        <v>0</v>
      </c>
      <c r="P565">
        <v>0</v>
      </c>
      <c r="Q565">
        <v>0</v>
      </c>
      <c r="R565">
        <v>0</v>
      </c>
      <c r="S565">
        <v>0</v>
      </c>
      <c r="T565">
        <v>0</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0</v>
      </c>
      <c r="BD565">
        <v>0</v>
      </c>
      <c r="BE565">
        <v>0</v>
      </c>
      <c r="BF565">
        <v>0</v>
      </c>
      <c r="BG565">
        <v>0</v>
      </c>
      <c r="BH565">
        <v>0</v>
      </c>
      <c r="BI565">
        <v>0</v>
      </c>
      <c r="BJ565">
        <v>0</v>
      </c>
      <c r="BK565">
        <v>0</v>
      </c>
    </row>
    <row r="566" spans="3:63">
      <c r="C566" s="145" t="s">
        <v>40</v>
      </c>
      <c r="D566">
        <v>1</v>
      </c>
      <c r="E566">
        <v>1</v>
      </c>
      <c r="F566">
        <v>0</v>
      </c>
      <c r="G566">
        <v>0</v>
      </c>
      <c r="H566">
        <v>0</v>
      </c>
      <c r="I566">
        <v>0</v>
      </c>
      <c r="J566">
        <v>0</v>
      </c>
      <c r="K566">
        <v>0</v>
      </c>
      <c r="L566">
        <v>0</v>
      </c>
      <c r="M566">
        <v>0</v>
      </c>
      <c r="N566">
        <v>0</v>
      </c>
      <c r="O566">
        <v>1</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0</v>
      </c>
      <c r="BD566">
        <v>0</v>
      </c>
      <c r="BE566">
        <v>0</v>
      </c>
      <c r="BF566">
        <v>0</v>
      </c>
      <c r="BG566">
        <v>0</v>
      </c>
      <c r="BH566">
        <v>0</v>
      </c>
      <c r="BI566">
        <v>0</v>
      </c>
      <c r="BJ566">
        <v>0</v>
      </c>
      <c r="BK566">
        <v>0</v>
      </c>
    </row>
    <row r="567" spans="3:63">
      <c r="C567" s="145" t="s">
        <v>962</v>
      </c>
      <c r="D567">
        <v>0</v>
      </c>
      <c r="E567">
        <v>1</v>
      </c>
      <c r="F567">
        <v>0</v>
      </c>
      <c r="G567">
        <v>0</v>
      </c>
      <c r="H567">
        <v>0</v>
      </c>
      <c r="I567">
        <v>0</v>
      </c>
      <c r="J567">
        <v>0</v>
      </c>
      <c r="K567">
        <v>0</v>
      </c>
      <c r="L567">
        <v>1</v>
      </c>
      <c r="M567">
        <v>0</v>
      </c>
      <c r="N567">
        <v>0</v>
      </c>
      <c r="O567">
        <v>0</v>
      </c>
      <c r="P567">
        <v>0</v>
      </c>
      <c r="Q567">
        <v>0</v>
      </c>
      <c r="R567">
        <v>0</v>
      </c>
      <c r="S567">
        <v>0</v>
      </c>
      <c r="T567">
        <v>0</v>
      </c>
      <c r="U567">
        <v>0</v>
      </c>
      <c r="V567">
        <v>0</v>
      </c>
      <c r="W567">
        <v>0</v>
      </c>
      <c r="X567">
        <v>0</v>
      </c>
      <c r="Y567">
        <v>0</v>
      </c>
      <c r="Z567">
        <v>0</v>
      </c>
      <c r="AA567">
        <v>0</v>
      </c>
      <c r="AB567">
        <v>0</v>
      </c>
      <c r="AC567">
        <v>0</v>
      </c>
      <c r="AD567">
        <v>0</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0</v>
      </c>
      <c r="AZ567">
        <v>0</v>
      </c>
      <c r="BA567">
        <v>0</v>
      </c>
      <c r="BB567">
        <v>0</v>
      </c>
      <c r="BC567">
        <v>0</v>
      </c>
      <c r="BD567">
        <v>0</v>
      </c>
      <c r="BE567">
        <v>0</v>
      </c>
      <c r="BF567">
        <v>0</v>
      </c>
      <c r="BG567">
        <v>0</v>
      </c>
      <c r="BH567">
        <v>0</v>
      </c>
      <c r="BI567">
        <v>0</v>
      </c>
      <c r="BJ567">
        <v>0</v>
      </c>
      <c r="BK567">
        <v>0</v>
      </c>
    </row>
    <row r="568" spans="3:63">
      <c r="C568" s="145" t="s">
        <v>26</v>
      </c>
      <c r="D568">
        <v>1</v>
      </c>
      <c r="E568">
        <v>0</v>
      </c>
      <c r="F568">
        <v>0</v>
      </c>
      <c r="G568">
        <v>0</v>
      </c>
      <c r="H568">
        <v>0</v>
      </c>
      <c r="I568">
        <v>0</v>
      </c>
      <c r="J568">
        <v>0</v>
      </c>
      <c r="K568">
        <v>0</v>
      </c>
      <c r="L568">
        <v>0</v>
      </c>
      <c r="M568">
        <v>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0</v>
      </c>
      <c r="AI568">
        <v>0</v>
      </c>
      <c r="AJ568">
        <v>0</v>
      </c>
      <c r="AK568">
        <v>0</v>
      </c>
      <c r="AL568">
        <v>0</v>
      </c>
      <c r="AM568">
        <v>0</v>
      </c>
      <c r="AN568">
        <v>0</v>
      </c>
      <c r="AO568">
        <v>0</v>
      </c>
      <c r="AP568">
        <v>0</v>
      </c>
      <c r="AQ568">
        <v>0</v>
      </c>
      <c r="AR568">
        <v>0</v>
      </c>
      <c r="AS568">
        <v>0</v>
      </c>
      <c r="AT568">
        <v>0</v>
      </c>
      <c r="AU568">
        <v>0</v>
      </c>
      <c r="AV568">
        <v>0</v>
      </c>
      <c r="AW568">
        <v>0</v>
      </c>
      <c r="AX568">
        <v>0</v>
      </c>
      <c r="AY568">
        <v>0</v>
      </c>
      <c r="AZ568">
        <v>0</v>
      </c>
      <c r="BA568">
        <v>0</v>
      </c>
      <c r="BB568">
        <v>0</v>
      </c>
      <c r="BC568">
        <v>0</v>
      </c>
      <c r="BD568">
        <v>0</v>
      </c>
      <c r="BE568">
        <v>0</v>
      </c>
      <c r="BF568">
        <v>0</v>
      </c>
      <c r="BG568">
        <v>0</v>
      </c>
      <c r="BH568">
        <v>0</v>
      </c>
      <c r="BI568">
        <v>0</v>
      </c>
      <c r="BJ568">
        <v>0</v>
      </c>
      <c r="BK568">
        <v>0</v>
      </c>
    </row>
    <row r="569" spans="3:63">
      <c r="C569" s="145" t="s">
        <v>941</v>
      </c>
      <c r="D569">
        <v>0</v>
      </c>
      <c r="E569">
        <v>0</v>
      </c>
      <c r="F569">
        <v>0</v>
      </c>
      <c r="G569">
        <v>0</v>
      </c>
      <c r="H569">
        <v>0</v>
      </c>
      <c r="I569">
        <v>1</v>
      </c>
      <c r="J569">
        <v>0</v>
      </c>
      <c r="K569">
        <v>0</v>
      </c>
      <c r="L569">
        <v>0</v>
      </c>
      <c r="M569">
        <v>1</v>
      </c>
      <c r="N569">
        <v>0</v>
      </c>
      <c r="O569">
        <v>0</v>
      </c>
      <c r="P569">
        <v>0</v>
      </c>
      <c r="Q569">
        <v>0</v>
      </c>
      <c r="R569">
        <v>0</v>
      </c>
      <c r="S569">
        <v>0</v>
      </c>
      <c r="T569">
        <v>0</v>
      </c>
      <c r="U569">
        <v>0</v>
      </c>
      <c r="V569">
        <v>0</v>
      </c>
      <c r="W569">
        <v>0</v>
      </c>
      <c r="X569">
        <v>0</v>
      </c>
      <c r="Y569">
        <v>0</v>
      </c>
      <c r="Z569">
        <v>0</v>
      </c>
      <c r="AA569">
        <v>0</v>
      </c>
      <c r="AB569">
        <v>0</v>
      </c>
      <c r="AC569">
        <v>0</v>
      </c>
      <c r="AD569">
        <v>0</v>
      </c>
      <c r="AE569">
        <v>0</v>
      </c>
      <c r="AF569">
        <v>0</v>
      </c>
      <c r="AG569">
        <v>0</v>
      </c>
      <c r="AH569">
        <v>0</v>
      </c>
      <c r="AI569">
        <v>0</v>
      </c>
      <c r="AJ569">
        <v>0</v>
      </c>
      <c r="AK569">
        <v>0</v>
      </c>
      <c r="AL569">
        <v>0</v>
      </c>
      <c r="AM569">
        <v>0</v>
      </c>
      <c r="AN569">
        <v>0</v>
      </c>
      <c r="AO569">
        <v>0</v>
      </c>
      <c r="AP569">
        <v>0</v>
      </c>
      <c r="AQ569">
        <v>0</v>
      </c>
      <c r="AR569">
        <v>0</v>
      </c>
      <c r="AS569">
        <v>0</v>
      </c>
      <c r="AT569">
        <v>0</v>
      </c>
      <c r="AU569">
        <v>0</v>
      </c>
      <c r="AV569">
        <v>0</v>
      </c>
      <c r="AW569">
        <v>0</v>
      </c>
      <c r="AX569">
        <v>0</v>
      </c>
      <c r="AY569">
        <v>0</v>
      </c>
      <c r="AZ569">
        <v>0</v>
      </c>
      <c r="BA569">
        <v>0</v>
      </c>
      <c r="BB569">
        <v>0</v>
      </c>
      <c r="BC569">
        <v>0</v>
      </c>
      <c r="BD569">
        <v>0</v>
      </c>
      <c r="BE569">
        <v>0</v>
      </c>
      <c r="BF569">
        <v>0</v>
      </c>
      <c r="BG569">
        <v>0</v>
      </c>
      <c r="BH569">
        <v>0</v>
      </c>
      <c r="BI569">
        <v>0</v>
      </c>
      <c r="BJ569">
        <v>0</v>
      </c>
      <c r="BK569">
        <v>0</v>
      </c>
    </row>
    <row r="570" spans="3:63">
      <c r="C570" s="145" t="s">
        <v>42</v>
      </c>
      <c r="D570">
        <v>1</v>
      </c>
      <c r="E570">
        <v>0</v>
      </c>
      <c r="F570">
        <v>0</v>
      </c>
      <c r="G570">
        <v>1</v>
      </c>
      <c r="H570">
        <v>0</v>
      </c>
      <c r="I570">
        <v>0</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0</v>
      </c>
      <c r="AF570">
        <v>0</v>
      </c>
      <c r="AG570">
        <v>0</v>
      </c>
      <c r="AH570">
        <v>0</v>
      </c>
      <c r="AI570">
        <v>0</v>
      </c>
      <c r="AJ570">
        <v>0</v>
      </c>
      <c r="AK570">
        <v>0</v>
      </c>
      <c r="AL570">
        <v>0</v>
      </c>
      <c r="AM570">
        <v>0</v>
      </c>
      <c r="AN570">
        <v>0</v>
      </c>
      <c r="AO570">
        <v>0</v>
      </c>
      <c r="AP570">
        <v>0</v>
      </c>
      <c r="AQ570">
        <v>0</v>
      </c>
      <c r="AR570">
        <v>0</v>
      </c>
      <c r="AS570">
        <v>0</v>
      </c>
      <c r="AT570">
        <v>0</v>
      </c>
      <c r="AU570">
        <v>0</v>
      </c>
      <c r="AV570">
        <v>0</v>
      </c>
      <c r="AW570">
        <v>0</v>
      </c>
      <c r="AX570">
        <v>0</v>
      </c>
      <c r="AY570">
        <v>0</v>
      </c>
      <c r="AZ570">
        <v>0</v>
      </c>
      <c r="BA570">
        <v>0</v>
      </c>
      <c r="BB570">
        <v>0</v>
      </c>
      <c r="BC570">
        <v>0</v>
      </c>
      <c r="BD570">
        <v>0</v>
      </c>
      <c r="BE570">
        <v>0</v>
      </c>
      <c r="BF570">
        <v>0</v>
      </c>
      <c r="BG570">
        <v>0</v>
      </c>
      <c r="BH570">
        <v>0</v>
      </c>
      <c r="BI570">
        <v>0</v>
      </c>
      <c r="BJ570">
        <v>0</v>
      </c>
      <c r="BK570">
        <v>0</v>
      </c>
    </row>
    <row r="571" spans="3:63">
      <c r="C571" s="145" t="s">
        <v>963</v>
      </c>
      <c r="D571">
        <v>1</v>
      </c>
      <c r="E571">
        <v>0</v>
      </c>
      <c r="F571">
        <v>0</v>
      </c>
      <c r="G571">
        <v>0</v>
      </c>
      <c r="H571">
        <v>0</v>
      </c>
      <c r="I571">
        <v>1</v>
      </c>
      <c r="J571">
        <v>1</v>
      </c>
      <c r="K571">
        <v>0</v>
      </c>
      <c r="L571">
        <v>0</v>
      </c>
      <c r="M571">
        <v>0</v>
      </c>
      <c r="N571">
        <v>0</v>
      </c>
      <c r="O571">
        <v>0</v>
      </c>
      <c r="P571">
        <v>0</v>
      </c>
      <c r="Q571">
        <v>0</v>
      </c>
      <c r="R571">
        <v>0</v>
      </c>
      <c r="S571">
        <v>0</v>
      </c>
      <c r="T571">
        <v>0</v>
      </c>
      <c r="U571">
        <v>0</v>
      </c>
      <c r="V571">
        <v>0</v>
      </c>
      <c r="W571">
        <v>0</v>
      </c>
      <c r="X571">
        <v>0</v>
      </c>
      <c r="Y571">
        <v>0</v>
      </c>
      <c r="Z571">
        <v>0</v>
      </c>
      <c r="AA571">
        <v>0</v>
      </c>
      <c r="AB571">
        <v>0</v>
      </c>
      <c r="AC571">
        <v>0</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0</v>
      </c>
      <c r="BD571">
        <v>0</v>
      </c>
      <c r="BE571">
        <v>0</v>
      </c>
      <c r="BF571">
        <v>0</v>
      </c>
      <c r="BG571">
        <v>0</v>
      </c>
      <c r="BH571">
        <v>0</v>
      </c>
      <c r="BI571">
        <v>0</v>
      </c>
      <c r="BJ571">
        <v>0</v>
      </c>
      <c r="BK571">
        <v>0</v>
      </c>
    </row>
    <row r="572" spans="3:63">
      <c r="C572" s="145" t="s">
        <v>964</v>
      </c>
      <c r="D572">
        <v>0</v>
      </c>
      <c r="E572">
        <v>0</v>
      </c>
      <c r="F572">
        <v>0</v>
      </c>
      <c r="G572">
        <v>1</v>
      </c>
      <c r="H572">
        <v>0</v>
      </c>
      <c r="I572">
        <v>1</v>
      </c>
      <c r="J572">
        <v>0</v>
      </c>
      <c r="K572">
        <v>0</v>
      </c>
      <c r="L572">
        <v>0</v>
      </c>
      <c r="M572">
        <v>0</v>
      </c>
      <c r="N572">
        <v>0</v>
      </c>
      <c r="O572">
        <v>0</v>
      </c>
      <c r="P572">
        <v>0</v>
      </c>
      <c r="Q572">
        <v>0</v>
      </c>
      <c r="R572">
        <v>0</v>
      </c>
      <c r="S572">
        <v>0</v>
      </c>
      <c r="T572">
        <v>0</v>
      </c>
      <c r="U572">
        <v>0</v>
      </c>
      <c r="V572">
        <v>0</v>
      </c>
      <c r="W572">
        <v>0</v>
      </c>
      <c r="X572">
        <v>0</v>
      </c>
      <c r="Y572">
        <v>0</v>
      </c>
      <c r="Z572">
        <v>0</v>
      </c>
      <c r="AA572">
        <v>0</v>
      </c>
      <c r="AB572">
        <v>0</v>
      </c>
      <c r="AC572">
        <v>0</v>
      </c>
      <c r="AD572">
        <v>0</v>
      </c>
      <c r="AE572">
        <v>0</v>
      </c>
      <c r="AF572">
        <v>0</v>
      </c>
      <c r="AG572">
        <v>0</v>
      </c>
      <c r="AH572">
        <v>0</v>
      </c>
      <c r="AI572">
        <v>0</v>
      </c>
      <c r="AJ572">
        <v>0</v>
      </c>
      <c r="AK572">
        <v>0</v>
      </c>
      <c r="AL572">
        <v>0</v>
      </c>
      <c r="AM572">
        <v>0</v>
      </c>
      <c r="AN572">
        <v>0</v>
      </c>
      <c r="AO572">
        <v>0</v>
      </c>
      <c r="AP572">
        <v>0</v>
      </c>
      <c r="AQ572">
        <v>0</v>
      </c>
      <c r="AR572">
        <v>0</v>
      </c>
      <c r="AS572">
        <v>0</v>
      </c>
      <c r="AT572">
        <v>0</v>
      </c>
      <c r="AU572">
        <v>0</v>
      </c>
      <c r="AV572">
        <v>0</v>
      </c>
      <c r="AW572">
        <v>0</v>
      </c>
      <c r="AX572">
        <v>0</v>
      </c>
      <c r="AY572">
        <v>0</v>
      </c>
      <c r="AZ572">
        <v>0</v>
      </c>
      <c r="BA572">
        <v>0</v>
      </c>
      <c r="BB572">
        <v>0</v>
      </c>
      <c r="BC572">
        <v>0</v>
      </c>
      <c r="BD572">
        <v>0</v>
      </c>
      <c r="BE572">
        <v>0</v>
      </c>
      <c r="BF572">
        <v>0</v>
      </c>
      <c r="BG572">
        <v>0</v>
      </c>
      <c r="BH572">
        <v>0</v>
      </c>
      <c r="BI572">
        <v>0</v>
      </c>
      <c r="BJ572">
        <v>0</v>
      </c>
      <c r="BK572">
        <v>0</v>
      </c>
    </row>
    <row r="573" spans="3:63">
      <c r="C573" s="145" t="s">
        <v>895</v>
      </c>
      <c r="D573">
        <v>1</v>
      </c>
      <c r="E573">
        <v>0</v>
      </c>
      <c r="F573">
        <v>0</v>
      </c>
      <c r="G573">
        <v>0</v>
      </c>
      <c r="H573">
        <v>1</v>
      </c>
      <c r="I573">
        <v>0</v>
      </c>
      <c r="J573">
        <v>0</v>
      </c>
      <c r="K573">
        <v>0</v>
      </c>
      <c r="L573">
        <v>0</v>
      </c>
      <c r="M573">
        <v>0</v>
      </c>
      <c r="N573">
        <v>0</v>
      </c>
      <c r="O573">
        <v>0</v>
      </c>
      <c r="P573">
        <v>0</v>
      </c>
      <c r="Q573">
        <v>1</v>
      </c>
      <c r="R573">
        <v>0</v>
      </c>
      <c r="S573">
        <v>0</v>
      </c>
      <c r="T573">
        <v>0</v>
      </c>
      <c r="U573">
        <v>0</v>
      </c>
      <c r="V573">
        <v>0</v>
      </c>
      <c r="W573">
        <v>0</v>
      </c>
      <c r="X573">
        <v>0</v>
      </c>
      <c r="Y573">
        <v>0</v>
      </c>
      <c r="Z573">
        <v>0</v>
      </c>
      <c r="AA573">
        <v>0</v>
      </c>
      <c r="AB573">
        <v>0</v>
      </c>
      <c r="AC573">
        <v>0</v>
      </c>
      <c r="AD573">
        <v>0</v>
      </c>
      <c r="AE573">
        <v>0</v>
      </c>
      <c r="AF573">
        <v>0</v>
      </c>
      <c r="AG573">
        <v>0</v>
      </c>
      <c r="AH573">
        <v>0</v>
      </c>
      <c r="AI573">
        <v>0</v>
      </c>
      <c r="AJ573">
        <v>0</v>
      </c>
      <c r="AK573">
        <v>0</v>
      </c>
      <c r="AL573">
        <v>0</v>
      </c>
      <c r="AM573">
        <v>0</v>
      </c>
      <c r="AN573">
        <v>0</v>
      </c>
      <c r="AO573">
        <v>0</v>
      </c>
      <c r="AP573">
        <v>0</v>
      </c>
      <c r="AQ573">
        <v>0</v>
      </c>
      <c r="AR573">
        <v>0</v>
      </c>
      <c r="AS573">
        <v>0</v>
      </c>
      <c r="AT573">
        <v>0</v>
      </c>
      <c r="AU573">
        <v>0</v>
      </c>
      <c r="AV573">
        <v>0</v>
      </c>
      <c r="AW573">
        <v>0</v>
      </c>
      <c r="AX573">
        <v>0</v>
      </c>
      <c r="AY573">
        <v>0</v>
      </c>
      <c r="AZ573">
        <v>0</v>
      </c>
      <c r="BA573">
        <v>0</v>
      </c>
      <c r="BB573">
        <v>0</v>
      </c>
      <c r="BC573">
        <v>0</v>
      </c>
      <c r="BD573">
        <v>0</v>
      </c>
      <c r="BE573">
        <v>0</v>
      </c>
      <c r="BF573">
        <v>0</v>
      </c>
      <c r="BG573">
        <v>0</v>
      </c>
      <c r="BH573">
        <v>0</v>
      </c>
      <c r="BI573">
        <v>0</v>
      </c>
      <c r="BJ573">
        <v>0</v>
      </c>
      <c r="BK573">
        <v>0</v>
      </c>
    </row>
    <row r="574" spans="3:63">
      <c r="C574" s="145" t="s">
        <v>26</v>
      </c>
      <c r="D574">
        <v>1</v>
      </c>
      <c r="E574">
        <v>0</v>
      </c>
      <c r="F574">
        <v>0</v>
      </c>
      <c r="G574">
        <v>0</v>
      </c>
      <c r="H574">
        <v>0</v>
      </c>
      <c r="I574">
        <v>0</v>
      </c>
      <c r="J574">
        <v>0</v>
      </c>
      <c r="K574">
        <v>0</v>
      </c>
      <c r="L574">
        <v>0</v>
      </c>
      <c r="M574">
        <v>0</v>
      </c>
      <c r="N574">
        <v>0</v>
      </c>
      <c r="O574">
        <v>0</v>
      </c>
      <c r="P574">
        <v>0</v>
      </c>
      <c r="Q574">
        <v>0</v>
      </c>
      <c r="R574">
        <v>0</v>
      </c>
      <c r="S574">
        <v>0</v>
      </c>
      <c r="T574">
        <v>0</v>
      </c>
      <c r="U574">
        <v>0</v>
      </c>
      <c r="V574">
        <v>0</v>
      </c>
      <c r="W574">
        <v>0</v>
      </c>
      <c r="X574">
        <v>0</v>
      </c>
      <c r="Y574">
        <v>0</v>
      </c>
      <c r="Z574">
        <v>0</v>
      </c>
      <c r="AA574">
        <v>0</v>
      </c>
      <c r="AB574">
        <v>0</v>
      </c>
      <c r="AC574">
        <v>0</v>
      </c>
      <c r="AD574">
        <v>0</v>
      </c>
      <c r="AE574">
        <v>0</v>
      </c>
      <c r="AF574">
        <v>0</v>
      </c>
      <c r="AG574">
        <v>0</v>
      </c>
      <c r="AH574">
        <v>0</v>
      </c>
      <c r="AI574">
        <v>0</v>
      </c>
      <c r="AJ574">
        <v>0</v>
      </c>
      <c r="AK574">
        <v>0</v>
      </c>
      <c r="AL574">
        <v>0</v>
      </c>
      <c r="AM574">
        <v>0</v>
      </c>
      <c r="AN574">
        <v>0</v>
      </c>
      <c r="AO574">
        <v>0</v>
      </c>
      <c r="AP574">
        <v>0</v>
      </c>
      <c r="AQ574">
        <v>0</v>
      </c>
      <c r="AR574">
        <v>0</v>
      </c>
      <c r="AS574">
        <v>0</v>
      </c>
      <c r="AT574">
        <v>0</v>
      </c>
      <c r="AU574">
        <v>0</v>
      </c>
      <c r="AV574">
        <v>0</v>
      </c>
      <c r="AW574">
        <v>0</v>
      </c>
      <c r="AX574">
        <v>0</v>
      </c>
      <c r="AY574">
        <v>0</v>
      </c>
      <c r="AZ574">
        <v>0</v>
      </c>
      <c r="BA574">
        <v>0</v>
      </c>
      <c r="BB574">
        <v>0</v>
      </c>
      <c r="BC574">
        <v>0</v>
      </c>
      <c r="BD574">
        <v>0</v>
      </c>
      <c r="BE574">
        <v>0</v>
      </c>
      <c r="BF574">
        <v>0</v>
      </c>
      <c r="BG574">
        <v>0</v>
      </c>
      <c r="BH574">
        <v>0</v>
      </c>
      <c r="BI574">
        <v>0</v>
      </c>
      <c r="BJ574">
        <v>0</v>
      </c>
      <c r="BK574">
        <v>0</v>
      </c>
    </row>
    <row r="575" spans="3:63">
      <c r="C575" s="145" t="s">
        <v>965</v>
      </c>
      <c r="D575">
        <v>0</v>
      </c>
      <c r="E575">
        <v>0</v>
      </c>
      <c r="F575">
        <v>0</v>
      </c>
      <c r="G575">
        <v>0</v>
      </c>
      <c r="H575">
        <v>0</v>
      </c>
      <c r="I575">
        <v>1</v>
      </c>
      <c r="J575">
        <v>0</v>
      </c>
      <c r="K575">
        <v>0</v>
      </c>
      <c r="L575">
        <v>0</v>
      </c>
      <c r="M575">
        <v>0</v>
      </c>
      <c r="N575">
        <v>0</v>
      </c>
      <c r="O575">
        <v>0</v>
      </c>
      <c r="P575">
        <v>0</v>
      </c>
      <c r="Q575">
        <v>1</v>
      </c>
      <c r="R575">
        <v>0</v>
      </c>
      <c r="S575">
        <v>0</v>
      </c>
      <c r="T575">
        <v>0</v>
      </c>
      <c r="U575">
        <v>0</v>
      </c>
      <c r="V575">
        <v>0</v>
      </c>
      <c r="W575">
        <v>0</v>
      </c>
      <c r="X575">
        <v>0</v>
      </c>
      <c r="Y575">
        <v>0</v>
      </c>
      <c r="Z575">
        <v>0</v>
      </c>
      <c r="AA575">
        <v>0</v>
      </c>
      <c r="AB575">
        <v>0</v>
      </c>
      <c r="AC575">
        <v>0</v>
      </c>
      <c r="AD575">
        <v>0</v>
      </c>
      <c r="AE575">
        <v>0</v>
      </c>
      <c r="AF575">
        <v>0</v>
      </c>
      <c r="AG575">
        <v>0</v>
      </c>
      <c r="AH575">
        <v>0</v>
      </c>
      <c r="AI575">
        <v>0</v>
      </c>
      <c r="AJ575">
        <v>0</v>
      </c>
      <c r="AK575">
        <v>0</v>
      </c>
      <c r="AL575">
        <v>0</v>
      </c>
      <c r="AM575">
        <v>0</v>
      </c>
      <c r="AN575">
        <v>0</v>
      </c>
      <c r="AO575">
        <v>0</v>
      </c>
      <c r="AP575">
        <v>0</v>
      </c>
      <c r="AQ575">
        <v>0</v>
      </c>
      <c r="AR575">
        <v>0</v>
      </c>
      <c r="AS575">
        <v>0</v>
      </c>
      <c r="AT575">
        <v>0</v>
      </c>
      <c r="AU575">
        <v>0</v>
      </c>
      <c r="AV575">
        <v>0</v>
      </c>
      <c r="AW575">
        <v>0</v>
      </c>
      <c r="AX575">
        <v>0</v>
      </c>
      <c r="AY575">
        <v>0</v>
      </c>
      <c r="AZ575">
        <v>0</v>
      </c>
      <c r="BA575">
        <v>0</v>
      </c>
      <c r="BB575">
        <v>0</v>
      </c>
      <c r="BC575">
        <v>0</v>
      </c>
      <c r="BD575">
        <v>0</v>
      </c>
      <c r="BE575">
        <v>0</v>
      </c>
      <c r="BF575">
        <v>0</v>
      </c>
      <c r="BG575">
        <v>0</v>
      </c>
      <c r="BH575">
        <v>0</v>
      </c>
      <c r="BI575">
        <v>0</v>
      </c>
      <c r="BJ575">
        <v>0</v>
      </c>
      <c r="BK575">
        <v>0</v>
      </c>
    </row>
    <row r="576" spans="3:63">
      <c r="C576" s="145" t="s">
        <v>906</v>
      </c>
      <c r="D576">
        <v>1</v>
      </c>
      <c r="E576">
        <v>0</v>
      </c>
      <c r="F576">
        <v>0</v>
      </c>
      <c r="G576">
        <v>0</v>
      </c>
      <c r="H576">
        <v>0</v>
      </c>
      <c r="I576">
        <v>1</v>
      </c>
      <c r="J576">
        <v>0</v>
      </c>
      <c r="K576">
        <v>0</v>
      </c>
      <c r="L576">
        <v>0</v>
      </c>
      <c r="M576">
        <v>0</v>
      </c>
      <c r="N576">
        <v>1</v>
      </c>
      <c r="O576">
        <v>0</v>
      </c>
      <c r="P576">
        <v>0</v>
      </c>
      <c r="Q576">
        <v>0</v>
      </c>
      <c r="R576">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0</v>
      </c>
      <c r="BD576">
        <v>0</v>
      </c>
      <c r="BE576">
        <v>0</v>
      </c>
      <c r="BF576">
        <v>0</v>
      </c>
      <c r="BG576">
        <v>0</v>
      </c>
      <c r="BH576">
        <v>0</v>
      </c>
      <c r="BI576">
        <v>0</v>
      </c>
      <c r="BJ576">
        <v>0</v>
      </c>
      <c r="BK576">
        <v>0</v>
      </c>
    </row>
    <row r="577" spans="3:63">
      <c r="C577" s="145" t="s">
        <v>39</v>
      </c>
      <c r="D577">
        <v>0</v>
      </c>
      <c r="E577">
        <v>0</v>
      </c>
      <c r="F577">
        <v>0</v>
      </c>
      <c r="G577">
        <v>1</v>
      </c>
      <c r="H577">
        <v>0</v>
      </c>
      <c r="I577">
        <v>0</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0</v>
      </c>
      <c r="BD577">
        <v>0</v>
      </c>
      <c r="BE577">
        <v>0</v>
      </c>
      <c r="BF577">
        <v>0</v>
      </c>
      <c r="BG577">
        <v>0</v>
      </c>
      <c r="BH577">
        <v>0</v>
      </c>
      <c r="BI577">
        <v>0</v>
      </c>
      <c r="BJ577">
        <v>0</v>
      </c>
      <c r="BK577">
        <v>0</v>
      </c>
    </row>
    <row r="578" spans="3:63">
      <c r="C578" s="145" t="s">
        <v>26</v>
      </c>
      <c r="D578">
        <v>1</v>
      </c>
      <c r="E578">
        <v>0</v>
      </c>
      <c r="F578">
        <v>0</v>
      </c>
      <c r="G578">
        <v>0</v>
      </c>
      <c r="H578">
        <v>0</v>
      </c>
      <c r="I578">
        <v>0</v>
      </c>
      <c r="J578">
        <v>0</v>
      </c>
      <c r="K578">
        <v>0</v>
      </c>
      <c r="L578">
        <v>0</v>
      </c>
      <c r="M578">
        <v>0</v>
      </c>
      <c r="N578">
        <v>0</v>
      </c>
      <c r="O578">
        <v>0</v>
      </c>
      <c r="P578">
        <v>0</v>
      </c>
      <c r="Q578">
        <v>0</v>
      </c>
      <c r="R578">
        <v>0</v>
      </c>
      <c r="S578">
        <v>0</v>
      </c>
      <c r="T578">
        <v>0</v>
      </c>
      <c r="U578">
        <v>0</v>
      </c>
      <c r="V578">
        <v>0</v>
      </c>
      <c r="W578">
        <v>0</v>
      </c>
      <c r="X578">
        <v>0</v>
      </c>
      <c r="Y578">
        <v>0</v>
      </c>
      <c r="Z578">
        <v>0</v>
      </c>
      <c r="AA578">
        <v>0</v>
      </c>
      <c r="AB578">
        <v>0</v>
      </c>
      <c r="AC578">
        <v>0</v>
      </c>
      <c r="AD578">
        <v>0</v>
      </c>
      <c r="AE578">
        <v>0</v>
      </c>
      <c r="AF578">
        <v>0</v>
      </c>
      <c r="AG578">
        <v>0</v>
      </c>
      <c r="AH578">
        <v>0</v>
      </c>
      <c r="AI578">
        <v>0</v>
      </c>
      <c r="AJ578">
        <v>0</v>
      </c>
      <c r="AK578">
        <v>0</v>
      </c>
      <c r="AL578">
        <v>0</v>
      </c>
      <c r="AM578">
        <v>0</v>
      </c>
      <c r="AN578">
        <v>0</v>
      </c>
      <c r="AO578">
        <v>0</v>
      </c>
      <c r="AP578">
        <v>0</v>
      </c>
      <c r="AQ578">
        <v>0</v>
      </c>
      <c r="AR578">
        <v>0</v>
      </c>
      <c r="AS578">
        <v>0</v>
      </c>
      <c r="AT578">
        <v>0</v>
      </c>
      <c r="AU578">
        <v>0</v>
      </c>
      <c r="AV578">
        <v>0</v>
      </c>
      <c r="AW578">
        <v>0</v>
      </c>
      <c r="AX578">
        <v>0</v>
      </c>
      <c r="AY578">
        <v>0</v>
      </c>
      <c r="AZ578">
        <v>0</v>
      </c>
      <c r="BA578">
        <v>0</v>
      </c>
      <c r="BB578">
        <v>0</v>
      </c>
      <c r="BC578">
        <v>0</v>
      </c>
      <c r="BD578">
        <v>0</v>
      </c>
      <c r="BE578">
        <v>0</v>
      </c>
      <c r="BF578">
        <v>0</v>
      </c>
      <c r="BG578">
        <v>0</v>
      </c>
      <c r="BH578">
        <v>0</v>
      </c>
      <c r="BI578">
        <v>0</v>
      </c>
      <c r="BJ578">
        <v>0</v>
      </c>
      <c r="BK578">
        <v>0</v>
      </c>
    </row>
    <row r="579" spans="3:63">
      <c r="C579" s="145" t="s">
        <v>966</v>
      </c>
      <c r="D579">
        <v>0</v>
      </c>
      <c r="E579">
        <v>0</v>
      </c>
      <c r="F579">
        <v>1</v>
      </c>
      <c r="G579">
        <v>0</v>
      </c>
      <c r="H579">
        <v>0</v>
      </c>
      <c r="I579">
        <v>0</v>
      </c>
      <c r="J579">
        <v>1</v>
      </c>
      <c r="K579">
        <v>0</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0</v>
      </c>
      <c r="AL579">
        <v>0</v>
      </c>
      <c r="AM579">
        <v>0</v>
      </c>
      <c r="AN579">
        <v>0</v>
      </c>
      <c r="AO579">
        <v>0</v>
      </c>
      <c r="AP579">
        <v>0</v>
      </c>
      <c r="AQ579">
        <v>0</v>
      </c>
      <c r="AR579">
        <v>0</v>
      </c>
      <c r="AS579">
        <v>0</v>
      </c>
      <c r="AT579">
        <v>0</v>
      </c>
      <c r="AU579">
        <v>0</v>
      </c>
      <c r="AV579">
        <v>0</v>
      </c>
      <c r="AW579">
        <v>0</v>
      </c>
      <c r="AX579">
        <v>0</v>
      </c>
      <c r="AY579">
        <v>0</v>
      </c>
      <c r="AZ579">
        <v>0</v>
      </c>
      <c r="BA579">
        <v>0</v>
      </c>
      <c r="BB579">
        <v>0</v>
      </c>
      <c r="BC579">
        <v>0</v>
      </c>
      <c r="BD579">
        <v>0</v>
      </c>
      <c r="BE579">
        <v>0</v>
      </c>
      <c r="BF579">
        <v>0</v>
      </c>
      <c r="BG579">
        <v>0</v>
      </c>
      <c r="BH579">
        <v>0</v>
      </c>
      <c r="BI579">
        <v>0</v>
      </c>
      <c r="BJ579">
        <v>0</v>
      </c>
      <c r="BK579">
        <v>0</v>
      </c>
    </row>
    <row r="580" spans="3:63">
      <c r="C580" s="145" t="s">
        <v>26</v>
      </c>
      <c r="D580">
        <v>1</v>
      </c>
      <c r="E580">
        <v>0</v>
      </c>
      <c r="F580">
        <v>0</v>
      </c>
      <c r="G580">
        <v>0</v>
      </c>
      <c r="H580">
        <v>0</v>
      </c>
      <c r="I580">
        <v>0</v>
      </c>
      <c r="J580">
        <v>0</v>
      </c>
      <c r="K580">
        <v>0</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v>0</v>
      </c>
      <c r="AF580">
        <v>0</v>
      </c>
      <c r="AG580">
        <v>0</v>
      </c>
      <c r="AH580">
        <v>0</v>
      </c>
      <c r="AI580">
        <v>0</v>
      </c>
      <c r="AJ580">
        <v>0</v>
      </c>
      <c r="AK580">
        <v>0</v>
      </c>
      <c r="AL580">
        <v>0</v>
      </c>
      <c r="AM580">
        <v>0</v>
      </c>
      <c r="AN580">
        <v>0</v>
      </c>
      <c r="AO580">
        <v>0</v>
      </c>
      <c r="AP580">
        <v>0</v>
      </c>
      <c r="AQ580">
        <v>0</v>
      </c>
      <c r="AR580">
        <v>0</v>
      </c>
      <c r="AS580">
        <v>0</v>
      </c>
      <c r="AT580">
        <v>0</v>
      </c>
      <c r="AU580">
        <v>0</v>
      </c>
      <c r="AV580">
        <v>0</v>
      </c>
      <c r="AW580">
        <v>0</v>
      </c>
      <c r="AX580">
        <v>0</v>
      </c>
      <c r="AY580">
        <v>0</v>
      </c>
      <c r="AZ580">
        <v>0</v>
      </c>
      <c r="BA580">
        <v>0</v>
      </c>
      <c r="BB580">
        <v>0</v>
      </c>
      <c r="BC580">
        <v>0</v>
      </c>
      <c r="BD580">
        <v>0</v>
      </c>
      <c r="BE580">
        <v>0</v>
      </c>
      <c r="BF580">
        <v>0</v>
      </c>
      <c r="BG580">
        <v>0</v>
      </c>
      <c r="BH580">
        <v>0</v>
      </c>
      <c r="BI580">
        <v>0</v>
      </c>
      <c r="BJ580">
        <v>0</v>
      </c>
      <c r="BK580">
        <v>0</v>
      </c>
    </row>
    <row r="581" spans="3:63">
      <c r="C581" s="145" t="s">
        <v>26</v>
      </c>
      <c r="D581">
        <v>1</v>
      </c>
      <c r="E581">
        <v>0</v>
      </c>
      <c r="F581">
        <v>0</v>
      </c>
      <c r="G581">
        <v>0</v>
      </c>
      <c r="H581">
        <v>0</v>
      </c>
      <c r="I581">
        <v>0</v>
      </c>
      <c r="J581">
        <v>0</v>
      </c>
      <c r="K581">
        <v>0</v>
      </c>
      <c r="L581">
        <v>0</v>
      </c>
      <c r="M581">
        <v>0</v>
      </c>
      <c r="N581">
        <v>0</v>
      </c>
      <c r="O581">
        <v>0</v>
      </c>
      <c r="P581">
        <v>0</v>
      </c>
      <c r="Q581">
        <v>0</v>
      </c>
      <c r="R581">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0</v>
      </c>
      <c r="BD581">
        <v>0</v>
      </c>
      <c r="BE581">
        <v>0</v>
      </c>
      <c r="BF581">
        <v>0</v>
      </c>
      <c r="BG581">
        <v>0</v>
      </c>
      <c r="BH581">
        <v>0</v>
      </c>
      <c r="BI581">
        <v>0</v>
      </c>
      <c r="BJ581">
        <v>0</v>
      </c>
      <c r="BK581">
        <v>0</v>
      </c>
    </row>
    <row r="582" spans="3:63">
      <c r="C582" s="145" t="s">
        <v>930</v>
      </c>
      <c r="D582">
        <v>0</v>
      </c>
      <c r="E582">
        <v>0</v>
      </c>
      <c r="F582">
        <v>0</v>
      </c>
      <c r="G582">
        <v>0</v>
      </c>
      <c r="H582">
        <v>1</v>
      </c>
      <c r="I582">
        <v>0</v>
      </c>
      <c r="J582">
        <v>0</v>
      </c>
      <c r="K582">
        <v>0</v>
      </c>
      <c r="L582">
        <v>0</v>
      </c>
      <c r="M582">
        <v>0</v>
      </c>
      <c r="N582">
        <v>1</v>
      </c>
      <c r="O582">
        <v>0</v>
      </c>
      <c r="P582">
        <v>0</v>
      </c>
      <c r="Q582">
        <v>0</v>
      </c>
      <c r="R582">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0</v>
      </c>
      <c r="BD582">
        <v>0</v>
      </c>
      <c r="BE582">
        <v>0</v>
      </c>
      <c r="BF582">
        <v>0</v>
      </c>
      <c r="BG582">
        <v>0</v>
      </c>
      <c r="BH582">
        <v>0</v>
      </c>
      <c r="BI582">
        <v>0</v>
      </c>
      <c r="BJ582">
        <v>0</v>
      </c>
      <c r="BK582">
        <v>0</v>
      </c>
    </row>
    <row r="583" spans="3:63">
      <c r="C583" s="145" t="s">
        <v>38</v>
      </c>
      <c r="D583">
        <v>0</v>
      </c>
      <c r="E583">
        <v>0</v>
      </c>
      <c r="F583">
        <v>0</v>
      </c>
      <c r="G583">
        <v>0</v>
      </c>
      <c r="H583">
        <v>0</v>
      </c>
      <c r="I583">
        <v>0</v>
      </c>
      <c r="J583">
        <v>0</v>
      </c>
      <c r="K583">
        <v>0</v>
      </c>
      <c r="L583">
        <v>0</v>
      </c>
      <c r="M583">
        <v>0</v>
      </c>
      <c r="N583">
        <v>1</v>
      </c>
      <c r="O583">
        <v>0</v>
      </c>
      <c r="P583">
        <v>0</v>
      </c>
      <c r="Q583">
        <v>0</v>
      </c>
      <c r="R583">
        <v>0</v>
      </c>
      <c r="S583">
        <v>0</v>
      </c>
      <c r="T583">
        <v>0</v>
      </c>
      <c r="U583">
        <v>0</v>
      </c>
      <c r="V583">
        <v>0</v>
      </c>
      <c r="W583">
        <v>0</v>
      </c>
      <c r="X583">
        <v>0</v>
      </c>
      <c r="Y583">
        <v>0</v>
      </c>
      <c r="Z583">
        <v>0</v>
      </c>
      <c r="AA583">
        <v>0</v>
      </c>
      <c r="AB583">
        <v>0</v>
      </c>
      <c r="AC583">
        <v>0</v>
      </c>
      <c r="AD583">
        <v>0</v>
      </c>
      <c r="AE583">
        <v>0</v>
      </c>
      <c r="AF583">
        <v>0</v>
      </c>
      <c r="AG583">
        <v>0</v>
      </c>
      <c r="AH583">
        <v>0</v>
      </c>
      <c r="AI583">
        <v>0</v>
      </c>
      <c r="AJ583">
        <v>0</v>
      </c>
      <c r="AK583">
        <v>0</v>
      </c>
      <c r="AL583">
        <v>0</v>
      </c>
      <c r="AM583">
        <v>0</v>
      </c>
      <c r="AN583">
        <v>0</v>
      </c>
      <c r="AO583">
        <v>0</v>
      </c>
      <c r="AP583">
        <v>0</v>
      </c>
      <c r="AQ583">
        <v>0</v>
      </c>
      <c r="AR583">
        <v>0</v>
      </c>
      <c r="AS583">
        <v>0</v>
      </c>
      <c r="AT583">
        <v>0</v>
      </c>
      <c r="AU583">
        <v>0</v>
      </c>
      <c r="AV583">
        <v>0</v>
      </c>
      <c r="AW583">
        <v>0</v>
      </c>
      <c r="AX583">
        <v>0</v>
      </c>
      <c r="AY583">
        <v>0</v>
      </c>
      <c r="AZ583">
        <v>0</v>
      </c>
      <c r="BA583">
        <v>0</v>
      </c>
      <c r="BB583">
        <v>0</v>
      </c>
      <c r="BC583">
        <v>0</v>
      </c>
      <c r="BD583">
        <v>0</v>
      </c>
      <c r="BE583">
        <v>0</v>
      </c>
      <c r="BF583">
        <v>0</v>
      </c>
      <c r="BG583">
        <v>0</v>
      </c>
      <c r="BH583">
        <v>0</v>
      </c>
      <c r="BI583">
        <v>0</v>
      </c>
      <c r="BJ583">
        <v>0</v>
      </c>
      <c r="BK583">
        <v>0</v>
      </c>
    </row>
    <row r="584" spans="3:63">
      <c r="C584" s="145" t="s">
        <v>900</v>
      </c>
      <c r="D584">
        <v>1</v>
      </c>
      <c r="E584">
        <v>1</v>
      </c>
      <c r="F584">
        <v>1</v>
      </c>
      <c r="G584">
        <v>0</v>
      </c>
      <c r="H584">
        <v>0</v>
      </c>
      <c r="I584">
        <v>0</v>
      </c>
      <c r="J584">
        <v>0</v>
      </c>
      <c r="K584">
        <v>0</v>
      </c>
      <c r="L584">
        <v>0</v>
      </c>
      <c r="M584">
        <v>0</v>
      </c>
      <c r="N584">
        <v>0</v>
      </c>
      <c r="O584">
        <v>0</v>
      </c>
      <c r="P584">
        <v>0</v>
      </c>
      <c r="Q584">
        <v>0</v>
      </c>
      <c r="R584">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c r="AP584">
        <v>0</v>
      </c>
      <c r="AQ584">
        <v>0</v>
      </c>
      <c r="AR584">
        <v>0</v>
      </c>
      <c r="AS584">
        <v>0</v>
      </c>
      <c r="AT584">
        <v>0</v>
      </c>
      <c r="AU584">
        <v>0</v>
      </c>
      <c r="AV584">
        <v>0</v>
      </c>
      <c r="AW584">
        <v>0</v>
      </c>
      <c r="AX584">
        <v>0</v>
      </c>
      <c r="AY584">
        <v>0</v>
      </c>
      <c r="AZ584">
        <v>0</v>
      </c>
      <c r="BA584">
        <v>0</v>
      </c>
      <c r="BB584">
        <v>0</v>
      </c>
      <c r="BC584">
        <v>0</v>
      </c>
      <c r="BD584">
        <v>0</v>
      </c>
      <c r="BE584">
        <v>0</v>
      </c>
      <c r="BF584">
        <v>0</v>
      </c>
      <c r="BG584">
        <v>0</v>
      </c>
      <c r="BH584">
        <v>0</v>
      </c>
      <c r="BI584">
        <v>0</v>
      </c>
      <c r="BJ584">
        <v>0</v>
      </c>
      <c r="BK584">
        <v>0</v>
      </c>
    </row>
    <row r="585" spans="3:63">
      <c r="C585" s="145" t="s">
        <v>49</v>
      </c>
      <c r="D585">
        <v>1</v>
      </c>
      <c r="E585">
        <v>0</v>
      </c>
      <c r="F585">
        <v>0</v>
      </c>
      <c r="G585">
        <v>0</v>
      </c>
      <c r="H585">
        <v>0</v>
      </c>
      <c r="I585">
        <v>0</v>
      </c>
      <c r="J585">
        <v>0</v>
      </c>
      <c r="K585">
        <v>0</v>
      </c>
      <c r="L585">
        <v>1</v>
      </c>
      <c r="M585">
        <v>0</v>
      </c>
      <c r="N585">
        <v>1</v>
      </c>
      <c r="O585">
        <v>0</v>
      </c>
      <c r="P585">
        <v>0</v>
      </c>
      <c r="Q585">
        <v>0</v>
      </c>
      <c r="R58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v>0</v>
      </c>
      <c r="AZ585">
        <v>0</v>
      </c>
      <c r="BA585">
        <v>0</v>
      </c>
      <c r="BB585">
        <v>0</v>
      </c>
      <c r="BC585">
        <v>0</v>
      </c>
      <c r="BD585">
        <v>0</v>
      </c>
      <c r="BE585">
        <v>0</v>
      </c>
      <c r="BF585">
        <v>0</v>
      </c>
      <c r="BG585">
        <v>0</v>
      </c>
      <c r="BH585">
        <v>0</v>
      </c>
      <c r="BI585">
        <v>0</v>
      </c>
      <c r="BJ585">
        <v>0</v>
      </c>
      <c r="BK585">
        <v>0</v>
      </c>
    </row>
    <row r="586" spans="3:63">
      <c r="C586" s="145" t="s">
        <v>26</v>
      </c>
      <c r="D586">
        <v>1</v>
      </c>
      <c r="E586">
        <v>0</v>
      </c>
      <c r="F586">
        <v>0</v>
      </c>
      <c r="G586">
        <v>0</v>
      </c>
      <c r="H586">
        <v>0</v>
      </c>
      <c r="I586">
        <v>0</v>
      </c>
      <c r="J586">
        <v>0</v>
      </c>
      <c r="K586">
        <v>0</v>
      </c>
      <c r="L586">
        <v>0</v>
      </c>
      <c r="M586">
        <v>0</v>
      </c>
      <c r="N586">
        <v>0</v>
      </c>
      <c r="O586">
        <v>0</v>
      </c>
      <c r="P586">
        <v>0</v>
      </c>
      <c r="Q586">
        <v>0</v>
      </c>
      <c r="R586">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0</v>
      </c>
      <c r="BD586">
        <v>0</v>
      </c>
      <c r="BE586">
        <v>0</v>
      </c>
      <c r="BF586">
        <v>0</v>
      </c>
      <c r="BG586">
        <v>0</v>
      </c>
      <c r="BH586">
        <v>0</v>
      </c>
      <c r="BI586">
        <v>0</v>
      </c>
      <c r="BJ586">
        <v>0</v>
      </c>
      <c r="BK586">
        <v>0</v>
      </c>
    </row>
    <row r="587" spans="3:63">
      <c r="C587" s="145" t="s">
        <v>903</v>
      </c>
      <c r="D587">
        <v>1</v>
      </c>
      <c r="E587">
        <v>1</v>
      </c>
      <c r="F587">
        <v>0</v>
      </c>
      <c r="G587">
        <v>0</v>
      </c>
      <c r="H587">
        <v>1</v>
      </c>
      <c r="I587">
        <v>0</v>
      </c>
      <c r="J587">
        <v>0</v>
      </c>
      <c r="K587">
        <v>0</v>
      </c>
      <c r="L587">
        <v>0</v>
      </c>
      <c r="M587">
        <v>0</v>
      </c>
      <c r="N587">
        <v>0</v>
      </c>
      <c r="O587">
        <v>0</v>
      </c>
      <c r="P587">
        <v>0</v>
      </c>
      <c r="Q587">
        <v>0</v>
      </c>
      <c r="R587">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0</v>
      </c>
      <c r="BD587">
        <v>0</v>
      </c>
      <c r="BE587">
        <v>0</v>
      </c>
      <c r="BF587">
        <v>0</v>
      </c>
      <c r="BG587">
        <v>0</v>
      </c>
      <c r="BH587">
        <v>0</v>
      </c>
      <c r="BI587">
        <v>0</v>
      </c>
      <c r="BJ587">
        <v>0</v>
      </c>
      <c r="BK587">
        <v>0</v>
      </c>
    </row>
    <row r="588" spans="3:63">
      <c r="C588" s="145" t="s">
        <v>909</v>
      </c>
      <c r="D588">
        <v>0</v>
      </c>
      <c r="E588">
        <v>0</v>
      </c>
      <c r="F588">
        <v>0</v>
      </c>
      <c r="G588">
        <v>0</v>
      </c>
      <c r="H588">
        <v>0</v>
      </c>
      <c r="I588">
        <v>1</v>
      </c>
      <c r="J588">
        <v>0</v>
      </c>
      <c r="K588">
        <v>0</v>
      </c>
      <c r="L588">
        <v>0</v>
      </c>
      <c r="M588">
        <v>0</v>
      </c>
      <c r="N588">
        <v>0</v>
      </c>
      <c r="O588">
        <v>0</v>
      </c>
      <c r="P588">
        <v>0</v>
      </c>
      <c r="Q588">
        <v>0</v>
      </c>
      <c r="R588">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c r="AP588">
        <v>0</v>
      </c>
      <c r="AQ588">
        <v>0</v>
      </c>
      <c r="AR588">
        <v>0</v>
      </c>
      <c r="AS588">
        <v>0</v>
      </c>
      <c r="AT588">
        <v>0</v>
      </c>
      <c r="AU588">
        <v>0</v>
      </c>
      <c r="AV588">
        <v>0</v>
      </c>
      <c r="AW588">
        <v>0</v>
      </c>
      <c r="AX588">
        <v>0</v>
      </c>
      <c r="AY588">
        <v>0</v>
      </c>
      <c r="AZ588">
        <v>0</v>
      </c>
      <c r="BA588">
        <v>0</v>
      </c>
      <c r="BB588">
        <v>0</v>
      </c>
      <c r="BC588">
        <v>0</v>
      </c>
      <c r="BD588">
        <v>0</v>
      </c>
      <c r="BE588">
        <v>0</v>
      </c>
      <c r="BF588">
        <v>0</v>
      </c>
      <c r="BG588">
        <v>0</v>
      </c>
      <c r="BH588">
        <v>0</v>
      </c>
      <c r="BI588">
        <v>0</v>
      </c>
      <c r="BJ588">
        <v>0</v>
      </c>
      <c r="BK588">
        <v>0</v>
      </c>
    </row>
    <row r="589" spans="3:63">
      <c r="C589" s="145" t="s">
        <v>38</v>
      </c>
      <c r="D589">
        <v>0</v>
      </c>
      <c r="E589">
        <v>0</v>
      </c>
      <c r="F589">
        <v>0</v>
      </c>
      <c r="G589">
        <v>0</v>
      </c>
      <c r="H589">
        <v>0</v>
      </c>
      <c r="I589">
        <v>0</v>
      </c>
      <c r="J589">
        <v>0</v>
      </c>
      <c r="K589">
        <v>0</v>
      </c>
      <c r="L589">
        <v>0</v>
      </c>
      <c r="M589">
        <v>0</v>
      </c>
      <c r="N589">
        <v>1</v>
      </c>
      <c r="O589">
        <v>0</v>
      </c>
      <c r="P589">
        <v>0</v>
      </c>
      <c r="Q589">
        <v>0</v>
      </c>
      <c r="R589">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v>0</v>
      </c>
      <c r="AZ589">
        <v>0</v>
      </c>
      <c r="BA589">
        <v>0</v>
      </c>
      <c r="BB589">
        <v>0</v>
      </c>
      <c r="BC589">
        <v>0</v>
      </c>
      <c r="BD589">
        <v>0</v>
      </c>
      <c r="BE589">
        <v>0</v>
      </c>
      <c r="BF589">
        <v>0</v>
      </c>
      <c r="BG589">
        <v>0</v>
      </c>
      <c r="BH589">
        <v>0</v>
      </c>
      <c r="BI589">
        <v>0</v>
      </c>
      <c r="BJ589">
        <v>0</v>
      </c>
      <c r="BK589">
        <v>0</v>
      </c>
    </row>
    <row r="590" spans="3:63">
      <c r="C590" s="145" t="s">
        <v>27</v>
      </c>
      <c r="D590">
        <v>0</v>
      </c>
      <c r="E590">
        <v>0</v>
      </c>
      <c r="F590">
        <v>0</v>
      </c>
      <c r="G590">
        <v>0</v>
      </c>
      <c r="H590">
        <v>0</v>
      </c>
      <c r="I590">
        <v>0</v>
      </c>
      <c r="J590">
        <v>0</v>
      </c>
      <c r="K590">
        <v>0</v>
      </c>
      <c r="L590">
        <v>1</v>
      </c>
      <c r="M590">
        <v>0</v>
      </c>
      <c r="N590">
        <v>0</v>
      </c>
      <c r="O590">
        <v>0</v>
      </c>
      <c r="P590">
        <v>0</v>
      </c>
      <c r="Q590">
        <v>0</v>
      </c>
      <c r="R590">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v>0</v>
      </c>
      <c r="AZ590">
        <v>0</v>
      </c>
      <c r="BA590">
        <v>0</v>
      </c>
      <c r="BB590">
        <v>0</v>
      </c>
      <c r="BC590">
        <v>0</v>
      </c>
      <c r="BD590">
        <v>0</v>
      </c>
      <c r="BE590">
        <v>0</v>
      </c>
      <c r="BF590">
        <v>0</v>
      </c>
      <c r="BG590">
        <v>0</v>
      </c>
      <c r="BH590">
        <v>0</v>
      </c>
      <c r="BI590">
        <v>0</v>
      </c>
      <c r="BJ590">
        <v>0</v>
      </c>
      <c r="BK590">
        <v>0</v>
      </c>
    </row>
    <row r="591" spans="3:63">
      <c r="C591" s="145" t="s">
        <v>967</v>
      </c>
      <c r="D591">
        <v>0</v>
      </c>
      <c r="E591">
        <v>0</v>
      </c>
      <c r="F591">
        <v>0</v>
      </c>
      <c r="G591">
        <v>0</v>
      </c>
      <c r="H591">
        <v>1</v>
      </c>
      <c r="I591">
        <v>0</v>
      </c>
      <c r="J591">
        <v>0</v>
      </c>
      <c r="K591">
        <v>1</v>
      </c>
      <c r="L591">
        <v>0</v>
      </c>
      <c r="M591">
        <v>0</v>
      </c>
      <c r="N591">
        <v>0</v>
      </c>
      <c r="O591">
        <v>0</v>
      </c>
      <c r="P591">
        <v>0</v>
      </c>
      <c r="Q591">
        <v>0</v>
      </c>
      <c r="R591">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0</v>
      </c>
      <c r="BC591">
        <v>0</v>
      </c>
      <c r="BD591">
        <v>0</v>
      </c>
      <c r="BE591">
        <v>0</v>
      </c>
      <c r="BF591">
        <v>0</v>
      </c>
      <c r="BG591">
        <v>0</v>
      </c>
      <c r="BH591">
        <v>0</v>
      </c>
      <c r="BI591">
        <v>0</v>
      </c>
      <c r="BJ591">
        <v>0</v>
      </c>
      <c r="BK591">
        <v>0</v>
      </c>
    </row>
    <row r="592" spans="3:63">
      <c r="C592" s="145" t="s">
        <v>909</v>
      </c>
      <c r="D592">
        <v>0</v>
      </c>
      <c r="E592">
        <v>0</v>
      </c>
      <c r="F592">
        <v>0</v>
      </c>
      <c r="G592">
        <v>0</v>
      </c>
      <c r="H592">
        <v>0</v>
      </c>
      <c r="I592">
        <v>1</v>
      </c>
      <c r="J592">
        <v>0</v>
      </c>
      <c r="K592">
        <v>0</v>
      </c>
      <c r="L592">
        <v>0</v>
      </c>
      <c r="M592">
        <v>0</v>
      </c>
      <c r="N592">
        <v>0</v>
      </c>
      <c r="O592">
        <v>0</v>
      </c>
      <c r="P592">
        <v>0</v>
      </c>
      <c r="Q592">
        <v>0</v>
      </c>
      <c r="R592">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c r="AP592">
        <v>0</v>
      </c>
      <c r="AQ592">
        <v>0</v>
      </c>
      <c r="AR592">
        <v>0</v>
      </c>
      <c r="AS592">
        <v>0</v>
      </c>
      <c r="AT592">
        <v>0</v>
      </c>
      <c r="AU592">
        <v>0</v>
      </c>
      <c r="AV592">
        <v>0</v>
      </c>
      <c r="AW592">
        <v>0</v>
      </c>
      <c r="AX592">
        <v>0</v>
      </c>
      <c r="AY592">
        <v>0</v>
      </c>
      <c r="AZ592">
        <v>0</v>
      </c>
      <c r="BA592">
        <v>0</v>
      </c>
      <c r="BB592">
        <v>0</v>
      </c>
      <c r="BC592">
        <v>0</v>
      </c>
      <c r="BD592">
        <v>0</v>
      </c>
      <c r="BE592">
        <v>0</v>
      </c>
      <c r="BF592">
        <v>0</v>
      </c>
      <c r="BG592">
        <v>0</v>
      </c>
      <c r="BH592">
        <v>0</v>
      </c>
      <c r="BI592">
        <v>0</v>
      </c>
      <c r="BJ592">
        <v>0</v>
      </c>
      <c r="BK592">
        <v>0</v>
      </c>
    </row>
    <row r="593" spans="3:63">
      <c r="C593" s="145" t="s">
        <v>942</v>
      </c>
      <c r="D593">
        <v>0</v>
      </c>
      <c r="E593">
        <v>0</v>
      </c>
      <c r="F593">
        <v>0</v>
      </c>
      <c r="G593">
        <v>0</v>
      </c>
      <c r="H593">
        <v>0</v>
      </c>
      <c r="I593">
        <v>1</v>
      </c>
      <c r="J593">
        <v>0</v>
      </c>
      <c r="K593">
        <v>0</v>
      </c>
      <c r="L593">
        <v>1</v>
      </c>
      <c r="M593">
        <v>0</v>
      </c>
      <c r="N593">
        <v>1</v>
      </c>
      <c r="O593">
        <v>0</v>
      </c>
      <c r="P593">
        <v>0</v>
      </c>
      <c r="Q593">
        <v>0</v>
      </c>
      <c r="R593">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c r="AP593">
        <v>0</v>
      </c>
      <c r="AQ593">
        <v>0</v>
      </c>
      <c r="AR593">
        <v>0</v>
      </c>
      <c r="AS593">
        <v>0</v>
      </c>
      <c r="AT593">
        <v>0</v>
      </c>
      <c r="AU593">
        <v>0</v>
      </c>
      <c r="AV593">
        <v>0</v>
      </c>
      <c r="AW593">
        <v>0</v>
      </c>
      <c r="AX593">
        <v>0</v>
      </c>
      <c r="AY593">
        <v>0</v>
      </c>
      <c r="AZ593">
        <v>0</v>
      </c>
      <c r="BA593">
        <v>0</v>
      </c>
      <c r="BB593">
        <v>0</v>
      </c>
      <c r="BC593">
        <v>0</v>
      </c>
      <c r="BD593">
        <v>0</v>
      </c>
      <c r="BE593">
        <v>0</v>
      </c>
      <c r="BF593">
        <v>0</v>
      </c>
      <c r="BG593">
        <v>0</v>
      </c>
      <c r="BH593">
        <v>0</v>
      </c>
      <c r="BI593">
        <v>0</v>
      </c>
      <c r="BJ593">
        <v>0</v>
      </c>
      <c r="BK593">
        <v>0</v>
      </c>
    </row>
    <row r="594" spans="3:63">
      <c r="C594" s="145" t="s">
        <v>26</v>
      </c>
      <c r="D594">
        <v>1</v>
      </c>
      <c r="E594">
        <v>0</v>
      </c>
      <c r="F594">
        <v>0</v>
      </c>
      <c r="G594">
        <v>0</v>
      </c>
      <c r="H594">
        <v>0</v>
      </c>
      <c r="I594">
        <v>0</v>
      </c>
      <c r="J594">
        <v>0</v>
      </c>
      <c r="K594">
        <v>0</v>
      </c>
      <c r="L594">
        <v>0</v>
      </c>
      <c r="M594">
        <v>0</v>
      </c>
      <c r="N594">
        <v>0</v>
      </c>
      <c r="O594">
        <v>0</v>
      </c>
      <c r="P594">
        <v>0</v>
      </c>
      <c r="Q594">
        <v>0</v>
      </c>
      <c r="R594">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c r="AP594">
        <v>0</v>
      </c>
      <c r="AQ594">
        <v>0</v>
      </c>
      <c r="AR594">
        <v>0</v>
      </c>
      <c r="AS594">
        <v>0</v>
      </c>
      <c r="AT594">
        <v>0</v>
      </c>
      <c r="AU594">
        <v>0</v>
      </c>
      <c r="AV594">
        <v>0</v>
      </c>
      <c r="AW594">
        <v>0</v>
      </c>
      <c r="AX594">
        <v>0</v>
      </c>
      <c r="AY594">
        <v>0</v>
      </c>
      <c r="AZ594">
        <v>0</v>
      </c>
      <c r="BA594">
        <v>0</v>
      </c>
      <c r="BB594">
        <v>0</v>
      </c>
      <c r="BC594">
        <v>0</v>
      </c>
      <c r="BD594">
        <v>0</v>
      </c>
      <c r="BE594">
        <v>0</v>
      </c>
      <c r="BF594">
        <v>0</v>
      </c>
      <c r="BG594">
        <v>0</v>
      </c>
      <c r="BH594">
        <v>0</v>
      </c>
      <c r="BI594">
        <v>0</v>
      </c>
      <c r="BJ594">
        <v>0</v>
      </c>
      <c r="BK594">
        <v>0</v>
      </c>
    </row>
    <row r="595" spans="3:63">
      <c r="C595" s="145" t="s">
        <v>907</v>
      </c>
      <c r="D595">
        <v>1</v>
      </c>
      <c r="E595">
        <v>0</v>
      </c>
      <c r="F595">
        <v>0</v>
      </c>
      <c r="G595">
        <v>0</v>
      </c>
      <c r="H595">
        <v>0</v>
      </c>
      <c r="I595">
        <v>0</v>
      </c>
      <c r="J595">
        <v>0</v>
      </c>
      <c r="K595">
        <v>0</v>
      </c>
      <c r="L595">
        <v>0</v>
      </c>
      <c r="M595">
        <v>0</v>
      </c>
      <c r="N595">
        <v>0</v>
      </c>
      <c r="O595">
        <v>1</v>
      </c>
      <c r="P595">
        <v>0</v>
      </c>
      <c r="Q595">
        <v>0</v>
      </c>
      <c r="R59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v>0</v>
      </c>
      <c r="AZ595">
        <v>0</v>
      </c>
      <c r="BA595">
        <v>0</v>
      </c>
      <c r="BB595">
        <v>0</v>
      </c>
      <c r="BC595">
        <v>0</v>
      </c>
      <c r="BD595">
        <v>0</v>
      </c>
      <c r="BE595">
        <v>0</v>
      </c>
      <c r="BF595">
        <v>0</v>
      </c>
      <c r="BG595">
        <v>0</v>
      </c>
      <c r="BH595">
        <v>0</v>
      </c>
      <c r="BI595">
        <v>0</v>
      </c>
      <c r="BJ595">
        <v>0</v>
      </c>
      <c r="BK595">
        <v>0</v>
      </c>
    </row>
    <row r="596" spans="3:63">
      <c r="C596" s="145" t="s">
        <v>26</v>
      </c>
      <c r="D596">
        <v>1</v>
      </c>
      <c r="E596">
        <v>0</v>
      </c>
      <c r="F596">
        <v>0</v>
      </c>
      <c r="G596">
        <v>0</v>
      </c>
      <c r="H596">
        <v>0</v>
      </c>
      <c r="I596">
        <v>0</v>
      </c>
      <c r="J596">
        <v>0</v>
      </c>
      <c r="K596">
        <v>0</v>
      </c>
      <c r="L596">
        <v>0</v>
      </c>
      <c r="M596">
        <v>0</v>
      </c>
      <c r="N596">
        <v>0</v>
      </c>
      <c r="O596">
        <v>0</v>
      </c>
      <c r="P596">
        <v>0</v>
      </c>
      <c r="Q596">
        <v>0</v>
      </c>
      <c r="R596">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0</v>
      </c>
      <c r="BD596">
        <v>0</v>
      </c>
      <c r="BE596">
        <v>0</v>
      </c>
      <c r="BF596">
        <v>0</v>
      </c>
      <c r="BG596">
        <v>0</v>
      </c>
      <c r="BH596">
        <v>0</v>
      </c>
      <c r="BI596">
        <v>0</v>
      </c>
      <c r="BJ596">
        <v>0</v>
      </c>
      <c r="BK596">
        <v>0</v>
      </c>
    </row>
    <row r="597" spans="3:63">
      <c r="C597" s="145" t="s">
        <v>968</v>
      </c>
      <c r="D597">
        <v>0</v>
      </c>
      <c r="E597">
        <v>0</v>
      </c>
      <c r="F597">
        <v>0</v>
      </c>
      <c r="G597">
        <v>0</v>
      </c>
      <c r="H597">
        <v>0</v>
      </c>
      <c r="I597">
        <v>0</v>
      </c>
      <c r="J597">
        <v>0</v>
      </c>
      <c r="K597">
        <v>1</v>
      </c>
      <c r="L597">
        <v>0</v>
      </c>
      <c r="M597">
        <v>1</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0</v>
      </c>
      <c r="BD597">
        <v>0</v>
      </c>
      <c r="BE597">
        <v>0</v>
      </c>
      <c r="BF597">
        <v>0</v>
      </c>
      <c r="BG597">
        <v>0</v>
      </c>
      <c r="BH597">
        <v>0</v>
      </c>
      <c r="BI597">
        <v>0</v>
      </c>
      <c r="BJ597">
        <v>0</v>
      </c>
      <c r="BK597">
        <v>0</v>
      </c>
    </row>
    <row r="598" spans="3:63">
      <c r="C598" s="145" t="s">
        <v>912</v>
      </c>
      <c r="D598">
        <v>1</v>
      </c>
      <c r="E598">
        <v>0</v>
      </c>
      <c r="F598">
        <v>0</v>
      </c>
      <c r="G598">
        <v>0</v>
      </c>
      <c r="H598">
        <v>0</v>
      </c>
      <c r="I598">
        <v>1</v>
      </c>
      <c r="J598">
        <v>0</v>
      </c>
      <c r="K598">
        <v>0</v>
      </c>
      <c r="L598">
        <v>0</v>
      </c>
      <c r="M598">
        <v>0</v>
      </c>
      <c r="N598">
        <v>0</v>
      </c>
      <c r="O598">
        <v>0</v>
      </c>
      <c r="P598">
        <v>0</v>
      </c>
      <c r="Q598">
        <v>0</v>
      </c>
      <c r="R598">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c r="AP598">
        <v>0</v>
      </c>
      <c r="AQ598">
        <v>0</v>
      </c>
      <c r="AR598">
        <v>0</v>
      </c>
      <c r="AS598">
        <v>0</v>
      </c>
      <c r="AT598">
        <v>0</v>
      </c>
      <c r="AU598">
        <v>0</v>
      </c>
      <c r="AV598">
        <v>0</v>
      </c>
      <c r="AW598">
        <v>0</v>
      </c>
      <c r="AX598">
        <v>0</v>
      </c>
      <c r="AY598">
        <v>0</v>
      </c>
      <c r="AZ598">
        <v>0</v>
      </c>
      <c r="BA598">
        <v>0</v>
      </c>
      <c r="BB598">
        <v>0</v>
      </c>
      <c r="BC598">
        <v>0</v>
      </c>
      <c r="BD598">
        <v>0</v>
      </c>
      <c r="BE598">
        <v>0</v>
      </c>
      <c r="BF598">
        <v>0</v>
      </c>
      <c r="BG598">
        <v>0</v>
      </c>
      <c r="BH598">
        <v>0</v>
      </c>
      <c r="BI598">
        <v>0</v>
      </c>
      <c r="BJ598">
        <v>0</v>
      </c>
      <c r="BK598">
        <v>0</v>
      </c>
    </row>
    <row r="599" spans="3:63">
      <c r="C599" s="145" t="s">
        <v>26</v>
      </c>
      <c r="D599">
        <v>1</v>
      </c>
      <c r="E599">
        <v>0</v>
      </c>
      <c r="F599">
        <v>0</v>
      </c>
      <c r="G599">
        <v>0</v>
      </c>
      <c r="H599">
        <v>0</v>
      </c>
      <c r="I599">
        <v>0</v>
      </c>
      <c r="J599">
        <v>0</v>
      </c>
      <c r="K599">
        <v>0</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v>0</v>
      </c>
      <c r="AZ599">
        <v>0</v>
      </c>
      <c r="BA599">
        <v>0</v>
      </c>
      <c r="BB599">
        <v>0</v>
      </c>
      <c r="BC599">
        <v>0</v>
      </c>
      <c r="BD599">
        <v>0</v>
      </c>
      <c r="BE599">
        <v>0</v>
      </c>
      <c r="BF599">
        <v>0</v>
      </c>
      <c r="BG599">
        <v>0</v>
      </c>
      <c r="BH599">
        <v>0</v>
      </c>
      <c r="BI599">
        <v>0</v>
      </c>
      <c r="BJ599">
        <v>0</v>
      </c>
      <c r="BK599">
        <v>0</v>
      </c>
    </row>
    <row r="600" spans="3:63">
      <c r="C600" s="145" t="s">
        <v>896</v>
      </c>
      <c r="D600">
        <v>1</v>
      </c>
      <c r="E600">
        <v>0</v>
      </c>
      <c r="F600">
        <v>0</v>
      </c>
      <c r="G600">
        <v>0</v>
      </c>
      <c r="H600">
        <v>0</v>
      </c>
      <c r="I600">
        <v>0</v>
      </c>
      <c r="J600">
        <v>0</v>
      </c>
      <c r="K600">
        <v>1</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c r="AP600">
        <v>0</v>
      </c>
      <c r="AQ600">
        <v>0</v>
      </c>
      <c r="AR600">
        <v>0</v>
      </c>
      <c r="AS600">
        <v>0</v>
      </c>
      <c r="AT600">
        <v>0</v>
      </c>
      <c r="AU600">
        <v>0</v>
      </c>
      <c r="AV600">
        <v>0</v>
      </c>
      <c r="AW600">
        <v>0</v>
      </c>
      <c r="AX600">
        <v>0</v>
      </c>
      <c r="AY600">
        <v>0</v>
      </c>
      <c r="AZ600">
        <v>0</v>
      </c>
      <c r="BA600">
        <v>0</v>
      </c>
      <c r="BB600">
        <v>0</v>
      </c>
      <c r="BC600">
        <v>0</v>
      </c>
      <c r="BD600">
        <v>0</v>
      </c>
      <c r="BE600">
        <v>0</v>
      </c>
      <c r="BF600">
        <v>0</v>
      </c>
      <c r="BG600">
        <v>0</v>
      </c>
      <c r="BH600">
        <v>0</v>
      </c>
      <c r="BI600">
        <v>0</v>
      </c>
      <c r="BJ600">
        <v>0</v>
      </c>
      <c r="BK600">
        <v>0</v>
      </c>
    </row>
    <row r="601" spans="3:63">
      <c r="C601" s="145" t="s">
        <v>937</v>
      </c>
      <c r="D601">
        <v>0</v>
      </c>
      <c r="E601">
        <v>0</v>
      </c>
      <c r="F601">
        <v>1</v>
      </c>
      <c r="G601">
        <v>0</v>
      </c>
      <c r="H601">
        <v>0</v>
      </c>
      <c r="I601">
        <v>1</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0</v>
      </c>
      <c r="BD601">
        <v>0</v>
      </c>
      <c r="BE601">
        <v>0</v>
      </c>
      <c r="BF601">
        <v>0</v>
      </c>
      <c r="BG601">
        <v>0</v>
      </c>
      <c r="BH601">
        <v>0</v>
      </c>
      <c r="BI601">
        <v>0</v>
      </c>
      <c r="BJ601">
        <v>0</v>
      </c>
      <c r="BK601">
        <v>0</v>
      </c>
    </row>
    <row r="602" spans="3:63">
      <c r="C602" s="145" t="s">
        <v>969</v>
      </c>
      <c r="D602">
        <v>0</v>
      </c>
      <c r="E602">
        <v>0</v>
      </c>
      <c r="F602">
        <v>0</v>
      </c>
      <c r="G602">
        <v>0</v>
      </c>
      <c r="H602">
        <v>0</v>
      </c>
      <c r="I602">
        <v>0</v>
      </c>
      <c r="J602">
        <v>0</v>
      </c>
      <c r="K602">
        <v>1</v>
      </c>
      <c r="L602">
        <v>1</v>
      </c>
      <c r="M602">
        <v>1</v>
      </c>
      <c r="N602">
        <v>0</v>
      </c>
      <c r="O602">
        <v>0</v>
      </c>
      <c r="P602">
        <v>0</v>
      </c>
      <c r="Q602">
        <v>0</v>
      </c>
      <c r="R602">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c r="AP602">
        <v>0</v>
      </c>
      <c r="AQ602">
        <v>0</v>
      </c>
      <c r="AR602">
        <v>0</v>
      </c>
      <c r="AS602">
        <v>0</v>
      </c>
      <c r="AT602">
        <v>0</v>
      </c>
      <c r="AU602">
        <v>0</v>
      </c>
      <c r="AV602">
        <v>0</v>
      </c>
      <c r="AW602">
        <v>0</v>
      </c>
      <c r="AX602">
        <v>0</v>
      </c>
      <c r="AY602">
        <v>0</v>
      </c>
      <c r="AZ602">
        <v>0</v>
      </c>
      <c r="BA602">
        <v>0</v>
      </c>
      <c r="BB602">
        <v>0</v>
      </c>
      <c r="BC602">
        <v>0</v>
      </c>
      <c r="BD602">
        <v>0</v>
      </c>
      <c r="BE602">
        <v>0</v>
      </c>
      <c r="BF602">
        <v>0</v>
      </c>
      <c r="BG602">
        <v>0</v>
      </c>
      <c r="BH602">
        <v>0</v>
      </c>
      <c r="BI602">
        <v>0</v>
      </c>
      <c r="BJ602">
        <v>0</v>
      </c>
      <c r="BK602">
        <v>0</v>
      </c>
    </row>
    <row r="603" spans="3:63">
      <c r="C603" s="145" t="s">
        <v>897</v>
      </c>
      <c r="D603">
        <v>1</v>
      </c>
      <c r="E603">
        <v>1</v>
      </c>
      <c r="F603">
        <v>0</v>
      </c>
      <c r="G603">
        <v>0</v>
      </c>
      <c r="H603">
        <v>0</v>
      </c>
      <c r="I603">
        <v>1</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0</v>
      </c>
      <c r="AW603">
        <v>0</v>
      </c>
      <c r="AX603">
        <v>0</v>
      </c>
      <c r="AY603">
        <v>0</v>
      </c>
      <c r="AZ603">
        <v>0</v>
      </c>
      <c r="BA603">
        <v>0</v>
      </c>
      <c r="BB603">
        <v>0</v>
      </c>
      <c r="BC603">
        <v>0</v>
      </c>
      <c r="BD603">
        <v>0</v>
      </c>
      <c r="BE603">
        <v>0</v>
      </c>
      <c r="BF603">
        <v>0</v>
      </c>
      <c r="BG603">
        <v>0</v>
      </c>
      <c r="BH603">
        <v>0</v>
      </c>
      <c r="BI603">
        <v>0</v>
      </c>
      <c r="BJ603">
        <v>0</v>
      </c>
      <c r="BK603">
        <v>0</v>
      </c>
    </row>
    <row r="604" spans="3:63">
      <c r="C604" s="145" t="s">
        <v>26</v>
      </c>
      <c r="D604">
        <v>1</v>
      </c>
      <c r="E604">
        <v>0</v>
      </c>
      <c r="F604">
        <v>0</v>
      </c>
      <c r="G604">
        <v>0</v>
      </c>
      <c r="H604">
        <v>0</v>
      </c>
      <c r="I604">
        <v>0</v>
      </c>
      <c r="J604">
        <v>0</v>
      </c>
      <c r="K604">
        <v>0</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c r="AP604">
        <v>0</v>
      </c>
      <c r="AQ604">
        <v>0</v>
      </c>
      <c r="AR604">
        <v>0</v>
      </c>
      <c r="AS604">
        <v>0</v>
      </c>
      <c r="AT604">
        <v>0</v>
      </c>
      <c r="AU604">
        <v>0</v>
      </c>
      <c r="AV604">
        <v>0</v>
      </c>
      <c r="AW604">
        <v>0</v>
      </c>
      <c r="AX604">
        <v>0</v>
      </c>
      <c r="AY604">
        <v>0</v>
      </c>
      <c r="AZ604">
        <v>0</v>
      </c>
      <c r="BA604">
        <v>0</v>
      </c>
      <c r="BB604">
        <v>0</v>
      </c>
      <c r="BC604">
        <v>0</v>
      </c>
      <c r="BD604">
        <v>0</v>
      </c>
      <c r="BE604">
        <v>0</v>
      </c>
      <c r="BF604">
        <v>0</v>
      </c>
      <c r="BG604">
        <v>0</v>
      </c>
      <c r="BH604">
        <v>0</v>
      </c>
      <c r="BI604">
        <v>0</v>
      </c>
      <c r="BJ604">
        <v>0</v>
      </c>
      <c r="BK604">
        <v>0</v>
      </c>
    </row>
    <row r="605" spans="3:63">
      <c r="C605" s="145" t="s">
        <v>45</v>
      </c>
      <c r="D605">
        <v>1</v>
      </c>
      <c r="E605">
        <v>0</v>
      </c>
      <c r="F605">
        <v>0</v>
      </c>
      <c r="G605">
        <v>0</v>
      </c>
      <c r="H605">
        <v>0</v>
      </c>
      <c r="I605">
        <v>0</v>
      </c>
      <c r="J605">
        <v>1</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v>0</v>
      </c>
      <c r="AZ605">
        <v>0</v>
      </c>
      <c r="BA605">
        <v>0</v>
      </c>
      <c r="BB605">
        <v>0</v>
      </c>
      <c r="BC605">
        <v>0</v>
      </c>
      <c r="BD605">
        <v>0</v>
      </c>
      <c r="BE605">
        <v>0</v>
      </c>
      <c r="BF605">
        <v>0</v>
      </c>
      <c r="BG605">
        <v>0</v>
      </c>
      <c r="BH605">
        <v>0</v>
      </c>
      <c r="BI605">
        <v>0</v>
      </c>
      <c r="BJ605">
        <v>0</v>
      </c>
      <c r="BK605">
        <v>0</v>
      </c>
    </row>
    <row r="606" spans="3:63">
      <c r="C606" s="145" t="s">
        <v>26</v>
      </c>
      <c r="D606">
        <v>1</v>
      </c>
      <c r="E606">
        <v>0</v>
      </c>
      <c r="F606">
        <v>0</v>
      </c>
      <c r="G606">
        <v>0</v>
      </c>
      <c r="H606">
        <v>0</v>
      </c>
      <c r="I606">
        <v>0</v>
      </c>
      <c r="J606">
        <v>0</v>
      </c>
      <c r="K606">
        <v>0</v>
      </c>
      <c r="L606">
        <v>0</v>
      </c>
      <c r="M606">
        <v>0</v>
      </c>
      <c r="N606">
        <v>0</v>
      </c>
      <c r="O606">
        <v>0</v>
      </c>
      <c r="P606">
        <v>0</v>
      </c>
      <c r="Q606">
        <v>0</v>
      </c>
      <c r="R606">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c r="AP606">
        <v>0</v>
      </c>
      <c r="AQ606">
        <v>0</v>
      </c>
      <c r="AR606">
        <v>0</v>
      </c>
      <c r="AS606">
        <v>0</v>
      </c>
      <c r="AT606">
        <v>0</v>
      </c>
      <c r="AU606">
        <v>0</v>
      </c>
      <c r="AV606">
        <v>0</v>
      </c>
      <c r="AW606">
        <v>0</v>
      </c>
      <c r="AX606">
        <v>0</v>
      </c>
      <c r="AY606">
        <v>0</v>
      </c>
      <c r="AZ606">
        <v>0</v>
      </c>
      <c r="BA606">
        <v>0</v>
      </c>
      <c r="BB606">
        <v>0</v>
      </c>
      <c r="BC606">
        <v>0</v>
      </c>
      <c r="BD606">
        <v>0</v>
      </c>
      <c r="BE606">
        <v>0</v>
      </c>
      <c r="BF606">
        <v>0</v>
      </c>
      <c r="BG606">
        <v>0</v>
      </c>
      <c r="BH606">
        <v>0</v>
      </c>
      <c r="BI606">
        <v>0</v>
      </c>
      <c r="BJ606">
        <v>0</v>
      </c>
      <c r="BK606">
        <v>0</v>
      </c>
    </row>
    <row r="607" spans="3:63">
      <c r="C607" s="145" t="s">
        <v>26</v>
      </c>
      <c r="D607">
        <v>1</v>
      </c>
      <c r="E607">
        <v>0</v>
      </c>
      <c r="F607">
        <v>0</v>
      </c>
      <c r="G607">
        <v>0</v>
      </c>
      <c r="H607">
        <v>0</v>
      </c>
      <c r="I607">
        <v>0</v>
      </c>
      <c r="J607">
        <v>0</v>
      </c>
      <c r="K607">
        <v>0</v>
      </c>
      <c r="L607">
        <v>0</v>
      </c>
      <c r="M607">
        <v>0</v>
      </c>
      <c r="N607">
        <v>0</v>
      </c>
      <c r="O607">
        <v>0</v>
      </c>
      <c r="P607">
        <v>0</v>
      </c>
      <c r="Q607">
        <v>0</v>
      </c>
      <c r="R607">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c r="AP607">
        <v>0</v>
      </c>
      <c r="AQ607">
        <v>0</v>
      </c>
      <c r="AR607">
        <v>0</v>
      </c>
      <c r="AS607">
        <v>0</v>
      </c>
      <c r="AT607">
        <v>0</v>
      </c>
      <c r="AU607">
        <v>0</v>
      </c>
      <c r="AV607">
        <v>0</v>
      </c>
      <c r="AW607">
        <v>0</v>
      </c>
      <c r="AX607">
        <v>0</v>
      </c>
      <c r="AY607">
        <v>0</v>
      </c>
      <c r="AZ607">
        <v>0</v>
      </c>
      <c r="BA607">
        <v>0</v>
      </c>
      <c r="BB607">
        <v>0</v>
      </c>
      <c r="BC607">
        <v>0</v>
      </c>
      <c r="BD607">
        <v>0</v>
      </c>
      <c r="BE607">
        <v>0</v>
      </c>
      <c r="BF607">
        <v>0</v>
      </c>
      <c r="BG607">
        <v>0</v>
      </c>
      <c r="BH607">
        <v>0</v>
      </c>
      <c r="BI607">
        <v>0</v>
      </c>
      <c r="BJ607">
        <v>0</v>
      </c>
      <c r="BK607">
        <v>0</v>
      </c>
    </row>
    <row r="608" spans="3:63">
      <c r="C608" s="145" t="s">
        <v>930</v>
      </c>
      <c r="D608">
        <v>0</v>
      </c>
      <c r="E608">
        <v>0</v>
      </c>
      <c r="F608">
        <v>0</v>
      </c>
      <c r="G608">
        <v>0</v>
      </c>
      <c r="H608">
        <v>1</v>
      </c>
      <c r="I608">
        <v>0</v>
      </c>
      <c r="J608">
        <v>0</v>
      </c>
      <c r="K608">
        <v>0</v>
      </c>
      <c r="L608">
        <v>0</v>
      </c>
      <c r="M608">
        <v>0</v>
      </c>
      <c r="N608">
        <v>1</v>
      </c>
      <c r="O608">
        <v>0</v>
      </c>
      <c r="P608">
        <v>0</v>
      </c>
      <c r="Q608">
        <v>0</v>
      </c>
      <c r="R608">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c r="AP608">
        <v>0</v>
      </c>
      <c r="AQ608">
        <v>0</v>
      </c>
      <c r="AR608">
        <v>0</v>
      </c>
      <c r="AS608">
        <v>0</v>
      </c>
      <c r="AT608">
        <v>0</v>
      </c>
      <c r="AU608">
        <v>0</v>
      </c>
      <c r="AV608">
        <v>0</v>
      </c>
      <c r="AW608">
        <v>0</v>
      </c>
      <c r="AX608">
        <v>0</v>
      </c>
      <c r="AY608">
        <v>0</v>
      </c>
      <c r="AZ608">
        <v>0</v>
      </c>
      <c r="BA608">
        <v>0</v>
      </c>
      <c r="BB608">
        <v>0</v>
      </c>
      <c r="BC608">
        <v>0</v>
      </c>
      <c r="BD608">
        <v>0</v>
      </c>
      <c r="BE608">
        <v>0</v>
      </c>
      <c r="BF608">
        <v>0</v>
      </c>
      <c r="BG608">
        <v>0</v>
      </c>
      <c r="BH608">
        <v>0</v>
      </c>
      <c r="BI608">
        <v>0</v>
      </c>
      <c r="BJ608">
        <v>0</v>
      </c>
      <c r="BK608">
        <v>0</v>
      </c>
    </row>
    <row r="609" spans="3:63">
      <c r="C609" s="145" t="s">
        <v>26</v>
      </c>
      <c r="D609">
        <v>1</v>
      </c>
      <c r="E609">
        <v>0</v>
      </c>
      <c r="F609">
        <v>0</v>
      </c>
      <c r="G609">
        <v>0</v>
      </c>
      <c r="H609">
        <v>0</v>
      </c>
      <c r="I609">
        <v>0</v>
      </c>
      <c r="J609">
        <v>0</v>
      </c>
      <c r="K609">
        <v>0</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c r="AP609">
        <v>0</v>
      </c>
      <c r="AQ609">
        <v>0</v>
      </c>
      <c r="AR609">
        <v>0</v>
      </c>
      <c r="AS609">
        <v>0</v>
      </c>
      <c r="AT609">
        <v>0</v>
      </c>
      <c r="AU609">
        <v>0</v>
      </c>
      <c r="AV609">
        <v>0</v>
      </c>
      <c r="AW609">
        <v>0</v>
      </c>
      <c r="AX609">
        <v>0</v>
      </c>
      <c r="AY609">
        <v>0</v>
      </c>
      <c r="AZ609">
        <v>0</v>
      </c>
      <c r="BA609">
        <v>0</v>
      </c>
      <c r="BB609">
        <v>0</v>
      </c>
      <c r="BC609">
        <v>0</v>
      </c>
      <c r="BD609">
        <v>0</v>
      </c>
      <c r="BE609">
        <v>0</v>
      </c>
      <c r="BF609">
        <v>0</v>
      </c>
      <c r="BG609">
        <v>0</v>
      </c>
      <c r="BH609">
        <v>0</v>
      </c>
      <c r="BI609">
        <v>0</v>
      </c>
      <c r="BJ609">
        <v>0</v>
      </c>
      <c r="BK609">
        <v>0</v>
      </c>
    </row>
    <row r="610" spans="3:63">
      <c r="C610" s="145" t="s">
        <v>25</v>
      </c>
      <c r="D610">
        <v>0</v>
      </c>
      <c r="E610">
        <v>0</v>
      </c>
      <c r="F610">
        <v>0</v>
      </c>
      <c r="G610">
        <v>0</v>
      </c>
      <c r="H610">
        <v>0</v>
      </c>
      <c r="I610">
        <v>0</v>
      </c>
      <c r="J610">
        <v>0</v>
      </c>
      <c r="K610">
        <v>0</v>
      </c>
      <c r="L610">
        <v>0</v>
      </c>
      <c r="M610">
        <v>1</v>
      </c>
      <c r="N610">
        <v>0</v>
      </c>
      <c r="O610">
        <v>0</v>
      </c>
      <c r="P610">
        <v>0</v>
      </c>
      <c r="Q610">
        <v>0</v>
      </c>
      <c r="R610">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c r="AP610">
        <v>0</v>
      </c>
      <c r="AQ610">
        <v>0</v>
      </c>
      <c r="AR610">
        <v>0</v>
      </c>
      <c r="AS610">
        <v>0</v>
      </c>
      <c r="AT610">
        <v>0</v>
      </c>
      <c r="AU610">
        <v>0</v>
      </c>
      <c r="AV610">
        <v>0</v>
      </c>
      <c r="AW610">
        <v>0</v>
      </c>
      <c r="AX610">
        <v>0</v>
      </c>
      <c r="AY610">
        <v>0</v>
      </c>
      <c r="AZ610">
        <v>0</v>
      </c>
      <c r="BA610">
        <v>0</v>
      </c>
      <c r="BB610">
        <v>0</v>
      </c>
      <c r="BC610">
        <v>0</v>
      </c>
      <c r="BD610">
        <v>0</v>
      </c>
      <c r="BE610">
        <v>0</v>
      </c>
      <c r="BF610">
        <v>0</v>
      </c>
      <c r="BG610">
        <v>0</v>
      </c>
      <c r="BH610">
        <v>0</v>
      </c>
      <c r="BI610">
        <v>0</v>
      </c>
      <c r="BJ610">
        <v>0</v>
      </c>
      <c r="BK610">
        <v>0</v>
      </c>
    </row>
    <row r="611" spans="3:63">
      <c r="C611" s="145" t="s">
        <v>28</v>
      </c>
      <c r="D611">
        <v>0</v>
      </c>
      <c r="E611">
        <v>0</v>
      </c>
      <c r="F611">
        <v>0</v>
      </c>
      <c r="G611">
        <v>0</v>
      </c>
      <c r="H611">
        <v>0</v>
      </c>
      <c r="I611">
        <v>0</v>
      </c>
      <c r="J611">
        <v>0</v>
      </c>
      <c r="K611">
        <v>0</v>
      </c>
      <c r="L611">
        <v>0</v>
      </c>
      <c r="M611">
        <v>0</v>
      </c>
      <c r="N611">
        <v>0</v>
      </c>
      <c r="O611">
        <v>0</v>
      </c>
      <c r="P611">
        <v>0</v>
      </c>
      <c r="Q611">
        <v>1</v>
      </c>
      <c r="R611">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c r="AP611">
        <v>0</v>
      </c>
      <c r="AQ611">
        <v>0</v>
      </c>
      <c r="AR611">
        <v>0</v>
      </c>
      <c r="AS611">
        <v>0</v>
      </c>
      <c r="AT611">
        <v>0</v>
      </c>
      <c r="AU611">
        <v>0</v>
      </c>
      <c r="AV611">
        <v>0</v>
      </c>
      <c r="AW611">
        <v>0</v>
      </c>
      <c r="AX611">
        <v>0</v>
      </c>
      <c r="AY611">
        <v>0</v>
      </c>
      <c r="AZ611">
        <v>0</v>
      </c>
      <c r="BA611">
        <v>0</v>
      </c>
      <c r="BB611">
        <v>0</v>
      </c>
      <c r="BC611">
        <v>0</v>
      </c>
      <c r="BD611">
        <v>0</v>
      </c>
      <c r="BE611">
        <v>0</v>
      </c>
      <c r="BF611">
        <v>0</v>
      </c>
      <c r="BG611">
        <v>0</v>
      </c>
      <c r="BH611">
        <v>0</v>
      </c>
      <c r="BI611">
        <v>0</v>
      </c>
      <c r="BJ611">
        <v>0</v>
      </c>
      <c r="BK611">
        <v>0</v>
      </c>
    </row>
    <row r="612" spans="3:63">
      <c r="C612" s="145" t="s">
        <v>26</v>
      </c>
      <c r="D612">
        <v>1</v>
      </c>
      <c r="E612">
        <v>0</v>
      </c>
      <c r="F612">
        <v>0</v>
      </c>
      <c r="G612">
        <v>0</v>
      </c>
      <c r="H612">
        <v>0</v>
      </c>
      <c r="I612">
        <v>0</v>
      </c>
      <c r="J612">
        <v>0</v>
      </c>
      <c r="K612">
        <v>0</v>
      </c>
      <c r="L612">
        <v>0</v>
      </c>
      <c r="M612">
        <v>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c r="AP612">
        <v>0</v>
      </c>
      <c r="AQ612">
        <v>0</v>
      </c>
      <c r="AR612">
        <v>0</v>
      </c>
      <c r="AS612">
        <v>0</v>
      </c>
      <c r="AT612">
        <v>0</v>
      </c>
      <c r="AU612">
        <v>0</v>
      </c>
      <c r="AV612">
        <v>0</v>
      </c>
      <c r="AW612">
        <v>0</v>
      </c>
      <c r="AX612">
        <v>0</v>
      </c>
      <c r="AY612">
        <v>0</v>
      </c>
      <c r="AZ612">
        <v>0</v>
      </c>
      <c r="BA612">
        <v>0</v>
      </c>
      <c r="BB612">
        <v>0</v>
      </c>
      <c r="BC612">
        <v>0</v>
      </c>
      <c r="BD612">
        <v>0</v>
      </c>
      <c r="BE612">
        <v>0</v>
      </c>
      <c r="BF612">
        <v>0</v>
      </c>
      <c r="BG612">
        <v>0</v>
      </c>
      <c r="BH612">
        <v>0</v>
      </c>
      <c r="BI612">
        <v>0</v>
      </c>
      <c r="BJ612">
        <v>0</v>
      </c>
      <c r="BK612">
        <v>0</v>
      </c>
    </row>
    <row r="613" spans="3:63">
      <c r="C613" s="145" t="s">
        <v>34</v>
      </c>
      <c r="D613">
        <v>0</v>
      </c>
      <c r="E613">
        <v>0</v>
      </c>
      <c r="F613">
        <v>0</v>
      </c>
      <c r="G613">
        <v>0</v>
      </c>
      <c r="H613">
        <v>0</v>
      </c>
      <c r="I613">
        <v>0</v>
      </c>
      <c r="J613">
        <v>1</v>
      </c>
      <c r="K613">
        <v>0</v>
      </c>
      <c r="L613">
        <v>0</v>
      </c>
      <c r="M613">
        <v>0</v>
      </c>
      <c r="N613">
        <v>0</v>
      </c>
      <c r="O613">
        <v>0</v>
      </c>
      <c r="P613">
        <v>0</v>
      </c>
      <c r="Q613">
        <v>0</v>
      </c>
      <c r="R613">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c r="AP613">
        <v>0</v>
      </c>
      <c r="AQ613">
        <v>0</v>
      </c>
      <c r="AR613">
        <v>0</v>
      </c>
      <c r="AS613">
        <v>0</v>
      </c>
      <c r="AT613">
        <v>0</v>
      </c>
      <c r="AU613">
        <v>0</v>
      </c>
      <c r="AV613">
        <v>0</v>
      </c>
      <c r="AW613">
        <v>0</v>
      </c>
      <c r="AX613">
        <v>0</v>
      </c>
      <c r="AY613">
        <v>0</v>
      </c>
      <c r="AZ613">
        <v>0</v>
      </c>
      <c r="BA613">
        <v>0</v>
      </c>
      <c r="BB613">
        <v>0</v>
      </c>
      <c r="BC613">
        <v>0</v>
      </c>
      <c r="BD613">
        <v>0</v>
      </c>
      <c r="BE613">
        <v>0</v>
      </c>
      <c r="BF613">
        <v>0</v>
      </c>
      <c r="BG613">
        <v>0</v>
      </c>
      <c r="BH613">
        <v>0</v>
      </c>
      <c r="BI613">
        <v>0</v>
      </c>
      <c r="BJ613">
        <v>0</v>
      </c>
      <c r="BK613">
        <v>0</v>
      </c>
    </row>
    <row r="614" spans="3:63">
      <c r="C614" s="145" t="s">
        <v>922</v>
      </c>
      <c r="D614">
        <v>1</v>
      </c>
      <c r="E614">
        <v>1</v>
      </c>
      <c r="F614">
        <v>0</v>
      </c>
      <c r="G614">
        <v>0</v>
      </c>
      <c r="H614">
        <v>0</v>
      </c>
      <c r="I614">
        <v>0</v>
      </c>
      <c r="J614">
        <v>0</v>
      </c>
      <c r="K614">
        <v>0</v>
      </c>
      <c r="L614">
        <v>0</v>
      </c>
      <c r="M614">
        <v>0</v>
      </c>
      <c r="N614">
        <v>0</v>
      </c>
      <c r="O614">
        <v>0</v>
      </c>
      <c r="P614">
        <v>0</v>
      </c>
      <c r="Q614">
        <v>1</v>
      </c>
      <c r="R614">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c r="AP614">
        <v>0</v>
      </c>
      <c r="AQ614">
        <v>0</v>
      </c>
      <c r="AR614">
        <v>0</v>
      </c>
      <c r="AS614">
        <v>0</v>
      </c>
      <c r="AT614">
        <v>0</v>
      </c>
      <c r="AU614">
        <v>0</v>
      </c>
      <c r="AV614">
        <v>0</v>
      </c>
      <c r="AW614">
        <v>0</v>
      </c>
      <c r="AX614">
        <v>0</v>
      </c>
      <c r="AY614">
        <v>0</v>
      </c>
      <c r="AZ614">
        <v>0</v>
      </c>
      <c r="BA614">
        <v>0</v>
      </c>
      <c r="BB614">
        <v>0</v>
      </c>
      <c r="BC614">
        <v>0</v>
      </c>
      <c r="BD614">
        <v>0</v>
      </c>
      <c r="BE614">
        <v>0</v>
      </c>
      <c r="BF614">
        <v>0</v>
      </c>
      <c r="BG614">
        <v>0</v>
      </c>
      <c r="BH614">
        <v>0</v>
      </c>
      <c r="BI614">
        <v>0</v>
      </c>
      <c r="BJ614">
        <v>0</v>
      </c>
      <c r="BK614">
        <v>0</v>
      </c>
    </row>
    <row r="615" spans="3:63">
      <c r="C615" s="145" t="s">
        <v>909</v>
      </c>
      <c r="D615">
        <v>0</v>
      </c>
      <c r="E615">
        <v>0</v>
      </c>
      <c r="F615">
        <v>0</v>
      </c>
      <c r="G615">
        <v>0</v>
      </c>
      <c r="H615">
        <v>0</v>
      </c>
      <c r="I615">
        <v>1</v>
      </c>
      <c r="J615">
        <v>0</v>
      </c>
      <c r="K615">
        <v>0</v>
      </c>
      <c r="L615">
        <v>0</v>
      </c>
      <c r="M615">
        <v>0</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c r="AP615">
        <v>0</v>
      </c>
      <c r="AQ615">
        <v>0</v>
      </c>
      <c r="AR615">
        <v>0</v>
      </c>
      <c r="AS615">
        <v>0</v>
      </c>
      <c r="AT615">
        <v>0</v>
      </c>
      <c r="AU615">
        <v>0</v>
      </c>
      <c r="AV615">
        <v>0</v>
      </c>
      <c r="AW615">
        <v>0</v>
      </c>
      <c r="AX615">
        <v>0</v>
      </c>
      <c r="AY615">
        <v>0</v>
      </c>
      <c r="AZ615">
        <v>0</v>
      </c>
      <c r="BA615">
        <v>0</v>
      </c>
      <c r="BB615">
        <v>0</v>
      </c>
      <c r="BC615">
        <v>0</v>
      </c>
      <c r="BD615">
        <v>0</v>
      </c>
      <c r="BE615">
        <v>0</v>
      </c>
      <c r="BF615">
        <v>0</v>
      </c>
      <c r="BG615">
        <v>0</v>
      </c>
      <c r="BH615">
        <v>0</v>
      </c>
      <c r="BI615">
        <v>0</v>
      </c>
      <c r="BJ615">
        <v>0</v>
      </c>
      <c r="BK615">
        <v>0</v>
      </c>
    </row>
    <row r="616" spans="3:63">
      <c r="C616" s="145" t="s">
        <v>47</v>
      </c>
      <c r="D616">
        <v>0</v>
      </c>
      <c r="E616">
        <v>1</v>
      </c>
      <c r="F616">
        <v>0</v>
      </c>
      <c r="G616">
        <v>0</v>
      </c>
      <c r="H616">
        <v>0</v>
      </c>
      <c r="I616">
        <v>0</v>
      </c>
      <c r="J616">
        <v>0</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c r="AP616">
        <v>0</v>
      </c>
      <c r="AQ616">
        <v>0</v>
      </c>
      <c r="AR616">
        <v>0</v>
      </c>
      <c r="AS616">
        <v>0</v>
      </c>
      <c r="AT616">
        <v>0</v>
      </c>
      <c r="AU616">
        <v>0</v>
      </c>
      <c r="AV616">
        <v>0</v>
      </c>
      <c r="AW616">
        <v>0</v>
      </c>
      <c r="AX616">
        <v>0</v>
      </c>
      <c r="AY616">
        <v>0</v>
      </c>
      <c r="AZ616">
        <v>0</v>
      </c>
      <c r="BA616">
        <v>0</v>
      </c>
      <c r="BB616">
        <v>0</v>
      </c>
      <c r="BC616">
        <v>0</v>
      </c>
      <c r="BD616">
        <v>0</v>
      </c>
      <c r="BE616">
        <v>0</v>
      </c>
      <c r="BF616">
        <v>0</v>
      </c>
      <c r="BG616">
        <v>0</v>
      </c>
      <c r="BH616">
        <v>0</v>
      </c>
      <c r="BI616">
        <v>0</v>
      </c>
      <c r="BJ616">
        <v>0</v>
      </c>
      <c r="BK616">
        <v>0</v>
      </c>
    </row>
    <row r="617" spans="3:63">
      <c r="C617" s="145" t="s">
        <v>906</v>
      </c>
      <c r="D617">
        <v>1</v>
      </c>
      <c r="E617">
        <v>0</v>
      </c>
      <c r="F617">
        <v>0</v>
      </c>
      <c r="G617">
        <v>0</v>
      </c>
      <c r="H617">
        <v>0</v>
      </c>
      <c r="I617">
        <v>1</v>
      </c>
      <c r="J617">
        <v>0</v>
      </c>
      <c r="K617">
        <v>0</v>
      </c>
      <c r="L617">
        <v>0</v>
      </c>
      <c r="M617">
        <v>0</v>
      </c>
      <c r="N617">
        <v>1</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v>0</v>
      </c>
      <c r="AZ617">
        <v>0</v>
      </c>
      <c r="BA617">
        <v>0</v>
      </c>
      <c r="BB617">
        <v>0</v>
      </c>
      <c r="BC617">
        <v>0</v>
      </c>
      <c r="BD617">
        <v>0</v>
      </c>
      <c r="BE617">
        <v>0</v>
      </c>
      <c r="BF617">
        <v>0</v>
      </c>
      <c r="BG617">
        <v>0</v>
      </c>
      <c r="BH617">
        <v>0</v>
      </c>
      <c r="BI617">
        <v>0</v>
      </c>
      <c r="BJ617">
        <v>0</v>
      </c>
      <c r="BK617">
        <v>0</v>
      </c>
    </row>
    <row r="618" spans="3:63">
      <c r="C618" s="145" t="s">
        <v>26</v>
      </c>
      <c r="D618">
        <v>1</v>
      </c>
      <c r="E618">
        <v>0</v>
      </c>
      <c r="F618">
        <v>0</v>
      </c>
      <c r="G618">
        <v>0</v>
      </c>
      <c r="H618">
        <v>0</v>
      </c>
      <c r="I618">
        <v>0</v>
      </c>
      <c r="J618">
        <v>0</v>
      </c>
      <c r="K618">
        <v>0</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v>0</v>
      </c>
      <c r="AZ618">
        <v>0</v>
      </c>
      <c r="BA618">
        <v>0</v>
      </c>
      <c r="BB618">
        <v>0</v>
      </c>
      <c r="BC618">
        <v>0</v>
      </c>
      <c r="BD618">
        <v>0</v>
      </c>
      <c r="BE618">
        <v>0</v>
      </c>
      <c r="BF618">
        <v>0</v>
      </c>
      <c r="BG618">
        <v>0</v>
      </c>
      <c r="BH618">
        <v>0</v>
      </c>
      <c r="BI618">
        <v>0</v>
      </c>
      <c r="BJ618">
        <v>0</v>
      </c>
      <c r="BK618">
        <v>0</v>
      </c>
    </row>
    <row r="619" spans="3:63">
      <c r="C619" s="145" t="s">
        <v>27</v>
      </c>
      <c r="D619">
        <v>0</v>
      </c>
      <c r="E619">
        <v>0</v>
      </c>
      <c r="F619">
        <v>0</v>
      </c>
      <c r="G619">
        <v>0</v>
      </c>
      <c r="H619">
        <v>0</v>
      </c>
      <c r="I619">
        <v>0</v>
      </c>
      <c r="J619">
        <v>0</v>
      </c>
      <c r="K619">
        <v>0</v>
      </c>
      <c r="L619">
        <v>1</v>
      </c>
      <c r="M619">
        <v>0</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c r="AP619">
        <v>0</v>
      </c>
      <c r="AQ619">
        <v>0</v>
      </c>
      <c r="AR619">
        <v>0</v>
      </c>
      <c r="AS619">
        <v>0</v>
      </c>
      <c r="AT619">
        <v>0</v>
      </c>
      <c r="AU619">
        <v>0</v>
      </c>
      <c r="AV619">
        <v>0</v>
      </c>
      <c r="AW619">
        <v>0</v>
      </c>
      <c r="AX619">
        <v>0</v>
      </c>
      <c r="AY619">
        <v>0</v>
      </c>
      <c r="AZ619">
        <v>0</v>
      </c>
      <c r="BA619">
        <v>0</v>
      </c>
      <c r="BB619">
        <v>0</v>
      </c>
      <c r="BC619">
        <v>0</v>
      </c>
      <c r="BD619">
        <v>0</v>
      </c>
      <c r="BE619">
        <v>0</v>
      </c>
      <c r="BF619">
        <v>0</v>
      </c>
      <c r="BG619">
        <v>0</v>
      </c>
      <c r="BH619">
        <v>0</v>
      </c>
      <c r="BI619">
        <v>0</v>
      </c>
      <c r="BJ619">
        <v>0</v>
      </c>
      <c r="BK619">
        <v>0</v>
      </c>
    </row>
    <row r="620" spans="3:63">
      <c r="C620" s="145" t="s">
        <v>26</v>
      </c>
      <c r="D620">
        <v>1</v>
      </c>
      <c r="E620">
        <v>0</v>
      </c>
      <c r="F620">
        <v>0</v>
      </c>
      <c r="G620">
        <v>0</v>
      </c>
      <c r="H620">
        <v>0</v>
      </c>
      <c r="I620">
        <v>0</v>
      </c>
      <c r="J620">
        <v>0</v>
      </c>
      <c r="K620">
        <v>0</v>
      </c>
      <c r="L620">
        <v>0</v>
      </c>
      <c r="M620">
        <v>0</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c r="AP620">
        <v>0</v>
      </c>
      <c r="AQ620">
        <v>0</v>
      </c>
      <c r="AR620">
        <v>0</v>
      </c>
      <c r="AS620">
        <v>0</v>
      </c>
      <c r="AT620">
        <v>0</v>
      </c>
      <c r="AU620">
        <v>0</v>
      </c>
      <c r="AV620">
        <v>0</v>
      </c>
      <c r="AW620">
        <v>0</v>
      </c>
      <c r="AX620">
        <v>0</v>
      </c>
      <c r="AY620">
        <v>0</v>
      </c>
      <c r="AZ620">
        <v>0</v>
      </c>
      <c r="BA620">
        <v>0</v>
      </c>
      <c r="BB620">
        <v>0</v>
      </c>
      <c r="BC620">
        <v>0</v>
      </c>
      <c r="BD620">
        <v>0</v>
      </c>
      <c r="BE620">
        <v>0</v>
      </c>
      <c r="BF620">
        <v>0</v>
      </c>
      <c r="BG620">
        <v>0</v>
      </c>
      <c r="BH620">
        <v>0</v>
      </c>
      <c r="BI620">
        <v>0</v>
      </c>
      <c r="BJ620">
        <v>0</v>
      </c>
      <c r="BK620">
        <v>0</v>
      </c>
    </row>
    <row r="621" spans="3:63">
      <c r="C621" s="145" t="s">
        <v>51</v>
      </c>
      <c r="D621">
        <v>0</v>
      </c>
      <c r="E621">
        <v>0</v>
      </c>
      <c r="F621">
        <v>0</v>
      </c>
      <c r="G621">
        <v>0</v>
      </c>
      <c r="H621">
        <v>0</v>
      </c>
      <c r="I621">
        <v>0</v>
      </c>
      <c r="J621">
        <v>0</v>
      </c>
      <c r="K621">
        <v>1</v>
      </c>
      <c r="L621">
        <v>0</v>
      </c>
      <c r="M621">
        <v>0</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c r="AP621">
        <v>0</v>
      </c>
      <c r="AQ621">
        <v>0</v>
      </c>
      <c r="AR621">
        <v>0</v>
      </c>
      <c r="AS621">
        <v>0</v>
      </c>
      <c r="AT621">
        <v>0</v>
      </c>
      <c r="AU621">
        <v>0</v>
      </c>
      <c r="AV621">
        <v>0</v>
      </c>
      <c r="AW621">
        <v>0</v>
      </c>
      <c r="AX621">
        <v>0</v>
      </c>
      <c r="AY621">
        <v>0</v>
      </c>
      <c r="AZ621">
        <v>0</v>
      </c>
      <c r="BA621">
        <v>0</v>
      </c>
      <c r="BB621">
        <v>0</v>
      </c>
      <c r="BC621">
        <v>0</v>
      </c>
      <c r="BD621">
        <v>0</v>
      </c>
      <c r="BE621">
        <v>0</v>
      </c>
      <c r="BF621">
        <v>0</v>
      </c>
      <c r="BG621">
        <v>0</v>
      </c>
      <c r="BH621">
        <v>0</v>
      </c>
      <c r="BI621">
        <v>0</v>
      </c>
      <c r="BJ621">
        <v>0</v>
      </c>
      <c r="BK621">
        <v>0</v>
      </c>
    </row>
    <row r="622" spans="3:63">
      <c r="C622" s="145" t="s">
        <v>30</v>
      </c>
      <c r="D622">
        <v>1</v>
      </c>
      <c r="E622">
        <v>1</v>
      </c>
      <c r="F622">
        <v>0</v>
      </c>
      <c r="G622">
        <v>0</v>
      </c>
      <c r="H622">
        <v>0</v>
      </c>
      <c r="I622">
        <v>0</v>
      </c>
      <c r="J622">
        <v>0</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c r="AP622">
        <v>0</v>
      </c>
      <c r="AQ622">
        <v>0</v>
      </c>
      <c r="AR622">
        <v>0</v>
      </c>
      <c r="AS622">
        <v>0</v>
      </c>
      <c r="AT622">
        <v>0</v>
      </c>
      <c r="AU622">
        <v>0</v>
      </c>
      <c r="AV622">
        <v>0</v>
      </c>
      <c r="AW622">
        <v>0</v>
      </c>
      <c r="AX622">
        <v>0</v>
      </c>
      <c r="AY622">
        <v>0</v>
      </c>
      <c r="AZ622">
        <v>0</v>
      </c>
      <c r="BA622">
        <v>0</v>
      </c>
      <c r="BB622">
        <v>0</v>
      </c>
      <c r="BC622">
        <v>0</v>
      </c>
      <c r="BD622">
        <v>0</v>
      </c>
      <c r="BE622">
        <v>0</v>
      </c>
      <c r="BF622">
        <v>0</v>
      </c>
      <c r="BG622">
        <v>0</v>
      </c>
      <c r="BH622">
        <v>0</v>
      </c>
      <c r="BI622">
        <v>0</v>
      </c>
      <c r="BJ622">
        <v>0</v>
      </c>
      <c r="BK622">
        <v>0</v>
      </c>
    </row>
    <row r="623" spans="3:63">
      <c r="C623" s="145" t="s">
        <v>36</v>
      </c>
      <c r="D623">
        <v>0</v>
      </c>
      <c r="E623">
        <v>0</v>
      </c>
      <c r="F623">
        <v>0</v>
      </c>
      <c r="G623">
        <v>0</v>
      </c>
      <c r="H623">
        <v>1</v>
      </c>
      <c r="I623">
        <v>0</v>
      </c>
      <c r="J623">
        <v>0</v>
      </c>
      <c r="K623">
        <v>0</v>
      </c>
      <c r="L623">
        <v>0</v>
      </c>
      <c r="M623">
        <v>0</v>
      </c>
      <c r="N623">
        <v>0</v>
      </c>
      <c r="O623">
        <v>0</v>
      </c>
      <c r="P623">
        <v>0</v>
      </c>
      <c r="Q623">
        <v>0</v>
      </c>
      <c r="R623">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0</v>
      </c>
      <c r="BB623">
        <v>0</v>
      </c>
      <c r="BC623">
        <v>0</v>
      </c>
      <c r="BD623">
        <v>0</v>
      </c>
      <c r="BE623">
        <v>0</v>
      </c>
      <c r="BF623">
        <v>0</v>
      </c>
      <c r="BG623">
        <v>0</v>
      </c>
      <c r="BH623">
        <v>0</v>
      </c>
      <c r="BI623">
        <v>0</v>
      </c>
      <c r="BJ623">
        <v>0</v>
      </c>
      <c r="BK623">
        <v>0</v>
      </c>
    </row>
    <row r="624" spans="3:63">
      <c r="C624" s="145" t="s">
        <v>897</v>
      </c>
      <c r="D624">
        <v>1</v>
      </c>
      <c r="E624">
        <v>1</v>
      </c>
      <c r="F624">
        <v>0</v>
      </c>
      <c r="G624">
        <v>0</v>
      </c>
      <c r="H624">
        <v>0</v>
      </c>
      <c r="I624">
        <v>1</v>
      </c>
      <c r="J624">
        <v>0</v>
      </c>
      <c r="K624">
        <v>0</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c r="AP624">
        <v>0</v>
      </c>
      <c r="AQ624">
        <v>0</v>
      </c>
      <c r="AR624">
        <v>0</v>
      </c>
      <c r="AS624">
        <v>0</v>
      </c>
      <c r="AT624">
        <v>0</v>
      </c>
      <c r="AU624">
        <v>0</v>
      </c>
      <c r="AV624">
        <v>0</v>
      </c>
      <c r="AW624">
        <v>0</v>
      </c>
      <c r="AX624">
        <v>0</v>
      </c>
      <c r="AY624">
        <v>0</v>
      </c>
      <c r="AZ624">
        <v>0</v>
      </c>
      <c r="BA624">
        <v>0</v>
      </c>
      <c r="BB624">
        <v>0</v>
      </c>
      <c r="BC624">
        <v>0</v>
      </c>
      <c r="BD624">
        <v>0</v>
      </c>
      <c r="BE624">
        <v>0</v>
      </c>
      <c r="BF624">
        <v>0</v>
      </c>
      <c r="BG624">
        <v>0</v>
      </c>
      <c r="BH624">
        <v>0</v>
      </c>
      <c r="BI624">
        <v>0</v>
      </c>
      <c r="BJ624">
        <v>0</v>
      </c>
      <c r="BK624">
        <v>0</v>
      </c>
    </row>
    <row r="625" spans="3:63">
      <c r="C625" s="145" t="s">
        <v>914</v>
      </c>
      <c r="D625">
        <v>0</v>
      </c>
      <c r="E625">
        <v>0</v>
      </c>
      <c r="F625">
        <v>0</v>
      </c>
      <c r="G625">
        <v>0</v>
      </c>
      <c r="H625">
        <v>1</v>
      </c>
      <c r="I625">
        <v>0</v>
      </c>
      <c r="J625">
        <v>0</v>
      </c>
      <c r="K625">
        <v>0</v>
      </c>
      <c r="L625">
        <v>1</v>
      </c>
      <c r="M625">
        <v>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c r="AP625">
        <v>0</v>
      </c>
      <c r="AQ625">
        <v>0</v>
      </c>
      <c r="AR625">
        <v>0</v>
      </c>
      <c r="AS625">
        <v>0</v>
      </c>
      <c r="AT625">
        <v>0</v>
      </c>
      <c r="AU625">
        <v>0</v>
      </c>
      <c r="AV625">
        <v>0</v>
      </c>
      <c r="AW625">
        <v>0</v>
      </c>
      <c r="AX625">
        <v>0</v>
      </c>
      <c r="AY625">
        <v>0</v>
      </c>
      <c r="AZ625">
        <v>0</v>
      </c>
      <c r="BA625">
        <v>0</v>
      </c>
      <c r="BB625">
        <v>0</v>
      </c>
      <c r="BC625">
        <v>0</v>
      </c>
      <c r="BD625">
        <v>0</v>
      </c>
      <c r="BE625">
        <v>0</v>
      </c>
      <c r="BF625">
        <v>0</v>
      </c>
      <c r="BG625">
        <v>0</v>
      </c>
      <c r="BH625">
        <v>0</v>
      </c>
      <c r="BI625">
        <v>0</v>
      </c>
      <c r="BJ625">
        <v>0</v>
      </c>
      <c r="BK625">
        <v>0</v>
      </c>
    </row>
    <row r="626" spans="3:63">
      <c r="C626" s="145" t="s">
        <v>916</v>
      </c>
      <c r="D626">
        <v>1</v>
      </c>
      <c r="E626">
        <v>0</v>
      </c>
      <c r="F626">
        <v>0</v>
      </c>
      <c r="G626">
        <v>0</v>
      </c>
      <c r="H626">
        <v>1</v>
      </c>
      <c r="I626">
        <v>1</v>
      </c>
      <c r="J626">
        <v>0</v>
      </c>
      <c r="K626">
        <v>0</v>
      </c>
      <c r="L626">
        <v>0</v>
      </c>
      <c r="M626">
        <v>0</v>
      </c>
      <c r="N626">
        <v>0</v>
      </c>
      <c r="O626">
        <v>0</v>
      </c>
      <c r="P626">
        <v>0</v>
      </c>
      <c r="Q626">
        <v>0</v>
      </c>
      <c r="R626">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c r="AP626">
        <v>0</v>
      </c>
      <c r="AQ626">
        <v>0</v>
      </c>
      <c r="AR626">
        <v>0</v>
      </c>
      <c r="AS626">
        <v>0</v>
      </c>
      <c r="AT626">
        <v>0</v>
      </c>
      <c r="AU626">
        <v>0</v>
      </c>
      <c r="AV626">
        <v>0</v>
      </c>
      <c r="AW626">
        <v>0</v>
      </c>
      <c r="AX626">
        <v>0</v>
      </c>
      <c r="AY626">
        <v>0</v>
      </c>
      <c r="AZ626">
        <v>0</v>
      </c>
      <c r="BA626">
        <v>0</v>
      </c>
      <c r="BB626">
        <v>0</v>
      </c>
      <c r="BC626">
        <v>0</v>
      </c>
      <c r="BD626">
        <v>0</v>
      </c>
      <c r="BE626">
        <v>0</v>
      </c>
      <c r="BF626">
        <v>0</v>
      </c>
      <c r="BG626">
        <v>0</v>
      </c>
      <c r="BH626">
        <v>0</v>
      </c>
      <c r="BI626">
        <v>0</v>
      </c>
      <c r="BJ626">
        <v>0</v>
      </c>
      <c r="BK626">
        <v>0</v>
      </c>
    </row>
    <row r="627" spans="3:63">
      <c r="C627" s="145" t="s">
        <v>47</v>
      </c>
      <c r="D627">
        <v>0</v>
      </c>
      <c r="E627">
        <v>1</v>
      </c>
      <c r="F627">
        <v>0</v>
      </c>
      <c r="G627">
        <v>0</v>
      </c>
      <c r="H627">
        <v>0</v>
      </c>
      <c r="I627">
        <v>0</v>
      </c>
      <c r="J627">
        <v>0</v>
      </c>
      <c r="K627">
        <v>0</v>
      </c>
      <c r="L627">
        <v>0</v>
      </c>
      <c r="M627">
        <v>0</v>
      </c>
      <c r="N627">
        <v>0</v>
      </c>
      <c r="O627">
        <v>0</v>
      </c>
      <c r="P627">
        <v>0</v>
      </c>
      <c r="Q627">
        <v>0</v>
      </c>
      <c r="R627">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c r="AP627">
        <v>0</v>
      </c>
      <c r="AQ627">
        <v>0</v>
      </c>
      <c r="AR627">
        <v>0</v>
      </c>
      <c r="AS627">
        <v>0</v>
      </c>
      <c r="AT627">
        <v>0</v>
      </c>
      <c r="AU627">
        <v>0</v>
      </c>
      <c r="AV627">
        <v>0</v>
      </c>
      <c r="AW627">
        <v>0</v>
      </c>
      <c r="AX627">
        <v>0</v>
      </c>
      <c r="AY627">
        <v>0</v>
      </c>
      <c r="AZ627">
        <v>0</v>
      </c>
      <c r="BA627">
        <v>0</v>
      </c>
      <c r="BB627">
        <v>0</v>
      </c>
      <c r="BC627">
        <v>0</v>
      </c>
      <c r="BD627">
        <v>0</v>
      </c>
      <c r="BE627">
        <v>0</v>
      </c>
      <c r="BF627">
        <v>0</v>
      </c>
      <c r="BG627">
        <v>0</v>
      </c>
      <c r="BH627">
        <v>0</v>
      </c>
      <c r="BI627">
        <v>0</v>
      </c>
      <c r="BJ627">
        <v>0</v>
      </c>
      <c r="BK627">
        <v>0</v>
      </c>
    </row>
    <row r="628" spans="3:63">
      <c r="C628" s="145" t="s">
        <v>28</v>
      </c>
      <c r="D628">
        <v>0</v>
      </c>
      <c r="E628">
        <v>0</v>
      </c>
      <c r="F628">
        <v>0</v>
      </c>
      <c r="G628">
        <v>0</v>
      </c>
      <c r="H628">
        <v>0</v>
      </c>
      <c r="I628">
        <v>0</v>
      </c>
      <c r="J628">
        <v>0</v>
      </c>
      <c r="K628">
        <v>0</v>
      </c>
      <c r="L628">
        <v>0</v>
      </c>
      <c r="M628">
        <v>0</v>
      </c>
      <c r="N628">
        <v>0</v>
      </c>
      <c r="O628">
        <v>0</v>
      </c>
      <c r="P628">
        <v>0</v>
      </c>
      <c r="Q628">
        <v>1</v>
      </c>
      <c r="R628">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c r="AP628">
        <v>0</v>
      </c>
      <c r="AQ628">
        <v>0</v>
      </c>
      <c r="AR628">
        <v>0</v>
      </c>
      <c r="AS628">
        <v>0</v>
      </c>
      <c r="AT628">
        <v>0</v>
      </c>
      <c r="AU628">
        <v>0</v>
      </c>
      <c r="AV628">
        <v>0</v>
      </c>
      <c r="AW628">
        <v>0</v>
      </c>
      <c r="AX628">
        <v>0</v>
      </c>
      <c r="AY628">
        <v>0</v>
      </c>
      <c r="AZ628">
        <v>0</v>
      </c>
      <c r="BA628">
        <v>0</v>
      </c>
      <c r="BB628">
        <v>0</v>
      </c>
      <c r="BC628">
        <v>0</v>
      </c>
      <c r="BD628">
        <v>0</v>
      </c>
      <c r="BE628">
        <v>0</v>
      </c>
      <c r="BF628">
        <v>0</v>
      </c>
      <c r="BG628">
        <v>0</v>
      </c>
      <c r="BH628">
        <v>0</v>
      </c>
      <c r="BI628">
        <v>0</v>
      </c>
      <c r="BJ628">
        <v>0</v>
      </c>
      <c r="BK628">
        <v>0</v>
      </c>
    </row>
    <row r="629" spans="3:63">
      <c r="C629" s="145" t="s">
        <v>36</v>
      </c>
      <c r="D629">
        <v>0</v>
      </c>
      <c r="E629">
        <v>0</v>
      </c>
      <c r="F629">
        <v>0</v>
      </c>
      <c r="G629">
        <v>0</v>
      </c>
      <c r="H629">
        <v>1</v>
      </c>
      <c r="I629">
        <v>0</v>
      </c>
      <c r="J629">
        <v>0</v>
      </c>
      <c r="K629">
        <v>0</v>
      </c>
      <c r="L629">
        <v>0</v>
      </c>
      <c r="M629">
        <v>0</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c r="AP629">
        <v>0</v>
      </c>
      <c r="AQ629">
        <v>0</v>
      </c>
      <c r="AR629">
        <v>0</v>
      </c>
      <c r="AS629">
        <v>0</v>
      </c>
      <c r="AT629">
        <v>0</v>
      </c>
      <c r="AU629">
        <v>0</v>
      </c>
      <c r="AV629">
        <v>0</v>
      </c>
      <c r="AW629">
        <v>0</v>
      </c>
      <c r="AX629">
        <v>0</v>
      </c>
      <c r="AY629">
        <v>0</v>
      </c>
      <c r="AZ629">
        <v>0</v>
      </c>
      <c r="BA629">
        <v>0</v>
      </c>
      <c r="BB629">
        <v>0</v>
      </c>
      <c r="BC629">
        <v>0</v>
      </c>
      <c r="BD629">
        <v>0</v>
      </c>
      <c r="BE629">
        <v>0</v>
      </c>
      <c r="BF629">
        <v>0</v>
      </c>
      <c r="BG629">
        <v>0</v>
      </c>
      <c r="BH629">
        <v>0</v>
      </c>
      <c r="BI629">
        <v>0</v>
      </c>
      <c r="BJ629">
        <v>0</v>
      </c>
      <c r="BK629">
        <v>0</v>
      </c>
    </row>
    <row r="630" spans="3:63">
      <c r="C630" s="145" t="s">
        <v>26</v>
      </c>
      <c r="D630">
        <v>1</v>
      </c>
      <c r="E630">
        <v>0</v>
      </c>
      <c r="F630">
        <v>0</v>
      </c>
      <c r="G630">
        <v>0</v>
      </c>
      <c r="H630">
        <v>0</v>
      </c>
      <c r="I630">
        <v>0</v>
      </c>
      <c r="J630">
        <v>0</v>
      </c>
      <c r="K630">
        <v>0</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c r="AP630">
        <v>0</v>
      </c>
      <c r="AQ630">
        <v>0</v>
      </c>
      <c r="AR630">
        <v>0</v>
      </c>
      <c r="AS630">
        <v>0</v>
      </c>
      <c r="AT630">
        <v>0</v>
      </c>
      <c r="AU630">
        <v>0</v>
      </c>
      <c r="AV630">
        <v>0</v>
      </c>
      <c r="AW630">
        <v>0</v>
      </c>
      <c r="AX630">
        <v>0</v>
      </c>
      <c r="AY630">
        <v>0</v>
      </c>
      <c r="AZ630">
        <v>0</v>
      </c>
      <c r="BA630">
        <v>0</v>
      </c>
      <c r="BB630">
        <v>0</v>
      </c>
      <c r="BC630">
        <v>0</v>
      </c>
      <c r="BD630">
        <v>0</v>
      </c>
      <c r="BE630">
        <v>0</v>
      </c>
      <c r="BF630">
        <v>0</v>
      </c>
      <c r="BG630">
        <v>0</v>
      </c>
      <c r="BH630">
        <v>0</v>
      </c>
      <c r="BI630">
        <v>0</v>
      </c>
      <c r="BJ630">
        <v>0</v>
      </c>
      <c r="BK630">
        <v>0</v>
      </c>
    </row>
    <row r="631" spans="3:63">
      <c r="C631" s="145" t="s">
        <v>903</v>
      </c>
      <c r="D631">
        <v>1</v>
      </c>
      <c r="E631">
        <v>1</v>
      </c>
      <c r="F631">
        <v>0</v>
      </c>
      <c r="G631">
        <v>0</v>
      </c>
      <c r="H631">
        <v>1</v>
      </c>
      <c r="I631">
        <v>0</v>
      </c>
      <c r="J631">
        <v>0</v>
      </c>
      <c r="K631">
        <v>0</v>
      </c>
      <c r="L631">
        <v>0</v>
      </c>
      <c r="M631">
        <v>0</v>
      </c>
      <c r="N631">
        <v>0</v>
      </c>
      <c r="O631">
        <v>0</v>
      </c>
      <c r="P631">
        <v>0</v>
      </c>
      <c r="Q631">
        <v>0</v>
      </c>
      <c r="R631">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c r="AP631">
        <v>0</v>
      </c>
      <c r="AQ631">
        <v>0</v>
      </c>
      <c r="AR631">
        <v>0</v>
      </c>
      <c r="AS631">
        <v>0</v>
      </c>
      <c r="AT631">
        <v>0</v>
      </c>
      <c r="AU631">
        <v>0</v>
      </c>
      <c r="AV631">
        <v>0</v>
      </c>
      <c r="AW631">
        <v>0</v>
      </c>
      <c r="AX631">
        <v>0</v>
      </c>
      <c r="AY631">
        <v>0</v>
      </c>
      <c r="AZ631">
        <v>0</v>
      </c>
      <c r="BA631">
        <v>0</v>
      </c>
      <c r="BB631">
        <v>0</v>
      </c>
      <c r="BC631">
        <v>0</v>
      </c>
      <c r="BD631">
        <v>0</v>
      </c>
      <c r="BE631">
        <v>0</v>
      </c>
      <c r="BF631">
        <v>0</v>
      </c>
      <c r="BG631">
        <v>0</v>
      </c>
      <c r="BH631">
        <v>0</v>
      </c>
      <c r="BI631">
        <v>0</v>
      </c>
      <c r="BJ631">
        <v>0</v>
      </c>
      <c r="BK631">
        <v>0</v>
      </c>
    </row>
    <row r="632" spans="3:63">
      <c r="C632" s="145" t="s">
        <v>26</v>
      </c>
      <c r="D632">
        <v>1</v>
      </c>
      <c r="E632">
        <v>0</v>
      </c>
      <c r="F632">
        <v>0</v>
      </c>
      <c r="G632">
        <v>0</v>
      </c>
      <c r="H632">
        <v>0</v>
      </c>
      <c r="I632">
        <v>0</v>
      </c>
      <c r="J632">
        <v>0</v>
      </c>
      <c r="K632">
        <v>0</v>
      </c>
      <c r="L632">
        <v>0</v>
      </c>
      <c r="M632">
        <v>0</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c r="AP632">
        <v>0</v>
      </c>
      <c r="AQ632">
        <v>0</v>
      </c>
      <c r="AR632">
        <v>0</v>
      </c>
      <c r="AS632">
        <v>0</v>
      </c>
      <c r="AT632">
        <v>0</v>
      </c>
      <c r="AU632">
        <v>0</v>
      </c>
      <c r="AV632">
        <v>0</v>
      </c>
      <c r="AW632">
        <v>0</v>
      </c>
      <c r="AX632">
        <v>0</v>
      </c>
      <c r="AY632">
        <v>0</v>
      </c>
      <c r="AZ632">
        <v>0</v>
      </c>
      <c r="BA632">
        <v>0</v>
      </c>
      <c r="BB632">
        <v>0</v>
      </c>
      <c r="BC632">
        <v>0</v>
      </c>
      <c r="BD632">
        <v>0</v>
      </c>
      <c r="BE632">
        <v>0</v>
      </c>
      <c r="BF632">
        <v>0</v>
      </c>
      <c r="BG632">
        <v>0</v>
      </c>
      <c r="BH632">
        <v>0</v>
      </c>
      <c r="BI632">
        <v>0</v>
      </c>
      <c r="BJ632">
        <v>0</v>
      </c>
      <c r="BK632">
        <v>0</v>
      </c>
    </row>
    <row r="633" spans="3:63">
      <c r="C633" s="145" t="s">
        <v>32</v>
      </c>
      <c r="D633">
        <v>1</v>
      </c>
      <c r="E633">
        <v>0</v>
      </c>
      <c r="F633">
        <v>0</v>
      </c>
      <c r="G633">
        <v>0</v>
      </c>
      <c r="H633">
        <v>0</v>
      </c>
      <c r="I633">
        <v>0</v>
      </c>
      <c r="J633">
        <v>0</v>
      </c>
      <c r="K633">
        <v>0</v>
      </c>
      <c r="L633">
        <v>0</v>
      </c>
      <c r="M633">
        <v>0</v>
      </c>
      <c r="N633">
        <v>0</v>
      </c>
      <c r="O633">
        <v>0</v>
      </c>
      <c r="P633">
        <v>0</v>
      </c>
      <c r="Q633">
        <v>1</v>
      </c>
      <c r="R633">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c r="AP633">
        <v>0</v>
      </c>
      <c r="AQ633">
        <v>0</v>
      </c>
      <c r="AR633">
        <v>0</v>
      </c>
      <c r="AS633">
        <v>0</v>
      </c>
      <c r="AT633">
        <v>0</v>
      </c>
      <c r="AU633">
        <v>0</v>
      </c>
      <c r="AV633">
        <v>0</v>
      </c>
      <c r="AW633">
        <v>0</v>
      </c>
      <c r="AX633">
        <v>0</v>
      </c>
      <c r="AY633">
        <v>0</v>
      </c>
      <c r="AZ633">
        <v>0</v>
      </c>
      <c r="BA633">
        <v>0</v>
      </c>
      <c r="BB633">
        <v>0</v>
      </c>
      <c r="BC633">
        <v>0</v>
      </c>
      <c r="BD633">
        <v>0</v>
      </c>
      <c r="BE633">
        <v>0</v>
      </c>
      <c r="BF633">
        <v>0</v>
      </c>
      <c r="BG633">
        <v>0</v>
      </c>
      <c r="BH633">
        <v>0</v>
      </c>
      <c r="BI633">
        <v>0</v>
      </c>
      <c r="BJ633">
        <v>0</v>
      </c>
      <c r="BK633">
        <v>0</v>
      </c>
    </row>
    <row r="634" spans="3:63">
      <c r="C634" s="145" t="s">
        <v>26</v>
      </c>
      <c r="D634">
        <v>1</v>
      </c>
      <c r="E634">
        <v>0</v>
      </c>
      <c r="F634">
        <v>0</v>
      </c>
      <c r="G634">
        <v>0</v>
      </c>
      <c r="H634">
        <v>0</v>
      </c>
      <c r="I634">
        <v>0</v>
      </c>
      <c r="J634">
        <v>0</v>
      </c>
      <c r="K634">
        <v>0</v>
      </c>
      <c r="L634">
        <v>0</v>
      </c>
      <c r="M634">
        <v>0</v>
      </c>
      <c r="N634">
        <v>0</v>
      </c>
      <c r="O634">
        <v>0</v>
      </c>
      <c r="P634">
        <v>0</v>
      </c>
      <c r="Q634">
        <v>0</v>
      </c>
      <c r="R634">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c r="AP634">
        <v>0</v>
      </c>
      <c r="AQ634">
        <v>0</v>
      </c>
      <c r="AR634">
        <v>0</v>
      </c>
      <c r="AS634">
        <v>0</v>
      </c>
      <c r="AT634">
        <v>0</v>
      </c>
      <c r="AU634">
        <v>0</v>
      </c>
      <c r="AV634">
        <v>0</v>
      </c>
      <c r="AW634">
        <v>0</v>
      </c>
      <c r="AX634">
        <v>0</v>
      </c>
      <c r="AY634">
        <v>0</v>
      </c>
      <c r="AZ634">
        <v>0</v>
      </c>
      <c r="BA634">
        <v>0</v>
      </c>
      <c r="BB634">
        <v>0</v>
      </c>
      <c r="BC634">
        <v>0</v>
      </c>
      <c r="BD634">
        <v>0</v>
      </c>
      <c r="BE634">
        <v>0</v>
      </c>
      <c r="BF634">
        <v>0</v>
      </c>
      <c r="BG634">
        <v>0</v>
      </c>
      <c r="BH634">
        <v>0</v>
      </c>
      <c r="BI634">
        <v>0</v>
      </c>
      <c r="BJ634">
        <v>0</v>
      </c>
      <c r="BK634">
        <v>0</v>
      </c>
    </row>
    <row r="635" spans="3:63">
      <c r="C635" s="145" t="s">
        <v>970</v>
      </c>
      <c r="D635">
        <v>0</v>
      </c>
      <c r="E635">
        <v>1</v>
      </c>
      <c r="F635">
        <v>0</v>
      </c>
      <c r="G635">
        <v>0</v>
      </c>
      <c r="H635">
        <v>1</v>
      </c>
      <c r="I635">
        <v>0</v>
      </c>
      <c r="J635">
        <v>0</v>
      </c>
      <c r="K635">
        <v>0</v>
      </c>
      <c r="L635">
        <v>0</v>
      </c>
      <c r="M635">
        <v>0</v>
      </c>
      <c r="N635">
        <v>1</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c r="AP635">
        <v>0</v>
      </c>
      <c r="AQ635">
        <v>0</v>
      </c>
      <c r="AR635">
        <v>0</v>
      </c>
      <c r="AS635">
        <v>0</v>
      </c>
      <c r="AT635">
        <v>0</v>
      </c>
      <c r="AU635">
        <v>0</v>
      </c>
      <c r="AV635">
        <v>0</v>
      </c>
      <c r="AW635">
        <v>0</v>
      </c>
      <c r="AX635">
        <v>0</v>
      </c>
      <c r="AY635">
        <v>0</v>
      </c>
      <c r="AZ635">
        <v>0</v>
      </c>
      <c r="BA635">
        <v>0</v>
      </c>
      <c r="BB635">
        <v>0</v>
      </c>
      <c r="BC635">
        <v>0</v>
      </c>
      <c r="BD635">
        <v>0</v>
      </c>
      <c r="BE635">
        <v>0</v>
      </c>
      <c r="BF635">
        <v>0</v>
      </c>
      <c r="BG635">
        <v>0</v>
      </c>
      <c r="BH635">
        <v>0</v>
      </c>
      <c r="BI635">
        <v>0</v>
      </c>
      <c r="BJ635">
        <v>0</v>
      </c>
      <c r="BK635">
        <v>0</v>
      </c>
    </row>
    <row r="636" spans="3:63">
      <c r="C636" s="145" t="s">
        <v>28</v>
      </c>
      <c r="D636">
        <v>0</v>
      </c>
      <c r="E636">
        <v>0</v>
      </c>
      <c r="F636">
        <v>0</v>
      </c>
      <c r="G636">
        <v>0</v>
      </c>
      <c r="H636">
        <v>0</v>
      </c>
      <c r="I636">
        <v>0</v>
      </c>
      <c r="J636">
        <v>0</v>
      </c>
      <c r="K636">
        <v>0</v>
      </c>
      <c r="L636">
        <v>0</v>
      </c>
      <c r="M636">
        <v>0</v>
      </c>
      <c r="N636">
        <v>0</v>
      </c>
      <c r="O636">
        <v>0</v>
      </c>
      <c r="P636">
        <v>0</v>
      </c>
      <c r="Q636">
        <v>1</v>
      </c>
      <c r="R636">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c r="AP636">
        <v>0</v>
      </c>
      <c r="AQ636">
        <v>0</v>
      </c>
      <c r="AR636">
        <v>0</v>
      </c>
      <c r="AS636">
        <v>0</v>
      </c>
      <c r="AT636">
        <v>0</v>
      </c>
      <c r="AU636">
        <v>0</v>
      </c>
      <c r="AV636">
        <v>0</v>
      </c>
      <c r="AW636">
        <v>0</v>
      </c>
      <c r="AX636">
        <v>0</v>
      </c>
      <c r="AY636">
        <v>0</v>
      </c>
      <c r="AZ636">
        <v>0</v>
      </c>
      <c r="BA636">
        <v>0</v>
      </c>
      <c r="BB636">
        <v>0</v>
      </c>
      <c r="BC636">
        <v>0</v>
      </c>
      <c r="BD636">
        <v>0</v>
      </c>
      <c r="BE636">
        <v>0</v>
      </c>
      <c r="BF636">
        <v>0</v>
      </c>
      <c r="BG636">
        <v>0</v>
      </c>
      <c r="BH636">
        <v>0</v>
      </c>
      <c r="BI636">
        <v>0</v>
      </c>
      <c r="BJ636">
        <v>0</v>
      </c>
      <c r="BK636">
        <v>0</v>
      </c>
    </row>
    <row r="637" spans="3:63">
      <c r="C637" s="145" t="s">
        <v>28</v>
      </c>
      <c r="D637">
        <v>0</v>
      </c>
      <c r="E637">
        <v>0</v>
      </c>
      <c r="F637">
        <v>0</v>
      </c>
      <c r="G637">
        <v>0</v>
      </c>
      <c r="H637">
        <v>0</v>
      </c>
      <c r="I637">
        <v>0</v>
      </c>
      <c r="J637">
        <v>0</v>
      </c>
      <c r="K637">
        <v>0</v>
      </c>
      <c r="L637">
        <v>0</v>
      </c>
      <c r="M637">
        <v>0</v>
      </c>
      <c r="N637">
        <v>0</v>
      </c>
      <c r="O637">
        <v>0</v>
      </c>
      <c r="P637">
        <v>0</v>
      </c>
      <c r="Q637">
        <v>1</v>
      </c>
      <c r="R637">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c r="AP637">
        <v>0</v>
      </c>
      <c r="AQ637">
        <v>0</v>
      </c>
      <c r="AR637">
        <v>0</v>
      </c>
      <c r="AS637">
        <v>0</v>
      </c>
      <c r="AT637">
        <v>0</v>
      </c>
      <c r="AU637">
        <v>0</v>
      </c>
      <c r="AV637">
        <v>0</v>
      </c>
      <c r="AW637">
        <v>0</v>
      </c>
      <c r="AX637">
        <v>0</v>
      </c>
      <c r="AY637">
        <v>0</v>
      </c>
      <c r="AZ637">
        <v>0</v>
      </c>
      <c r="BA637">
        <v>0</v>
      </c>
      <c r="BB637">
        <v>0</v>
      </c>
      <c r="BC637">
        <v>0</v>
      </c>
      <c r="BD637">
        <v>0</v>
      </c>
      <c r="BE637">
        <v>0</v>
      </c>
      <c r="BF637">
        <v>0</v>
      </c>
      <c r="BG637">
        <v>0</v>
      </c>
      <c r="BH637">
        <v>0</v>
      </c>
      <c r="BI637">
        <v>0</v>
      </c>
      <c r="BJ637">
        <v>0</v>
      </c>
      <c r="BK637">
        <v>0</v>
      </c>
    </row>
    <row r="638" spans="3:63">
      <c r="C638" s="145" t="s">
        <v>900</v>
      </c>
      <c r="D638">
        <v>1</v>
      </c>
      <c r="E638">
        <v>1</v>
      </c>
      <c r="F638">
        <v>1</v>
      </c>
      <c r="G638">
        <v>0</v>
      </c>
      <c r="H638">
        <v>0</v>
      </c>
      <c r="I638">
        <v>0</v>
      </c>
      <c r="J638">
        <v>0</v>
      </c>
      <c r="K638">
        <v>0</v>
      </c>
      <c r="L638">
        <v>0</v>
      </c>
      <c r="M638">
        <v>0</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c r="AP638">
        <v>0</v>
      </c>
      <c r="AQ638">
        <v>0</v>
      </c>
      <c r="AR638">
        <v>0</v>
      </c>
      <c r="AS638">
        <v>0</v>
      </c>
      <c r="AT638">
        <v>0</v>
      </c>
      <c r="AU638">
        <v>0</v>
      </c>
      <c r="AV638">
        <v>0</v>
      </c>
      <c r="AW638">
        <v>0</v>
      </c>
      <c r="AX638">
        <v>0</v>
      </c>
      <c r="AY638">
        <v>0</v>
      </c>
      <c r="AZ638">
        <v>0</v>
      </c>
      <c r="BA638">
        <v>0</v>
      </c>
      <c r="BB638">
        <v>0</v>
      </c>
      <c r="BC638">
        <v>0</v>
      </c>
      <c r="BD638">
        <v>0</v>
      </c>
      <c r="BE638">
        <v>0</v>
      </c>
      <c r="BF638">
        <v>0</v>
      </c>
      <c r="BG638">
        <v>0</v>
      </c>
      <c r="BH638">
        <v>0</v>
      </c>
      <c r="BI638">
        <v>0</v>
      </c>
      <c r="BJ638">
        <v>0</v>
      </c>
      <c r="BK638">
        <v>0</v>
      </c>
    </row>
    <row r="639" spans="3:63">
      <c r="C639" s="145" t="s">
        <v>36</v>
      </c>
      <c r="D639">
        <v>0</v>
      </c>
      <c r="E639">
        <v>0</v>
      </c>
      <c r="F639">
        <v>0</v>
      </c>
      <c r="G639">
        <v>0</v>
      </c>
      <c r="H639">
        <v>1</v>
      </c>
      <c r="I639">
        <v>0</v>
      </c>
      <c r="J639">
        <v>0</v>
      </c>
      <c r="K639">
        <v>0</v>
      </c>
      <c r="L639">
        <v>0</v>
      </c>
      <c r="M639">
        <v>0</v>
      </c>
      <c r="N639">
        <v>0</v>
      </c>
      <c r="O639">
        <v>0</v>
      </c>
      <c r="P639">
        <v>0</v>
      </c>
      <c r="Q639">
        <v>0</v>
      </c>
      <c r="R639">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c r="AP639">
        <v>0</v>
      </c>
      <c r="AQ639">
        <v>0</v>
      </c>
      <c r="AR639">
        <v>0</v>
      </c>
      <c r="AS639">
        <v>0</v>
      </c>
      <c r="AT639">
        <v>0</v>
      </c>
      <c r="AU639">
        <v>0</v>
      </c>
      <c r="AV639">
        <v>0</v>
      </c>
      <c r="AW639">
        <v>0</v>
      </c>
      <c r="AX639">
        <v>0</v>
      </c>
      <c r="AY639">
        <v>0</v>
      </c>
      <c r="AZ639">
        <v>0</v>
      </c>
      <c r="BA639">
        <v>0</v>
      </c>
      <c r="BB639">
        <v>0</v>
      </c>
      <c r="BC639">
        <v>0</v>
      </c>
      <c r="BD639">
        <v>0</v>
      </c>
      <c r="BE639">
        <v>0</v>
      </c>
      <c r="BF639">
        <v>0</v>
      </c>
      <c r="BG639">
        <v>0</v>
      </c>
      <c r="BH639">
        <v>0</v>
      </c>
      <c r="BI639">
        <v>0</v>
      </c>
      <c r="BJ639">
        <v>0</v>
      </c>
      <c r="BK639">
        <v>0</v>
      </c>
    </row>
    <row r="640" spans="3:63">
      <c r="C640" s="145" t="s">
        <v>39</v>
      </c>
      <c r="D640">
        <v>0</v>
      </c>
      <c r="E640">
        <v>0</v>
      </c>
      <c r="F640">
        <v>0</v>
      </c>
      <c r="G640">
        <v>1</v>
      </c>
      <c r="H640">
        <v>0</v>
      </c>
      <c r="I640">
        <v>0</v>
      </c>
      <c r="J640">
        <v>0</v>
      </c>
      <c r="K640">
        <v>0</v>
      </c>
      <c r="L640">
        <v>0</v>
      </c>
      <c r="M640">
        <v>0</v>
      </c>
      <c r="N640">
        <v>0</v>
      </c>
      <c r="O640">
        <v>0</v>
      </c>
      <c r="P640">
        <v>0</v>
      </c>
      <c r="Q640">
        <v>0</v>
      </c>
      <c r="R640">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c r="AP640">
        <v>0</v>
      </c>
      <c r="AQ640">
        <v>0</v>
      </c>
      <c r="AR640">
        <v>0</v>
      </c>
      <c r="AS640">
        <v>0</v>
      </c>
      <c r="AT640">
        <v>0</v>
      </c>
      <c r="AU640">
        <v>0</v>
      </c>
      <c r="AV640">
        <v>0</v>
      </c>
      <c r="AW640">
        <v>0</v>
      </c>
      <c r="AX640">
        <v>0</v>
      </c>
      <c r="AY640">
        <v>0</v>
      </c>
      <c r="AZ640">
        <v>0</v>
      </c>
      <c r="BA640">
        <v>0</v>
      </c>
      <c r="BB640">
        <v>0</v>
      </c>
      <c r="BC640">
        <v>0</v>
      </c>
      <c r="BD640">
        <v>0</v>
      </c>
      <c r="BE640">
        <v>0</v>
      </c>
      <c r="BF640">
        <v>0</v>
      </c>
      <c r="BG640">
        <v>0</v>
      </c>
      <c r="BH640">
        <v>0</v>
      </c>
      <c r="BI640">
        <v>0</v>
      </c>
      <c r="BJ640">
        <v>0</v>
      </c>
      <c r="BK640">
        <v>0</v>
      </c>
    </row>
    <row r="641" spans="3:63">
      <c r="C641" s="145" t="s">
        <v>51</v>
      </c>
      <c r="D641">
        <v>0</v>
      </c>
      <c r="E641">
        <v>0</v>
      </c>
      <c r="F641">
        <v>0</v>
      </c>
      <c r="G641">
        <v>0</v>
      </c>
      <c r="H641">
        <v>0</v>
      </c>
      <c r="I641">
        <v>0</v>
      </c>
      <c r="J641">
        <v>0</v>
      </c>
      <c r="K641">
        <v>1</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c r="AP641">
        <v>0</v>
      </c>
      <c r="AQ641">
        <v>0</v>
      </c>
      <c r="AR641">
        <v>0</v>
      </c>
      <c r="AS641">
        <v>0</v>
      </c>
      <c r="AT641">
        <v>0</v>
      </c>
      <c r="AU641">
        <v>0</v>
      </c>
      <c r="AV641">
        <v>0</v>
      </c>
      <c r="AW641">
        <v>0</v>
      </c>
      <c r="AX641">
        <v>0</v>
      </c>
      <c r="AY641">
        <v>0</v>
      </c>
      <c r="AZ641">
        <v>0</v>
      </c>
      <c r="BA641">
        <v>0</v>
      </c>
      <c r="BB641">
        <v>0</v>
      </c>
      <c r="BC641">
        <v>0</v>
      </c>
      <c r="BD641">
        <v>0</v>
      </c>
      <c r="BE641">
        <v>0</v>
      </c>
      <c r="BF641">
        <v>0</v>
      </c>
      <c r="BG641">
        <v>0</v>
      </c>
      <c r="BH641">
        <v>0</v>
      </c>
      <c r="BI641">
        <v>0</v>
      </c>
      <c r="BJ641">
        <v>0</v>
      </c>
      <c r="BK641">
        <v>0</v>
      </c>
    </row>
    <row r="642" spans="3:63">
      <c r="C642" s="145" t="s">
        <v>29</v>
      </c>
      <c r="D642">
        <v>1</v>
      </c>
      <c r="E642">
        <v>0</v>
      </c>
      <c r="F642">
        <v>0</v>
      </c>
      <c r="G642">
        <v>0</v>
      </c>
      <c r="H642">
        <v>0</v>
      </c>
      <c r="I642">
        <v>0</v>
      </c>
      <c r="J642">
        <v>0</v>
      </c>
      <c r="K642">
        <v>0</v>
      </c>
      <c r="L642">
        <v>1</v>
      </c>
      <c r="M642">
        <v>0</v>
      </c>
      <c r="N642">
        <v>0</v>
      </c>
      <c r="O642">
        <v>0</v>
      </c>
      <c r="P642">
        <v>0</v>
      </c>
      <c r="Q642">
        <v>0</v>
      </c>
      <c r="R642">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c r="AP642">
        <v>0</v>
      </c>
      <c r="AQ642">
        <v>0</v>
      </c>
      <c r="AR642">
        <v>0</v>
      </c>
      <c r="AS642">
        <v>0</v>
      </c>
      <c r="AT642">
        <v>0</v>
      </c>
      <c r="AU642">
        <v>0</v>
      </c>
      <c r="AV642">
        <v>0</v>
      </c>
      <c r="AW642">
        <v>0</v>
      </c>
      <c r="AX642">
        <v>0</v>
      </c>
      <c r="AY642">
        <v>0</v>
      </c>
      <c r="AZ642">
        <v>0</v>
      </c>
      <c r="BA642">
        <v>0</v>
      </c>
      <c r="BB642">
        <v>0</v>
      </c>
      <c r="BC642">
        <v>0</v>
      </c>
      <c r="BD642">
        <v>0</v>
      </c>
      <c r="BE642">
        <v>0</v>
      </c>
      <c r="BF642">
        <v>0</v>
      </c>
      <c r="BG642">
        <v>0</v>
      </c>
      <c r="BH642">
        <v>0</v>
      </c>
      <c r="BI642">
        <v>0</v>
      </c>
      <c r="BJ642">
        <v>0</v>
      </c>
      <c r="BK642">
        <v>0</v>
      </c>
    </row>
    <row r="643" spans="3:63">
      <c r="C643" s="145" t="s">
        <v>45</v>
      </c>
      <c r="D643">
        <v>1</v>
      </c>
      <c r="E643">
        <v>0</v>
      </c>
      <c r="F643">
        <v>0</v>
      </c>
      <c r="G643">
        <v>0</v>
      </c>
      <c r="H643">
        <v>0</v>
      </c>
      <c r="I643">
        <v>0</v>
      </c>
      <c r="J643">
        <v>1</v>
      </c>
      <c r="K643">
        <v>0</v>
      </c>
      <c r="L643">
        <v>0</v>
      </c>
      <c r="M643">
        <v>0</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c r="AP643">
        <v>0</v>
      </c>
      <c r="AQ643">
        <v>0</v>
      </c>
      <c r="AR643">
        <v>0</v>
      </c>
      <c r="AS643">
        <v>0</v>
      </c>
      <c r="AT643">
        <v>0</v>
      </c>
      <c r="AU643">
        <v>0</v>
      </c>
      <c r="AV643">
        <v>0</v>
      </c>
      <c r="AW643">
        <v>0</v>
      </c>
      <c r="AX643">
        <v>0</v>
      </c>
      <c r="AY643">
        <v>0</v>
      </c>
      <c r="AZ643">
        <v>0</v>
      </c>
      <c r="BA643">
        <v>0</v>
      </c>
      <c r="BB643">
        <v>0</v>
      </c>
      <c r="BC643">
        <v>0</v>
      </c>
      <c r="BD643">
        <v>0</v>
      </c>
      <c r="BE643">
        <v>0</v>
      </c>
      <c r="BF643">
        <v>0</v>
      </c>
      <c r="BG643">
        <v>0</v>
      </c>
      <c r="BH643">
        <v>0</v>
      </c>
      <c r="BI643">
        <v>0</v>
      </c>
      <c r="BJ643">
        <v>0</v>
      </c>
      <c r="BK643">
        <v>0</v>
      </c>
    </row>
    <row r="644" spans="3:63">
      <c r="C644" s="145" t="s">
        <v>908</v>
      </c>
      <c r="D644">
        <v>1</v>
      </c>
      <c r="E644">
        <v>1</v>
      </c>
      <c r="F644">
        <v>0</v>
      </c>
      <c r="G644">
        <v>1</v>
      </c>
      <c r="H644">
        <v>0</v>
      </c>
      <c r="I644">
        <v>0</v>
      </c>
      <c r="J644">
        <v>0</v>
      </c>
      <c r="K644">
        <v>0</v>
      </c>
      <c r="L644">
        <v>0</v>
      </c>
      <c r="M644">
        <v>0</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c r="AP644">
        <v>0</v>
      </c>
      <c r="AQ644">
        <v>0</v>
      </c>
      <c r="AR644">
        <v>0</v>
      </c>
      <c r="AS644">
        <v>0</v>
      </c>
      <c r="AT644">
        <v>0</v>
      </c>
      <c r="AU644">
        <v>0</v>
      </c>
      <c r="AV644">
        <v>0</v>
      </c>
      <c r="AW644">
        <v>0</v>
      </c>
      <c r="AX644">
        <v>0</v>
      </c>
      <c r="AY644">
        <v>0</v>
      </c>
      <c r="AZ644">
        <v>0</v>
      </c>
      <c r="BA644">
        <v>0</v>
      </c>
      <c r="BB644">
        <v>0</v>
      </c>
      <c r="BC644">
        <v>0</v>
      </c>
      <c r="BD644">
        <v>0</v>
      </c>
      <c r="BE644">
        <v>0</v>
      </c>
      <c r="BF644">
        <v>0</v>
      </c>
      <c r="BG644">
        <v>0</v>
      </c>
      <c r="BH644">
        <v>0</v>
      </c>
      <c r="BI644">
        <v>0</v>
      </c>
      <c r="BJ644">
        <v>0</v>
      </c>
      <c r="BK644">
        <v>0</v>
      </c>
    </row>
    <row r="645" spans="3:63">
      <c r="C645" s="145" t="s">
        <v>909</v>
      </c>
      <c r="D645">
        <v>0</v>
      </c>
      <c r="E645">
        <v>0</v>
      </c>
      <c r="F645">
        <v>0</v>
      </c>
      <c r="G645">
        <v>0</v>
      </c>
      <c r="H645">
        <v>0</v>
      </c>
      <c r="I645">
        <v>1</v>
      </c>
      <c r="J645">
        <v>0</v>
      </c>
      <c r="K645">
        <v>0</v>
      </c>
      <c r="L645">
        <v>0</v>
      </c>
      <c r="M645">
        <v>0</v>
      </c>
      <c r="N645">
        <v>0</v>
      </c>
      <c r="O645">
        <v>0</v>
      </c>
      <c r="P645">
        <v>0</v>
      </c>
      <c r="Q645">
        <v>0</v>
      </c>
      <c r="R64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c r="AP645">
        <v>0</v>
      </c>
      <c r="AQ645">
        <v>0</v>
      </c>
      <c r="AR645">
        <v>0</v>
      </c>
      <c r="AS645">
        <v>0</v>
      </c>
      <c r="AT645">
        <v>0</v>
      </c>
      <c r="AU645">
        <v>0</v>
      </c>
      <c r="AV645">
        <v>0</v>
      </c>
      <c r="AW645">
        <v>0</v>
      </c>
      <c r="AX645">
        <v>0</v>
      </c>
      <c r="AY645">
        <v>0</v>
      </c>
      <c r="AZ645">
        <v>0</v>
      </c>
      <c r="BA645">
        <v>0</v>
      </c>
      <c r="BB645">
        <v>0</v>
      </c>
      <c r="BC645">
        <v>0</v>
      </c>
      <c r="BD645">
        <v>0</v>
      </c>
      <c r="BE645">
        <v>0</v>
      </c>
      <c r="BF645">
        <v>0</v>
      </c>
      <c r="BG645">
        <v>0</v>
      </c>
      <c r="BH645">
        <v>0</v>
      </c>
      <c r="BI645">
        <v>0</v>
      </c>
      <c r="BJ645">
        <v>0</v>
      </c>
      <c r="BK645">
        <v>0</v>
      </c>
    </row>
    <row r="646" spans="3:63">
      <c r="C646" s="145" t="s">
        <v>28</v>
      </c>
      <c r="D646">
        <v>0</v>
      </c>
      <c r="E646">
        <v>0</v>
      </c>
      <c r="F646">
        <v>0</v>
      </c>
      <c r="G646">
        <v>0</v>
      </c>
      <c r="H646">
        <v>0</v>
      </c>
      <c r="I646">
        <v>0</v>
      </c>
      <c r="J646">
        <v>0</v>
      </c>
      <c r="K646">
        <v>0</v>
      </c>
      <c r="L646">
        <v>0</v>
      </c>
      <c r="M646">
        <v>0</v>
      </c>
      <c r="N646">
        <v>0</v>
      </c>
      <c r="O646">
        <v>0</v>
      </c>
      <c r="P646">
        <v>0</v>
      </c>
      <c r="Q646">
        <v>1</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c r="AP646">
        <v>0</v>
      </c>
      <c r="AQ646">
        <v>0</v>
      </c>
      <c r="AR646">
        <v>0</v>
      </c>
      <c r="AS646">
        <v>0</v>
      </c>
      <c r="AT646">
        <v>0</v>
      </c>
      <c r="AU646">
        <v>0</v>
      </c>
      <c r="AV646">
        <v>0</v>
      </c>
      <c r="AW646">
        <v>0</v>
      </c>
      <c r="AX646">
        <v>0</v>
      </c>
      <c r="AY646">
        <v>0</v>
      </c>
      <c r="AZ646">
        <v>0</v>
      </c>
      <c r="BA646">
        <v>0</v>
      </c>
      <c r="BB646">
        <v>0</v>
      </c>
      <c r="BC646">
        <v>0</v>
      </c>
      <c r="BD646">
        <v>0</v>
      </c>
      <c r="BE646">
        <v>0</v>
      </c>
      <c r="BF646">
        <v>0</v>
      </c>
      <c r="BG646">
        <v>0</v>
      </c>
      <c r="BH646">
        <v>0</v>
      </c>
      <c r="BI646">
        <v>0</v>
      </c>
      <c r="BJ646">
        <v>0</v>
      </c>
      <c r="BK646">
        <v>0</v>
      </c>
    </row>
    <row r="647" spans="3:63">
      <c r="C647" s="145" t="s">
        <v>40</v>
      </c>
      <c r="D647">
        <v>1</v>
      </c>
      <c r="E647">
        <v>1</v>
      </c>
      <c r="F647">
        <v>0</v>
      </c>
      <c r="G647">
        <v>0</v>
      </c>
      <c r="H647">
        <v>0</v>
      </c>
      <c r="I647">
        <v>0</v>
      </c>
      <c r="J647">
        <v>0</v>
      </c>
      <c r="K647">
        <v>0</v>
      </c>
      <c r="L647">
        <v>0</v>
      </c>
      <c r="M647">
        <v>0</v>
      </c>
      <c r="N647">
        <v>0</v>
      </c>
      <c r="O647">
        <v>1</v>
      </c>
      <c r="P647">
        <v>0</v>
      </c>
      <c r="Q647">
        <v>0</v>
      </c>
      <c r="R647">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c r="AP647">
        <v>0</v>
      </c>
      <c r="AQ647">
        <v>0</v>
      </c>
      <c r="AR647">
        <v>0</v>
      </c>
      <c r="AS647">
        <v>0</v>
      </c>
      <c r="AT647">
        <v>0</v>
      </c>
      <c r="AU647">
        <v>0</v>
      </c>
      <c r="AV647">
        <v>0</v>
      </c>
      <c r="AW647">
        <v>0</v>
      </c>
      <c r="AX647">
        <v>0</v>
      </c>
      <c r="AY647">
        <v>0</v>
      </c>
      <c r="AZ647">
        <v>0</v>
      </c>
      <c r="BA647">
        <v>0</v>
      </c>
      <c r="BB647">
        <v>0</v>
      </c>
      <c r="BC647">
        <v>0</v>
      </c>
      <c r="BD647">
        <v>0</v>
      </c>
      <c r="BE647">
        <v>0</v>
      </c>
      <c r="BF647">
        <v>0</v>
      </c>
      <c r="BG647">
        <v>0</v>
      </c>
      <c r="BH647">
        <v>0</v>
      </c>
      <c r="BI647">
        <v>0</v>
      </c>
      <c r="BJ647">
        <v>0</v>
      </c>
      <c r="BK647">
        <v>0</v>
      </c>
    </row>
    <row r="648" spans="3:63">
      <c r="C648" s="145" t="s">
        <v>26</v>
      </c>
      <c r="D648">
        <v>1</v>
      </c>
      <c r="E648">
        <v>0</v>
      </c>
      <c r="F648">
        <v>0</v>
      </c>
      <c r="G648">
        <v>0</v>
      </c>
      <c r="H648">
        <v>0</v>
      </c>
      <c r="I648">
        <v>0</v>
      </c>
      <c r="J648">
        <v>0</v>
      </c>
      <c r="K648">
        <v>0</v>
      </c>
      <c r="L648">
        <v>0</v>
      </c>
      <c r="M648">
        <v>0</v>
      </c>
      <c r="N648">
        <v>0</v>
      </c>
      <c r="O648">
        <v>0</v>
      </c>
      <c r="P648">
        <v>0</v>
      </c>
      <c r="Q648">
        <v>0</v>
      </c>
      <c r="R648">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c r="AP648">
        <v>0</v>
      </c>
      <c r="AQ648">
        <v>0</v>
      </c>
      <c r="AR648">
        <v>0</v>
      </c>
      <c r="AS648">
        <v>0</v>
      </c>
      <c r="AT648">
        <v>0</v>
      </c>
      <c r="AU648">
        <v>0</v>
      </c>
      <c r="AV648">
        <v>0</v>
      </c>
      <c r="AW648">
        <v>0</v>
      </c>
      <c r="AX648">
        <v>0</v>
      </c>
      <c r="AY648">
        <v>0</v>
      </c>
      <c r="AZ648">
        <v>0</v>
      </c>
      <c r="BA648">
        <v>0</v>
      </c>
      <c r="BB648">
        <v>0</v>
      </c>
      <c r="BC648">
        <v>0</v>
      </c>
      <c r="BD648">
        <v>0</v>
      </c>
      <c r="BE648">
        <v>0</v>
      </c>
      <c r="BF648">
        <v>0</v>
      </c>
      <c r="BG648">
        <v>0</v>
      </c>
      <c r="BH648">
        <v>0</v>
      </c>
      <c r="BI648">
        <v>0</v>
      </c>
      <c r="BJ648">
        <v>0</v>
      </c>
      <c r="BK648">
        <v>0</v>
      </c>
    </row>
    <row r="649" spans="3:63">
      <c r="C649" s="145" t="s">
        <v>30</v>
      </c>
      <c r="D649">
        <v>1</v>
      </c>
      <c r="E649">
        <v>1</v>
      </c>
      <c r="F649">
        <v>0</v>
      </c>
      <c r="G649">
        <v>0</v>
      </c>
      <c r="H649">
        <v>0</v>
      </c>
      <c r="I649">
        <v>0</v>
      </c>
      <c r="J649">
        <v>0</v>
      </c>
      <c r="K649">
        <v>0</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c r="AP649">
        <v>0</v>
      </c>
      <c r="AQ649">
        <v>0</v>
      </c>
      <c r="AR649">
        <v>0</v>
      </c>
      <c r="AS649">
        <v>0</v>
      </c>
      <c r="AT649">
        <v>0</v>
      </c>
      <c r="AU649">
        <v>0</v>
      </c>
      <c r="AV649">
        <v>0</v>
      </c>
      <c r="AW649">
        <v>0</v>
      </c>
      <c r="AX649">
        <v>0</v>
      </c>
      <c r="AY649">
        <v>0</v>
      </c>
      <c r="AZ649">
        <v>0</v>
      </c>
      <c r="BA649">
        <v>0</v>
      </c>
      <c r="BB649">
        <v>0</v>
      </c>
      <c r="BC649">
        <v>0</v>
      </c>
      <c r="BD649">
        <v>0</v>
      </c>
      <c r="BE649">
        <v>0</v>
      </c>
      <c r="BF649">
        <v>0</v>
      </c>
      <c r="BG649">
        <v>0</v>
      </c>
      <c r="BH649">
        <v>0</v>
      </c>
      <c r="BI649">
        <v>0</v>
      </c>
      <c r="BJ649">
        <v>0</v>
      </c>
      <c r="BK649">
        <v>0</v>
      </c>
    </row>
    <row r="650" spans="3:63">
      <c r="C650" s="145" t="s">
        <v>26</v>
      </c>
      <c r="D650">
        <v>1</v>
      </c>
      <c r="E650">
        <v>0</v>
      </c>
      <c r="F650">
        <v>0</v>
      </c>
      <c r="G650">
        <v>0</v>
      </c>
      <c r="H650">
        <v>0</v>
      </c>
      <c r="I650">
        <v>0</v>
      </c>
      <c r="J650">
        <v>0</v>
      </c>
      <c r="K650">
        <v>0</v>
      </c>
      <c r="L650">
        <v>0</v>
      </c>
      <c r="M650">
        <v>0</v>
      </c>
      <c r="N650">
        <v>0</v>
      </c>
      <c r="O650">
        <v>0</v>
      </c>
      <c r="P650">
        <v>0</v>
      </c>
      <c r="Q650">
        <v>0</v>
      </c>
      <c r="R650">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c r="AP650">
        <v>0</v>
      </c>
      <c r="AQ650">
        <v>0</v>
      </c>
      <c r="AR650">
        <v>0</v>
      </c>
      <c r="AS650">
        <v>0</v>
      </c>
      <c r="AT650">
        <v>0</v>
      </c>
      <c r="AU650">
        <v>0</v>
      </c>
      <c r="AV650">
        <v>0</v>
      </c>
      <c r="AW650">
        <v>0</v>
      </c>
      <c r="AX650">
        <v>0</v>
      </c>
      <c r="AY650">
        <v>0</v>
      </c>
      <c r="AZ650">
        <v>0</v>
      </c>
      <c r="BA650">
        <v>0</v>
      </c>
      <c r="BB650">
        <v>0</v>
      </c>
      <c r="BC650">
        <v>0</v>
      </c>
      <c r="BD650">
        <v>0</v>
      </c>
      <c r="BE650">
        <v>0</v>
      </c>
      <c r="BF650">
        <v>0</v>
      </c>
      <c r="BG650">
        <v>0</v>
      </c>
      <c r="BH650">
        <v>0</v>
      </c>
      <c r="BI650">
        <v>0</v>
      </c>
      <c r="BJ650">
        <v>0</v>
      </c>
      <c r="BK650">
        <v>0</v>
      </c>
    </row>
    <row r="651" spans="3:63">
      <c r="C651" s="145" t="s">
        <v>39</v>
      </c>
      <c r="D651">
        <v>0</v>
      </c>
      <c r="E651">
        <v>0</v>
      </c>
      <c r="F651">
        <v>0</v>
      </c>
      <c r="G651">
        <v>1</v>
      </c>
      <c r="H651">
        <v>0</v>
      </c>
      <c r="I651">
        <v>0</v>
      </c>
      <c r="J651">
        <v>0</v>
      </c>
      <c r="K651">
        <v>0</v>
      </c>
      <c r="L651">
        <v>0</v>
      </c>
      <c r="M651">
        <v>0</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c r="AP651">
        <v>0</v>
      </c>
      <c r="AQ651">
        <v>0</v>
      </c>
      <c r="AR651">
        <v>0</v>
      </c>
      <c r="AS651">
        <v>0</v>
      </c>
      <c r="AT651">
        <v>0</v>
      </c>
      <c r="AU651">
        <v>0</v>
      </c>
      <c r="AV651">
        <v>0</v>
      </c>
      <c r="AW651">
        <v>0</v>
      </c>
      <c r="AX651">
        <v>0</v>
      </c>
      <c r="AY651">
        <v>0</v>
      </c>
      <c r="AZ651">
        <v>0</v>
      </c>
      <c r="BA651">
        <v>0</v>
      </c>
      <c r="BB651">
        <v>0</v>
      </c>
      <c r="BC651">
        <v>0</v>
      </c>
      <c r="BD651">
        <v>0</v>
      </c>
      <c r="BE651">
        <v>0</v>
      </c>
      <c r="BF651">
        <v>0</v>
      </c>
      <c r="BG651">
        <v>0</v>
      </c>
      <c r="BH651">
        <v>0</v>
      </c>
      <c r="BI651">
        <v>0</v>
      </c>
      <c r="BJ651">
        <v>0</v>
      </c>
      <c r="BK651">
        <v>0</v>
      </c>
    </row>
    <row r="652" spans="3:63">
      <c r="C652" s="145" t="s">
        <v>48</v>
      </c>
      <c r="D652">
        <v>0</v>
      </c>
      <c r="E652">
        <v>0</v>
      </c>
      <c r="F652">
        <v>1</v>
      </c>
      <c r="G652">
        <v>0</v>
      </c>
      <c r="H652">
        <v>0</v>
      </c>
      <c r="I652">
        <v>0</v>
      </c>
      <c r="J652">
        <v>0</v>
      </c>
      <c r="K652">
        <v>0</v>
      </c>
      <c r="L652">
        <v>0</v>
      </c>
      <c r="M652">
        <v>0</v>
      </c>
      <c r="N652">
        <v>0</v>
      </c>
      <c r="O652">
        <v>0</v>
      </c>
      <c r="P652">
        <v>0</v>
      </c>
      <c r="Q652">
        <v>0</v>
      </c>
      <c r="R652">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c r="AP652">
        <v>0</v>
      </c>
      <c r="AQ652">
        <v>0</v>
      </c>
      <c r="AR652">
        <v>0</v>
      </c>
      <c r="AS652">
        <v>0</v>
      </c>
      <c r="AT652">
        <v>0</v>
      </c>
      <c r="AU652">
        <v>0</v>
      </c>
      <c r="AV652">
        <v>0</v>
      </c>
      <c r="AW652">
        <v>0</v>
      </c>
      <c r="AX652">
        <v>0</v>
      </c>
      <c r="AY652">
        <v>0</v>
      </c>
      <c r="AZ652">
        <v>0</v>
      </c>
      <c r="BA652">
        <v>0</v>
      </c>
      <c r="BB652">
        <v>0</v>
      </c>
      <c r="BC652">
        <v>0</v>
      </c>
      <c r="BD652">
        <v>0</v>
      </c>
      <c r="BE652">
        <v>0</v>
      </c>
      <c r="BF652">
        <v>0</v>
      </c>
      <c r="BG652">
        <v>0</v>
      </c>
      <c r="BH652">
        <v>0</v>
      </c>
      <c r="BI652">
        <v>0</v>
      </c>
      <c r="BJ652">
        <v>0</v>
      </c>
      <c r="BK652">
        <v>0</v>
      </c>
    </row>
    <row r="653" spans="3:63">
      <c r="C653" s="145" t="s">
        <v>935</v>
      </c>
      <c r="D653">
        <v>0</v>
      </c>
      <c r="E653">
        <v>0</v>
      </c>
      <c r="F653">
        <v>0</v>
      </c>
      <c r="G653">
        <v>0</v>
      </c>
      <c r="H653">
        <v>0</v>
      </c>
      <c r="I653">
        <v>0</v>
      </c>
      <c r="J653">
        <v>0</v>
      </c>
      <c r="K653">
        <v>1</v>
      </c>
      <c r="L653">
        <v>1</v>
      </c>
      <c r="M653">
        <v>0</v>
      </c>
      <c r="N653">
        <v>0</v>
      </c>
      <c r="O653">
        <v>0</v>
      </c>
      <c r="P653">
        <v>0</v>
      </c>
      <c r="Q653">
        <v>0</v>
      </c>
      <c r="R653">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c r="AP653">
        <v>0</v>
      </c>
      <c r="AQ653">
        <v>0</v>
      </c>
      <c r="AR653">
        <v>0</v>
      </c>
      <c r="AS653">
        <v>0</v>
      </c>
      <c r="AT653">
        <v>0</v>
      </c>
      <c r="AU653">
        <v>0</v>
      </c>
      <c r="AV653">
        <v>0</v>
      </c>
      <c r="AW653">
        <v>0</v>
      </c>
      <c r="AX653">
        <v>0</v>
      </c>
      <c r="AY653">
        <v>0</v>
      </c>
      <c r="AZ653">
        <v>0</v>
      </c>
      <c r="BA653">
        <v>0</v>
      </c>
      <c r="BB653">
        <v>0</v>
      </c>
      <c r="BC653">
        <v>0</v>
      </c>
      <c r="BD653">
        <v>0</v>
      </c>
      <c r="BE653">
        <v>0</v>
      </c>
      <c r="BF653">
        <v>0</v>
      </c>
      <c r="BG653">
        <v>0</v>
      </c>
      <c r="BH653">
        <v>0</v>
      </c>
      <c r="BI653">
        <v>0</v>
      </c>
      <c r="BJ653">
        <v>0</v>
      </c>
      <c r="BK653">
        <v>0</v>
      </c>
    </row>
    <row r="654" spans="3:63">
      <c r="C654" s="145" t="s">
        <v>909</v>
      </c>
      <c r="D654">
        <v>0</v>
      </c>
      <c r="E654">
        <v>0</v>
      </c>
      <c r="F654">
        <v>0</v>
      </c>
      <c r="G654">
        <v>0</v>
      </c>
      <c r="H654">
        <v>0</v>
      </c>
      <c r="I654">
        <v>1</v>
      </c>
      <c r="J654">
        <v>0</v>
      </c>
      <c r="K654">
        <v>0</v>
      </c>
      <c r="L654">
        <v>0</v>
      </c>
      <c r="M654">
        <v>0</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c r="AP654">
        <v>0</v>
      </c>
      <c r="AQ654">
        <v>0</v>
      </c>
      <c r="AR654">
        <v>0</v>
      </c>
      <c r="AS654">
        <v>0</v>
      </c>
      <c r="AT654">
        <v>0</v>
      </c>
      <c r="AU654">
        <v>0</v>
      </c>
      <c r="AV654">
        <v>0</v>
      </c>
      <c r="AW654">
        <v>0</v>
      </c>
      <c r="AX654">
        <v>0</v>
      </c>
      <c r="AY654">
        <v>0</v>
      </c>
      <c r="AZ654">
        <v>0</v>
      </c>
      <c r="BA654">
        <v>0</v>
      </c>
      <c r="BB654">
        <v>0</v>
      </c>
      <c r="BC654">
        <v>0</v>
      </c>
      <c r="BD654">
        <v>0</v>
      </c>
      <c r="BE654">
        <v>0</v>
      </c>
      <c r="BF654">
        <v>0</v>
      </c>
      <c r="BG654">
        <v>0</v>
      </c>
      <c r="BH654">
        <v>0</v>
      </c>
      <c r="BI654">
        <v>0</v>
      </c>
      <c r="BJ654">
        <v>0</v>
      </c>
      <c r="BK654">
        <v>0</v>
      </c>
    </row>
    <row r="655" spans="3:63">
      <c r="C655" s="145" t="s">
        <v>26</v>
      </c>
      <c r="D655">
        <v>1</v>
      </c>
      <c r="E655">
        <v>0</v>
      </c>
      <c r="F655">
        <v>0</v>
      </c>
      <c r="G655">
        <v>0</v>
      </c>
      <c r="H655">
        <v>0</v>
      </c>
      <c r="I655">
        <v>0</v>
      </c>
      <c r="J655">
        <v>0</v>
      </c>
      <c r="K655">
        <v>0</v>
      </c>
      <c r="L655">
        <v>0</v>
      </c>
      <c r="M655">
        <v>0</v>
      </c>
      <c r="N655">
        <v>0</v>
      </c>
      <c r="O655">
        <v>0</v>
      </c>
      <c r="P655">
        <v>0</v>
      </c>
      <c r="Q655">
        <v>0</v>
      </c>
      <c r="R65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c r="AP655">
        <v>0</v>
      </c>
      <c r="AQ655">
        <v>0</v>
      </c>
      <c r="AR655">
        <v>0</v>
      </c>
      <c r="AS655">
        <v>0</v>
      </c>
      <c r="AT655">
        <v>0</v>
      </c>
      <c r="AU655">
        <v>0</v>
      </c>
      <c r="AV655">
        <v>0</v>
      </c>
      <c r="AW655">
        <v>0</v>
      </c>
      <c r="AX655">
        <v>0</v>
      </c>
      <c r="AY655">
        <v>0</v>
      </c>
      <c r="AZ655">
        <v>0</v>
      </c>
      <c r="BA655">
        <v>0</v>
      </c>
      <c r="BB655">
        <v>0</v>
      </c>
      <c r="BC655">
        <v>0</v>
      </c>
      <c r="BD655">
        <v>0</v>
      </c>
      <c r="BE655">
        <v>0</v>
      </c>
      <c r="BF655">
        <v>0</v>
      </c>
      <c r="BG655">
        <v>0</v>
      </c>
      <c r="BH655">
        <v>0</v>
      </c>
      <c r="BI655">
        <v>0</v>
      </c>
      <c r="BJ655">
        <v>0</v>
      </c>
      <c r="BK655">
        <v>0</v>
      </c>
    </row>
    <row r="656" spans="3:63">
      <c r="C656" s="145" t="s">
        <v>45</v>
      </c>
      <c r="D656">
        <v>1</v>
      </c>
      <c r="E656">
        <v>0</v>
      </c>
      <c r="F656">
        <v>0</v>
      </c>
      <c r="G656">
        <v>0</v>
      </c>
      <c r="H656">
        <v>0</v>
      </c>
      <c r="I656">
        <v>0</v>
      </c>
      <c r="J656">
        <v>1</v>
      </c>
      <c r="K656">
        <v>0</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c r="AL656">
        <v>0</v>
      </c>
      <c r="AM656">
        <v>0</v>
      </c>
      <c r="AN656">
        <v>0</v>
      </c>
      <c r="AO656">
        <v>0</v>
      </c>
      <c r="AP656">
        <v>0</v>
      </c>
      <c r="AQ656">
        <v>0</v>
      </c>
      <c r="AR656">
        <v>0</v>
      </c>
      <c r="AS656">
        <v>0</v>
      </c>
      <c r="AT656">
        <v>0</v>
      </c>
      <c r="AU656">
        <v>0</v>
      </c>
      <c r="AV656">
        <v>0</v>
      </c>
      <c r="AW656">
        <v>0</v>
      </c>
      <c r="AX656">
        <v>0</v>
      </c>
      <c r="AY656">
        <v>0</v>
      </c>
      <c r="AZ656">
        <v>0</v>
      </c>
      <c r="BA656">
        <v>0</v>
      </c>
      <c r="BB656">
        <v>0</v>
      </c>
      <c r="BC656">
        <v>0</v>
      </c>
      <c r="BD656">
        <v>0</v>
      </c>
      <c r="BE656">
        <v>0</v>
      </c>
      <c r="BF656">
        <v>0</v>
      </c>
      <c r="BG656">
        <v>0</v>
      </c>
      <c r="BH656">
        <v>0</v>
      </c>
      <c r="BI656">
        <v>0</v>
      </c>
      <c r="BJ656">
        <v>0</v>
      </c>
      <c r="BK656">
        <v>0</v>
      </c>
    </row>
    <row r="657" spans="3:63">
      <c r="C657" s="145" t="s">
        <v>27</v>
      </c>
      <c r="D657">
        <v>0</v>
      </c>
      <c r="E657">
        <v>0</v>
      </c>
      <c r="F657">
        <v>0</v>
      </c>
      <c r="G657">
        <v>0</v>
      </c>
      <c r="H657">
        <v>0</v>
      </c>
      <c r="I657">
        <v>0</v>
      </c>
      <c r="J657">
        <v>0</v>
      </c>
      <c r="K657">
        <v>0</v>
      </c>
      <c r="L657">
        <v>1</v>
      </c>
      <c r="M657">
        <v>0</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0</v>
      </c>
      <c r="AJ657">
        <v>0</v>
      </c>
      <c r="AK657">
        <v>0</v>
      </c>
      <c r="AL657">
        <v>0</v>
      </c>
      <c r="AM657">
        <v>0</v>
      </c>
      <c r="AN657">
        <v>0</v>
      </c>
      <c r="AO657">
        <v>0</v>
      </c>
      <c r="AP657">
        <v>0</v>
      </c>
      <c r="AQ657">
        <v>0</v>
      </c>
      <c r="AR657">
        <v>0</v>
      </c>
      <c r="AS657">
        <v>0</v>
      </c>
      <c r="AT657">
        <v>0</v>
      </c>
      <c r="AU657">
        <v>0</v>
      </c>
      <c r="AV657">
        <v>0</v>
      </c>
      <c r="AW657">
        <v>0</v>
      </c>
      <c r="AX657">
        <v>0</v>
      </c>
      <c r="AY657">
        <v>0</v>
      </c>
      <c r="AZ657">
        <v>0</v>
      </c>
      <c r="BA657">
        <v>0</v>
      </c>
      <c r="BB657">
        <v>0</v>
      </c>
      <c r="BC657">
        <v>0</v>
      </c>
      <c r="BD657">
        <v>0</v>
      </c>
      <c r="BE657">
        <v>0</v>
      </c>
      <c r="BF657">
        <v>0</v>
      </c>
      <c r="BG657">
        <v>0</v>
      </c>
      <c r="BH657">
        <v>0</v>
      </c>
      <c r="BI657">
        <v>0</v>
      </c>
      <c r="BJ657">
        <v>0</v>
      </c>
      <c r="BK657">
        <v>0</v>
      </c>
    </row>
    <row r="658" spans="3:63">
      <c r="C658" s="145" t="s">
        <v>971</v>
      </c>
      <c r="D658">
        <v>0</v>
      </c>
      <c r="E658">
        <v>0</v>
      </c>
      <c r="F658">
        <v>1</v>
      </c>
      <c r="G658">
        <v>0</v>
      </c>
      <c r="H658">
        <v>0</v>
      </c>
      <c r="I658">
        <v>0</v>
      </c>
      <c r="J658">
        <v>0</v>
      </c>
      <c r="K658">
        <v>1</v>
      </c>
      <c r="L658">
        <v>0</v>
      </c>
      <c r="M658">
        <v>0</v>
      </c>
      <c r="N658">
        <v>0</v>
      </c>
      <c r="O658">
        <v>0</v>
      </c>
      <c r="P658">
        <v>0</v>
      </c>
      <c r="Q658">
        <v>0</v>
      </c>
      <c r="R658">
        <v>0</v>
      </c>
      <c r="S658">
        <v>0</v>
      </c>
      <c r="T658">
        <v>0</v>
      </c>
      <c r="U658">
        <v>0</v>
      </c>
      <c r="V658">
        <v>0</v>
      </c>
      <c r="W658">
        <v>0</v>
      </c>
      <c r="X658">
        <v>0</v>
      </c>
      <c r="Y658">
        <v>0</v>
      </c>
      <c r="Z658">
        <v>0</v>
      </c>
      <c r="AA658">
        <v>0</v>
      </c>
      <c r="AB658">
        <v>0</v>
      </c>
      <c r="AC658">
        <v>0</v>
      </c>
      <c r="AD658">
        <v>0</v>
      </c>
      <c r="AE658">
        <v>0</v>
      </c>
      <c r="AF658">
        <v>0</v>
      </c>
      <c r="AG658">
        <v>0</v>
      </c>
      <c r="AH658">
        <v>0</v>
      </c>
      <c r="AI658">
        <v>0</v>
      </c>
      <c r="AJ658">
        <v>0</v>
      </c>
      <c r="AK658">
        <v>0</v>
      </c>
      <c r="AL658">
        <v>0</v>
      </c>
      <c r="AM658">
        <v>0</v>
      </c>
      <c r="AN658">
        <v>0</v>
      </c>
      <c r="AO658">
        <v>0</v>
      </c>
      <c r="AP658">
        <v>0</v>
      </c>
      <c r="AQ658">
        <v>0</v>
      </c>
      <c r="AR658">
        <v>0</v>
      </c>
      <c r="AS658">
        <v>0</v>
      </c>
      <c r="AT658">
        <v>0</v>
      </c>
      <c r="AU658">
        <v>0</v>
      </c>
      <c r="AV658">
        <v>0</v>
      </c>
      <c r="AW658">
        <v>0</v>
      </c>
      <c r="AX658">
        <v>0</v>
      </c>
      <c r="AY658">
        <v>0</v>
      </c>
      <c r="AZ658">
        <v>0</v>
      </c>
      <c r="BA658">
        <v>0</v>
      </c>
      <c r="BB658">
        <v>0</v>
      </c>
      <c r="BC658">
        <v>0</v>
      </c>
      <c r="BD658">
        <v>0</v>
      </c>
      <c r="BE658">
        <v>0</v>
      </c>
      <c r="BF658">
        <v>0</v>
      </c>
      <c r="BG658">
        <v>0</v>
      </c>
      <c r="BH658">
        <v>0</v>
      </c>
      <c r="BI658">
        <v>0</v>
      </c>
      <c r="BJ658">
        <v>0</v>
      </c>
      <c r="BK658">
        <v>0</v>
      </c>
    </row>
    <row r="659" spans="3:63">
      <c r="C659" s="145" t="s">
        <v>914</v>
      </c>
      <c r="D659">
        <v>0</v>
      </c>
      <c r="E659">
        <v>0</v>
      </c>
      <c r="F659">
        <v>0</v>
      </c>
      <c r="G659">
        <v>0</v>
      </c>
      <c r="H659">
        <v>1</v>
      </c>
      <c r="I659">
        <v>0</v>
      </c>
      <c r="J659">
        <v>0</v>
      </c>
      <c r="K659">
        <v>0</v>
      </c>
      <c r="L659">
        <v>1</v>
      </c>
      <c r="M659">
        <v>0</v>
      </c>
      <c r="N659">
        <v>0</v>
      </c>
      <c r="O659">
        <v>0</v>
      </c>
      <c r="P659">
        <v>0</v>
      </c>
      <c r="Q659">
        <v>0</v>
      </c>
      <c r="R659">
        <v>0</v>
      </c>
      <c r="S659">
        <v>0</v>
      </c>
      <c r="T659">
        <v>0</v>
      </c>
      <c r="U659">
        <v>0</v>
      </c>
      <c r="V659">
        <v>0</v>
      </c>
      <c r="W659">
        <v>0</v>
      </c>
      <c r="X659">
        <v>0</v>
      </c>
      <c r="Y659">
        <v>0</v>
      </c>
      <c r="Z659">
        <v>0</v>
      </c>
      <c r="AA659">
        <v>0</v>
      </c>
      <c r="AB659">
        <v>0</v>
      </c>
      <c r="AC659">
        <v>0</v>
      </c>
      <c r="AD659">
        <v>0</v>
      </c>
      <c r="AE659">
        <v>0</v>
      </c>
      <c r="AF659">
        <v>0</v>
      </c>
      <c r="AG659">
        <v>0</v>
      </c>
      <c r="AH659">
        <v>0</v>
      </c>
      <c r="AI659">
        <v>0</v>
      </c>
      <c r="AJ659">
        <v>0</v>
      </c>
      <c r="AK659">
        <v>0</v>
      </c>
      <c r="AL659">
        <v>0</v>
      </c>
      <c r="AM659">
        <v>0</v>
      </c>
      <c r="AN659">
        <v>0</v>
      </c>
      <c r="AO659">
        <v>0</v>
      </c>
      <c r="AP659">
        <v>0</v>
      </c>
      <c r="AQ659">
        <v>0</v>
      </c>
      <c r="AR659">
        <v>0</v>
      </c>
      <c r="AS659">
        <v>0</v>
      </c>
      <c r="AT659">
        <v>0</v>
      </c>
      <c r="AU659">
        <v>0</v>
      </c>
      <c r="AV659">
        <v>0</v>
      </c>
      <c r="AW659">
        <v>0</v>
      </c>
      <c r="AX659">
        <v>0</v>
      </c>
      <c r="AY659">
        <v>0</v>
      </c>
      <c r="AZ659">
        <v>0</v>
      </c>
      <c r="BA659">
        <v>0</v>
      </c>
      <c r="BB659">
        <v>0</v>
      </c>
      <c r="BC659">
        <v>0</v>
      </c>
      <c r="BD659">
        <v>0</v>
      </c>
      <c r="BE659">
        <v>0</v>
      </c>
      <c r="BF659">
        <v>0</v>
      </c>
      <c r="BG659">
        <v>0</v>
      </c>
      <c r="BH659">
        <v>0</v>
      </c>
      <c r="BI659">
        <v>0</v>
      </c>
      <c r="BJ659">
        <v>0</v>
      </c>
      <c r="BK659">
        <v>0</v>
      </c>
    </row>
    <row r="660" spans="3:63">
      <c r="C660" s="145" t="s">
        <v>28</v>
      </c>
      <c r="D660">
        <v>0</v>
      </c>
      <c r="E660">
        <v>0</v>
      </c>
      <c r="F660">
        <v>0</v>
      </c>
      <c r="G660">
        <v>0</v>
      </c>
      <c r="H660">
        <v>0</v>
      </c>
      <c r="I660">
        <v>0</v>
      </c>
      <c r="J660">
        <v>0</v>
      </c>
      <c r="K660">
        <v>0</v>
      </c>
      <c r="L660">
        <v>0</v>
      </c>
      <c r="M660">
        <v>0</v>
      </c>
      <c r="N660">
        <v>0</v>
      </c>
      <c r="O660">
        <v>0</v>
      </c>
      <c r="P660">
        <v>0</v>
      </c>
      <c r="Q660">
        <v>1</v>
      </c>
      <c r="R660">
        <v>0</v>
      </c>
      <c r="S660">
        <v>0</v>
      </c>
      <c r="T660">
        <v>0</v>
      </c>
      <c r="U660">
        <v>0</v>
      </c>
      <c r="V660">
        <v>0</v>
      </c>
      <c r="W660">
        <v>0</v>
      </c>
      <c r="X660">
        <v>0</v>
      </c>
      <c r="Y660">
        <v>0</v>
      </c>
      <c r="Z660">
        <v>0</v>
      </c>
      <c r="AA660">
        <v>0</v>
      </c>
      <c r="AB660">
        <v>0</v>
      </c>
      <c r="AC660">
        <v>0</v>
      </c>
      <c r="AD660">
        <v>0</v>
      </c>
      <c r="AE660">
        <v>0</v>
      </c>
      <c r="AF660">
        <v>0</v>
      </c>
      <c r="AG660">
        <v>0</v>
      </c>
      <c r="AH660">
        <v>0</v>
      </c>
      <c r="AI660">
        <v>0</v>
      </c>
      <c r="AJ660">
        <v>0</v>
      </c>
      <c r="AK660">
        <v>0</v>
      </c>
      <c r="AL660">
        <v>0</v>
      </c>
      <c r="AM660">
        <v>0</v>
      </c>
      <c r="AN660">
        <v>0</v>
      </c>
      <c r="AO660">
        <v>0</v>
      </c>
      <c r="AP660">
        <v>0</v>
      </c>
      <c r="AQ660">
        <v>0</v>
      </c>
      <c r="AR660">
        <v>0</v>
      </c>
      <c r="AS660">
        <v>0</v>
      </c>
      <c r="AT660">
        <v>0</v>
      </c>
      <c r="AU660">
        <v>0</v>
      </c>
      <c r="AV660">
        <v>0</v>
      </c>
      <c r="AW660">
        <v>0</v>
      </c>
      <c r="AX660">
        <v>0</v>
      </c>
      <c r="AY660">
        <v>0</v>
      </c>
      <c r="AZ660">
        <v>0</v>
      </c>
      <c r="BA660">
        <v>0</v>
      </c>
      <c r="BB660">
        <v>0</v>
      </c>
      <c r="BC660">
        <v>0</v>
      </c>
      <c r="BD660">
        <v>0</v>
      </c>
      <c r="BE660">
        <v>0</v>
      </c>
      <c r="BF660">
        <v>0</v>
      </c>
      <c r="BG660">
        <v>0</v>
      </c>
      <c r="BH660">
        <v>0</v>
      </c>
      <c r="BI660">
        <v>0</v>
      </c>
      <c r="BJ660">
        <v>0</v>
      </c>
      <c r="BK660">
        <v>0</v>
      </c>
    </row>
    <row r="661" spans="3:63">
      <c r="C661" s="145" t="s">
        <v>27</v>
      </c>
      <c r="D661">
        <v>0</v>
      </c>
      <c r="E661">
        <v>0</v>
      </c>
      <c r="F661">
        <v>0</v>
      </c>
      <c r="G661">
        <v>0</v>
      </c>
      <c r="H661">
        <v>0</v>
      </c>
      <c r="I661">
        <v>0</v>
      </c>
      <c r="J661">
        <v>0</v>
      </c>
      <c r="K661">
        <v>0</v>
      </c>
      <c r="L661">
        <v>1</v>
      </c>
      <c r="M661">
        <v>0</v>
      </c>
      <c r="N661">
        <v>0</v>
      </c>
      <c r="O661">
        <v>0</v>
      </c>
      <c r="P661">
        <v>0</v>
      </c>
      <c r="Q661">
        <v>0</v>
      </c>
      <c r="R661">
        <v>0</v>
      </c>
      <c r="S661">
        <v>0</v>
      </c>
      <c r="T661">
        <v>0</v>
      </c>
      <c r="U661">
        <v>0</v>
      </c>
      <c r="V661">
        <v>0</v>
      </c>
      <c r="W661">
        <v>0</v>
      </c>
      <c r="X661">
        <v>0</v>
      </c>
      <c r="Y661">
        <v>0</v>
      </c>
      <c r="Z661">
        <v>0</v>
      </c>
      <c r="AA661">
        <v>0</v>
      </c>
      <c r="AB661">
        <v>0</v>
      </c>
      <c r="AC661">
        <v>0</v>
      </c>
      <c r="AD661">
        <v>0</v>
      </c>
      <c r="AE661">
        <v>0</v>
      </c>
      <c r="AF661">
        <v>0</v>
      </c>
      <c r="AG661">
        <v>0</v>
      </c>
      <c r="AH661">
        <v>0</v>
      </c>
      <c r="AI661">
        <v>0</v>
      </c>
      <c r="AJ661">
        <v>0</v>
      </c>
      <c r="AK661">
        <v>0</v>
      </c>
      <c r="AL661">
        <v>0</v>
      </c>
      <c r="AM661">
        <v>0</v>
      </c>
      <c r="AN661">
        <v>0</v>
      </c>
      <c r="AO661">
        <v>0</v>
      </c>
      <c r="AP661">
        <v>0</v>
      </c>
      <c r="AQ661">
        <v>0</v>
      </c>
      <c r="AR661">
        <v>0</v>
      </c>
      <c r="AS661">
        <v>0</v>
      </c>
      <c r="AT661">
        <v>0</v>
      </c>
      <c r="AU661">
        <v>0</v>
      </c>
      <c r="AV661">
        <v>0</v>
      </c>
      <c r="AW661">
        <v>0</v>
      </c>
      <c r="AX661">
        <v>0</v>
      </c>
      <c r="AY661">
        <v>0</v>
      </c>
      <c r="AZ661">
        <v>0</v>
      </c>
      <c r="BA661">
        <v>0</v>
      </c>
      <c r="BB661">
        <v>0</v>
      </c>
      <c r="BC661">
        <v>0</v>
      </c>
      <c r="BD661">
        <v>0</v>
      </c>
      <c r="BE661">
        <v>0</v>
      </c>
      <c r="BF661">
        <v>0</v>
      </c>
      <c r="BG661">
        <v>0</v>
      </c>
      <c r="BH661">
        <v>0</v>
      </c>
      <c r="BI661">
        <v>0</v>
      </c>
      <c r="BJ661">
        <v>0</v>
      </c>
      <c r="BK661">
        <v>0</v>
      </c>
    </row>
    <row r="662" spans="3:63">
      <c r="C662" s="145" t="s">
        <v>912</v>
      </c>
      <c r="D662">
        <v>1</v>
      </c>
      <c r="E662">
        <v>0</v>
      </c>
      <c r="F662">
        <v>0</v>
      </c>
      <c r="G662">
        <v>0</v>
      </c>
      <c r="H662">
        <v>0</v>
      </c>
      <c r="I662">
        <v>1</v>
      </c>
      <c r="J662">
        <v>0</v>
      </c>
      <c r="K662">
        <v>0</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c r="AO662">
        <v>0</v>
      </c>
      <c r="AP662">
        <v>0</v>
      </c>
      <c r="AQ662">
        <v>0</v>
      </c>
      <c r="AR662">
        <v>0</v>
      </c>
      <c r="AS662">
        <v>0</v>
      </c>
      <c r="AT662">
        <v>0</v>
      </c>
      <c r="AU662">
        <v>0</v>
      </c>
      <c r="AV662">
        <v>0</v>
      </c>
      <c r="AW662">
        <v>0</v>
      </c>
      <c r="AX662">
        <v>0</v>
      </c>
      <c r="AY662">
        <v>0</v>
      </c>
      <c r="AZ662">
        <v>0</v>
      </c>
      <c r="BA662">
        <v>0</v>
      </c>
      <c r="BB662">
        <v>0</v>
      </c>
      <c r="BC662">
        <v>0</v>
      </c>
      <c r="BD662">
        <v>0</v>
      </c>
      <c r="BE662">
        <v>0</v>
      </c>
      <c r="BF662">
        <v>0</v>
      </c>
      <c r="BG662">
        <v>0</v>
      </c>
      <c r="BH662">
        <v>0</v>
      </c>
      <c r="BI662">
        <v>0</v>
      </c>
      <c r="BJ662">
        <v>0</v>
      </c>
      <c r="BK662">
        <v>0</v>
      </c>
    </row>
    <row r="663" spans="3:63">
      <c r="C663" s="145" t="s">
        <v>34</v>
      </c>
      <c r="D663">
        <v>0</v>
      </c>
      <c r="E663">
        <v>0</v>
      </c>
      <c r="F663">
        <v>0</v>
      </c>
      <c r="G663">
        <v>0</v>
      </c>
      <c r="H663">
        <v>0</v>
      </c>
      <c r="I663">
        <v>0</v>
      </c>
      <c r="J663">
        <v>1</v>
      </c>
      <c r="K663">
        <v>0</v>
      </c>
      <c r="L663">
        <v>0</v>
      </c>
      <c r="M663">
        <v>0</v>
      </c>
      <c r="N663">
        <v>0</v>
      </c>
      <c r="O663">
        <v>0</v>
      </c>
      <c r="P663">
        <v>0</v>
      </c>
      <c r="Q663">
        <v>0</v>
      </c>
      <c r="R663">
        <v>0</v>
      </c>
      <c r="S663">
        <v>0</v>
      </c>
      <c r="T663">
        <v>0</v>
      </c>
      <c r="U663">
        <v>0</v>
      </c>
      <c r="V663">
        <v>0</v>
      </c>
      <c r="W663">
        <v>0</v>
      </c>
      <c r="X663">
        <v>0</v>
      </c>
      <c r="Y663">
        <v>0</v>
      </c>
      <c r="Z663">
        <v>0</v>
      </c>
      <c r="AA663">
        <v>0</v>
      </c>
      <c r="AB663">
        <v>0</v>
      </c>
      <c r="AC663">
        <v>0</v>
      </c>
      <c r="AD663">
        <v>0</v>
      </c>
      <c r="AE663">
        <v>0</v>
      </c>
      <c r="AF663">
        <v>0</v>
      </c>
      <c r="AG663">
        <v>0</v>
      </c>
      <c r="AH663">
        <v>0</v>
      </c>
      <c r="AI663">
        <v>0</v>
      </c>
      <c r="AJ663">
        <v>0</v>
      </c>
      <c r="AK663">
        <v>0</v>
      </c>
      <c r="AL663">
        <v>0</v>
      </c>
      <c r="AM663">
        <v>0</v>
      </c>
      <c r="AN663">
        <v>0</v>
      </c>
      <c r="AO663">
        <v>0</v>
      </c>
      <c r="AP663">
        <v>0</v>
      </c>
      <c r="AQ663">
        <v>0</v>
      </c>
      <c r="AR663">
        <v>0</v>
      </c>
      <c r="AS663">
        <v>0</v>
      </c>
      <c r="AT663">
        <v>0</v>
      </c>
      <c r="AU663">
        <v>0</v>
      </c>
      <c r="AV663">
        <v>0</v>
      </c>
      <c r="AW663">
        <v>0</v>
      </c>
      <c r="AX663">
        <v>0</v>
      </c>
      <c r="AY663">
        <v>0</v>
      </c>
      <c r="AZ663">
        <v>0</v>
      </c>
      <c r="BA663">
        <v>0</v>
      </c>
      <c r="BB663">
        <v>0</v>
      </c>
      <c r="BC663">
        <v>0</v>
      </c>
      <c r="BD663">
        <v>0</v>
      </c>
      <c r="BE663">
        <v>0</v>
      </c>
      <c r="BF663">
        <v>0</v>
      </c>
      <c r="BG663">
        <v>0</v>
      </c>
      <c r="BH663">
        <v>0</v>
      </c>
      <c r="BI663">
        <v>0</v>
      </c>
      <c r="BJ663">
        <v>0</v>
      </c>
      <c r="BK663">
        <v>0</v>
      </c>
    </row>
    <row r="664" spans="3:63">
      <c r="C664" s="145" t="s">
        <v>29</v>
      </c>
      <c r="D664">
        <v>1</v>
      </c>
      <c r="E664">
        <v>0</v>
      </c>
      <c r="F664">
        <v>0</v>
      </c>
      <c r="G664">
        <v>0</v>
      </c>
      <c r="H664">
        <v>0</v>
      </c>
      <c r="I664">
        <v>0</v>
      </c>
      <c r="J664">
        <v>0</v>
      </c>
      <c r="K664">
        <v>0</v>
      </c>
      <c r="L664">
        <v>1</v>
      </c>
      <c r="M664">
        <v>0</v>
      </c>
      <c r="N664">
        <v>0</v>
      </c>
      <c r="O664">
        <v>0</v>
      </c>
      <c r="P664">
        <v>0</v>
      </c>
      <c r="Q664">
        <v>0</v>
      </c>
      <c r="R664">
        <v>0</v>
      </c>
      <c r="S664">
        <v>0</v>
      </c>
      <c r="T664">
        <v>0</v>
      </c>
      <c r="U664">
        <v>0</v>
      </c>
      <c r="V664">
        <v>0</v>
      </c>
      <c r="W664">
        <v>0</v>
      </c>
      <c r="X664">
        <v>0</v>
      </c>
      <c r="Y664">
        <v>0</v>
      </c>
      <c r="Z664">
        <v>0</v>
      </c>
      <c r="AA664">
        <v>0</v>
      </c>
      <c r="AB664">
        <v>0</v>
      </c>
      <c r="AC664">
        <v>0</v>
      </c>
      <c r="AD664">
        <v>0</v>
      </c>
      <c r="AE664">
        <v>0</v>
      </c>
      <c r="AF664">
        <v>0</v>
      </c>
      <c r="AG664">
        <v>0</v>
      </c>
      <c r="AH664">
        <v>0</v>
      </c>
      <c r="AI664">
        <v>0</v>
      </c>
      <c r="AJ664">
        <v>0</v>
      </c>
      <c r="AK664">
        <v>0</v>
      </c>
      <c r="AL664">
        <v>0</v>
      </c>
      <c r="AM664">
        <v>0</v>
      </c>
      <c r="AN664">
        <v>0</v>
      </c>
      <c r="AO664">
        <v>0</v>
      </c>
      <c r="AP664">
        <v>0</v>
      </c>
      <c r="AQ664">
        <v>0</v>
      </c>
      <c r="AR664">
        <v>0</v>
      </c>
      <c r="AS664">
        <v>0</v>
      </c>
      <c r="AT664">
        <v>0</v>
      </c>
      <c r="AU664">
        <v>0</v>
      </c>
      <c r="AV664">
        <v>0</v>
      </c>
      <c r="AW664">
        <v>0</v>
      </c>
      <c r="AX664">
        <v>0</v>
      </c>
      <c r="AY664">
        <v>0</v>
      </c>
      <c r="AZ664">
        <v>0</v>
      </c>
      <c r="BA664">
        <v>0</v>
      </c>
      <c r="BB664">
        <v>0</v>
      </c>
      <c r="BC664">
        <v>0</v>
      </c>
      <c r="BD664">
        <v>0</v>
      </c>
      <c r="BE664">
        <v>0</v>
      </c>
      <c r="BF664">
        <v>0</v>
      </c>
      <c r="BG664">
        <v>0</v>
      </c>
      <c r="BH664">
        <v>0</v>
      </c>
      <c r="BI664">
        <v>0</v>
      </c>
      <c r="BJ664">
        <v>0</v>
      </c>
      <c r="BK664">
        <v>0</v>
      </c>
    </row>
    <row r="665" spans="3:63">
      <c r="C665" s="145" t="s">
        <v>972</v>
      </c>
      <c r="D665">
        <v>0</v>
      </c>
      <c r="E665">
        <v>0</v>
      </c>
      <c r="F665">
        <v>0</v>
      </c>
      <c r="G665">
        <v>1</v>
      </c>
      <c r="H665">
        <v>0</v>
      </c>
      <c r="I665">
        <v>0</v>
      </c>
      <c r="J665">
        <v>0</v>
      </c>
      <c r="K665">
        <v>0</v>
      </c>
      <c r="L665">
        <v>0</v>
      </c>
      <c r="M665">
        <v>0</v>
      </c>
      <c r="N665">
        <v>0</v>
      </c>
      <c r="O665">
        <v>1</v>
      </c>
      <c r="P665">
        <v>0</v>
      </c>
      <c r="Q665">
        <v>0</v>
      </c>
      <c r="R665">
        <v>0</v>
      </c>
      <c r="S665">
        <v>0</v>
      </c>
      <c r="T665">
        <v>0</v>
      </c>
      <c r="U665">
        <v>0</v>
      </c>
      <c r="V665">
        <v>0</v>
      </c>
      <c r="W665">
        <v>0</v>
      </c>
      <c r="X665">
        <v>0</v>
      </c>
      <c r="Y665">
        <v>0</v>
      </c>
      <c r="Z665">
        <v>0</v>
      </c>
      <c r="AA665">
        <v>0</v>
      </c>
      <c r="AB665">
        <v>0</v>
      </c>
      <c r="AC665">
        <v>0</v>
      </c>
      <c r="AD665">
        <v>0</v>
      </c>
      <c r="AE665">
        <v>0</v>
      </c>
      <c r="AF665">
        <v>0</v>
      </c>
      <c r="AG665">
        <v>0</v>
      </c>
      <c r="AH665">
        <v>0</v>
      </c>
      <c r="AI665">
        <v>0</v>
      </c>
      <c r="AJ665">
        <v>0</v>
      </c>
      <c r="AK665">
        <v>0</v>
      </c>
      <c r="AL665">
        <v>0</v>
      </c>
      <c r="AM665">
        <v>0</v>
      </c>
      <c r="AN665">
        <v>0</v>
      </c>
      <c r="AO665">
        <v>0</v>
      </c>
      <c r="AP665">
        <v>0</v>
      </c>
      <c r="AQ665">
        <v>0</v>
      </c>
      <c r="AR665">
        <v>0</v>
      </c>
      <c r="AS665">
        <v>0</v>
      </c>
      <c r="AT665">
        <v>0</v>
      </c>
      <c r="AU665">
        <v>0</v>
      </c>
      <c r="AV665">
        <v>0</v>
      </c>
      <c r="AW665">
        <v>0</v>
      </c>
      <c r="AX665">
        <v>0</v>
      </c>
      <c r="AY665">
        <v>0</v>
      </c>
      <c r="AZ665">
        <v>0</v>
      </c>
      <c r="BA665">
        <v>0</v>
      </c>
      <c r="BB665">
        <v>0</v>
      </c>
      <c r="BC665">
        <v>0</v>
      </c>
      <c r="BD665">
        <v>0</v>
      </c>
      <c r="BE665">
        <v>0</v>
      </c>
      <c r="BF665">
        <v>0</v>
      </c>
      <c r="BG665">
        <v>0</v>
      </c>
      <c r="BH665">
        <v>0</v>
      </c>
      <c r="BI665">
        <v>0</v>
      </c>
      <c r="BJ665">
        <v>0</v>
      </c>
      <c r="BK665">
        <v>0</v>
      </c>
    </row>
    <row r="666" spans="3:63">
      <c r="C666" s="145" t="s">
        <v>47</v>
      </c>
      <c r="D666">
        <v>0</v>
      </c>
      <c r="E666">
        <v>1</v>
      </c>
      <c r="F666">
        <v>0</v>
      </c>
      <c r="G666">
        <v>0</v>
      </c>
      <c r="H666">
        <v>0</v>
      </c>
      <c r="I666">
        <v>0</v>
      </c>
      <c r="J666">
        <v>0</v>
      </c>
      <c r="K666">
        <v>0</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v>0</v>
      </c>
      <c r="AF666">
        <v>0</v>
      </c>
      <c r="AG666">
        <v>0</v>
      </c>
      <c r="AH666">
        <v>0</v>
      </c>
      <c r="AI666">
        <v>0</v>
      </c>
      <c r="AJ666">
        <v>0</v>
      </c>
      <c r="AK666">
        <v>0</v>
      </c>
      <c r="AL666">
        <v>0</v>
      </c>
      <c r="AM666">
        <v>0</v>
      </c>
      <c r="AN666">
        <v>0</v>
      </c>
      <c r="AO666">
        <v>0</v>
      </c>
      <c r="AP666">
        <v>0</v>
      </c>
      <c r="AQ666">
        <v>0</v>
      </c>
      <c r="AR666">
        <v>0</v>
      </c>
      <c r="AS666">
        <v>0</v>
      </c>
      <c r="AT666">
        <v>0</v>
      </c>
      <c r="AU666">
        <v>0</v>
      </c>
      <c r="AV666">
        <v>0</v>
      </c>
      <c r="AW666">
        <v>0</v>
      </c>
      <c r="AX666">
        <v>0</v>
      </c>
      <c r="AY666">
        <v>0</v>
      </c>
      <c r="AZ666">
        <v>0</v>
      </c>
      <c r="BA666">
        <v>0</v>
      </c>
      <c r="BB666">
        <v>0</v>
      </c>
      <c r="BC666">
        <v>0</v>
      </c>
      <c r="BD666">
        <v>0</v>
      </c>
      <c r="BE666">
        <v>0</v>
      </c>
      <c r="BF666">
        <v>0</v>
      </c>
      <c r="BG666">
        <v>0</v>
      </c>
      <c r="BH666">
        <v>0</v>
      </c>
      <c r="BI666">
        <v>0</v>
      </c>
      <c r="BJ666">
        <v>0</v>
      </c>
      <c r="BK666">
        <v>0</v>
      </c>
    </row>
    <row r="667" spans="3:63">
      <c r="C667" s="145" t="s">
        <v>909</v>
      </c>
      <c r="D667">
        <v>0</v>
      </c>
      <c r="E667">
        <v>0</v>
      </c>
      <c r="F667">
        <v>0</v>
      </c>
      <c r="G667">
        <v>0</v>
      </c>
      <c r="H667">
        <v>0</v>
      </c>
      <c r="I667">
        <v>1</v>
      </c>
      <c r="J667">
        <v>0</v>
      </c>
      <c r="K667">
        <v>0</v>
      </c>
      <c r="L667">
        <v>0</v>
      </c>
      <c r="M667">
        <v>0</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0</v>
      </c>
      <c r="AH667">
        <v>0</v>
      </c>
      <c r="AI667">
        <v>0</v>
      </c>
      <c r="AJ667">
        <v>0</v>
      </c>
      <c r="AK667">
        <v>0</v>
      </c>
      <c r="AL667">
        <v>0</v>
      </c>
      <c r="AM667">
        <v>0</v>
      </c>
      <c r="AN667">
        <v>0</v>
      </c>
      <c r="AO667">
        <v>0</v>
      </c>
      <c r="AP667">
        <v>0</v>
      </c>
      <c r="AQ667">
        <v>0</v>
      </c>
      <c r="AR667">
        <v>0</v>
      </c>
      <c r="AS667">
        <v>0</v>
      </c>
      <c r="AT667">
        <v>0</v>
      </c>
      <c r="AU667">
        <v>0</v>
      </c>
      <c r="AV667">
        <v>0</v>
      </c>
      <c r="AW667">
        <v>0</v>
      </c>
      <c r="AX667">
        <v>0</v>
      </c>
      <c r="AY667">
        <v>0</v>
      </c>
      <c r="AZ667">
        <v>0</v>
      </c>
      <c r="BA667">
        <v>0</v>
      </c>
      <c r="BB667">
        <v>0</v>
      </c>
      <c r="BC667">
        <v>0</v>
      </c>
      <c r="BD667">
        <v>0</v>
      </c>
      <c r="BE667">
        <v>0</v>
      </c>
      <c r="BF667">
        <v>0</v>
      </c>
      <c r="BG667">
        <v>0</v>
      </c>
      <c r="BH667">
        <v>0</v>
      </c>
      <c r="BI667">
        <v>0</v>
      </c>
      <c r="BJ667">
        <v>0</v>
      </c>
      <c r="BK667">
        <v>0</v>
      </c>
    </row>
    <row r="668" spans="3:63">
      <c r="C668" s="145" t="s">
        <v>51</v>
      </c>
      <c r="D668">
        <v>0</v>
      </c>
      <c r="E668">
        <v>0</v>
      </c>
      <c r="F668">
        <v>0</v>
      </c>
      <c r="G668">
        <v>0</v>
      </c>
      <c r="H668">
        <v>0</v>
      </c>
      <c r="I668">
        <v>0</v>
      </c>
      <c r="J668">
        <v>0</v>
      </c>
      <c r="K668">
        <v>1</v>
      </c>
      <c r="L668">
        <v>0</v>
      </c>
      <c r="M668">
        <v>0</v>
      </c>
      <c r="N668">
        <v>0</v>
      </c>
      <c r="O668">
        <v>0</v>
      </c>
      <c r="P668">
        <v>0</v>
      </c>
      <c r="Q668">
        <v>0</v>
      </c>
      <c r="R668">
        <v>0</v>
      </c>
      <c r="S668">
        <v>0</v>
      </c>
      <c r="T668">
        <v>0</v>
      </c>
      <c r="U668">
        <v>0</v>
      </c>
      <c r="V668">
        <v>0</v>
      </c>
      <c r="W668">
        <v>0</v>
      </c>
      <c r="X668">
        <v>0</v>
      </c>
      <c r="Y668">
        <v>0</v>
      </c>
      <c r="Z668">
        <v>0</v>
      </c>
      <c r="AA668">
        <v>0</v>
      </c>
      <c r="AB668">
        <v>0</v>
      </c>
      <c r="AC668">
        <v>0</v>
      </c>
      <c r="AD668">
        <v>0</v>
      </c>
      <c r="AE668">
        <v>0</v>
      </c>
      <c r="AF668">
        <v>0</v>
      </c>
      <c r="AG668">
        <v>0</v>
      </c>
      <c r="AH668">
        <v>0</v>
      </c>
      <c r="AI668">
        <v>0</v>
      </c>
      <c r="AJ668">
        <v>0</v>
      </c>
      <c r="AK668">
        <v>0</v>
      </c>
      <c r="AL668">
        <v>0</v>
      </c>
      <c r="AM668">
        <v>0</v>
      </c>
      <c r="AN668">
        <v>0</v>
      </c>
      <c r="AO668">
        <v>0</v>
      </c>
      <c r="AP668">
        <v>0</v>
      </c>
      <c r="AQ668">
        <v>0</v>
      </c>
      <c r="AR668">
        <v>0</v>
      </c>
      <c r="AS668">
        <v>0</v>
      </c>
      <c r="AT668">
        <v>0</v>
      </c>
      <c r="AU668">
        <v>0</v>
      </c>
      <c r="AV668">
        <v>0</v>
      </c>
      <c r="AW668">
        <v>0</v>
      </c>
      <c r="AX668">
        <v>0</v>
      </c>
      <c r="AY668">
        <v>0</v>
      </c>
      <c r="AZ668">
        <v>0</v>
      </c>
      <c r="BA668">
        <v>0</v>
      </c>
      <c r="BB668">
        <v>0</v>
      </c>
      <c r="BC668">
        <v>0</v>
      </c>
      <c r="BD668">
        <v>0</v>
      </c>
      <c r="BE668">
        <v>0</v>
      </c>
      <c r="BF668">
        <v>0</v>
      </c>
      <c r="BG668">
        <v>0</v>
      </c>
      <c r="BH668">
        <v>0</v>
      </c>
      <c r="BI668">
        <v>0</v>
      </c>
      <c r="BJ668">
        <v>0</v>
      </c>
      <c r="BK668">
        <v>0</v>
      </c>
    </row>
    <row r="669" spans="3:63">
      <c r="C669" s="145" t="s">
        <v>40</v>
      </c>
      <c r="D669">
        <v>1</v>
      </c>
      <c r="E669">
        <v>1</v>
      </c>
      <c r="F669">
        <v>0</v>
      </c>
      <c r="G669">
        <v>0</v>
      </c>
      <c r="H669">
        <v>0</v>
      </c>
      <c r="I669">
        <v>0</v>
      </c>
      <c r="J669">
        <v>0</v>
      </c>
      <c r="K669">
        <v>0</v>
      </c>
      <c r="L669">
        <v>0</v>
      </c>
      <c r="M669">
        <v>0</v>
      </c>
      <c r="N669">
        <v>0</v>
      </c>
      <c r="O669">
        <v>1</v>
      </c>
      <c r="P669">
        <v>0</v>
      </c>
      <c r="Q669">
        <v>0</v>
      </c>
      <c r="R669">
        <v>0</v>
      </c>
      <c r="S669">
        <v>0</v>
      </c>
      <c r="T669">
        <v>0</v>
      </c>
      <c r="U669">
        <v>0</v>
      </c>
      <c r="V669">
        <v>0</v>
      </c>
      <c r="W669">
        <v>0</v>
      </c>
      <c r="X669">
        <v>0</v>
      </c>
      <c r="Y669">
        <v>0</v>
      </c>
      <c r="Z669">
        <v>0</v>
      </c>
      <c r="AA669">
        <v>0</v>
      </c>
      <c r="AB669">
        <v>0</v>
      </c>
      <c r="AC669">
        <v>0</v>
      </c>
      <c r="AD669">
        <v>0</v>
      </c>
      <c r="AE669">
        <v>0</v>
      </c>
      <c r="AF669">
        <v>0</v>
      </c>
      <c r="AG669">
        <v>0</v>
      </c>
      <c r="AH669">
        <v>0</v>
      </c>
      <c r="AI669">
        <v>0</v>
      </c>
      <c r="AJ669">
        <v>0</v>
      </c>
      <c r="AK669">
        <v>0</v>
      </c>
      <c r="AL669">
        <v>0</v>
      </c>
      <c r="AM669">
        <v>0</v>
      </c>
      <c r="AN669">
        <v>0</v>
      </c>
      <c r="AO669">
        <v>0</v>
      </c>
      <c r="AP669">
        <v>0</v>
      </c>
      <c r="AQ669">
        <v>0</v>
      </c>
      <c r="AR669">
        <v>0</v>
      </c>
      <c r="AS669">
        <v>0</v>
      </c>
      <c r="AT669">
        <v>0</v>
      </c>
      <c r="AU669">
        <v>0</v>
      </c>
      <c r="AV669">
        <v>0</v>
      </c>
      <c r="AW669">
        <v>0</v>
      </c>
      <c r="AX669">
        <v>0</v>
      </c>
      <c r="AY669">
        <v>0</v>
      </c>
      <c r="AZ669">
        <v>0</v>
      </c>
      <c r="BA669">
        <v>0</v>
      </c>
      <c r="BB669">
        <v>0</v>
      </c>
      <c r="BC669">
        <v>0</v>
      </c>
      <c r="BD669">
        <v>0</v>
      </c>
      <c r="BE669">
        <v>0</v>
      </c>
      <c r="BF669">
        <v>0</v>
      </c>
      <c r="BG669">
        <v>0</v>
      </c>
      <c r="BH669">
        <v>0</v>
      </c>
      <c r="BI669">
        <v>0</v>
      </c>
      <c r="BJ669">
        <v>0</v>
      </c>
      <c r="BK669">
        <v>0</v>
      </c>
    </row>
    <row r="670" spans="3:63">
      <c r="C670" s="145" t="s">
        <v>33</v>
      </c>
      <c r="D670">
        <v>1</v>
      </c>
      <c r="E670">
        <v>1</v>
      </c>
      <c r="F670">
        <v>0</v>
      </c>
      <c r="G670">
        <v>0</v>
      </c>
      <c r="H670">
        <v>0</v>
      </c>
      <c r="I670">
        <v>0</v>
      </c>
      <c r="J670">
        <v>0</v>
      </c>
      <c r="K670">
        <v>0</v>
      </c>
      <c r="L670">
        <v>1</v>
      </c>
      <c r="M670">
        <v>0</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0</v>
      </c>
      <c r="AL670">
        <v>0</v>
      </c>
      <c r="AM670">
        <v>0</v>
      </c>
      <c r="AN670">
        <v>0</v>
      </c>
      <c r="AO670">
        <v>0</v>
      </c>
      <c r="AP670">
        <v>0</v>
      </c>
      <c r="AQ670">
        <v>0</v>
      </c>
      <c r="AR670">
        <v>0</v>
      </c>
      <c r="AS670">
        <v>0</v>
      </c>
      <c r="AT670">
        <v>0</v>
      </c>
      <c r="AU670">
        <v>0</v>
      </c>
      <c r="AV670">
        <v>0</v>
      </c>
      <c r="AW670">
        <v>0</v>
      </c>
      <c r="AX670">
        <v>0</v>
      </c>
      <c r="AY670">
        <v>0</v>
      </c>
      <c r="AZ670">
        <v>0</v>
      </c>
      <c r="BA670">
        <v>0</v>
      </c>
      <c r="BB670">
        <v>0</v>
      </c>
      <c r="BC670">
        <v>0</v>
      </c>
      <c r="BD670">
        <v>0</v>
      </c>
      <c r="BE670">
        <v>0</v>
      </c>
      <c r="BF670">
        <v>0</v>
      </c>
      <c r="BG670">
        <v>0</v>
      </c>
      <c r="BH670">
        <v>0</v>
      </c>
      <c r="BI670">
        <v>0</v>
      </c>
      <c r="BJ670">
        <v>0</v>
      </c>
      <c r="BK670">
        <v>0</v>
      </c>
    </row>
    <row r="671" spans="3:63">
      <c r="C671" s="145" t="s">
        <v>25</v>
      </c>
      <c r="D671">
        <v>0</v>
      </c>
      <c r="E671">
        <v>0</v>
      </c>
      <c r="F671">
        <v>0</v>
      </c>
      <c r="G671">
        <v>0</v>
      </c>
      <c r="H671">
        <v>0</v>
      </c>
      <c r="I671">
        <v>0</v>
      </c>
      <c r="J671">
        <v>0</v>
      </c>
      <c r="K671">
        <v>0</v>
      </c>
      <c r="L671">
        <v>0</v>
      </c>
      <c r="M671">
        <v>1</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0</v>
      </c>
      <c r="AL671">
        <v>0</v>
      </c>
      <c r="AM671">
        <v>0</v>
      </c>
      <c r="AN671">
        <v>0</v>
      </c>
      <c r="AO671">
        <v>0</v>
      </c>
      <c r="AP671">
        <v>0</v>
      </c>
      <c r="AQ671">
        <v>0</v>
      </c>
      <c r="AR671">
        <v>0</v>
      </c>
      <c r="AS671">
        <v>0</v>
      </c>
      <c r="AT671">
        <v>0</v>
      </c>
      <c r="AU671">
        <v>0</v>
      </c>
      <c r="AV671">
        <v>0</v>
      </c>
      <c r="AW671">
        <v>0</v>
      </c>
      <c r="AX671">
        <v>0</v>
      </c>
      <c r="AY671">
        <v>0</v>
      </c>
      <c r="AZ671">
        <v>0</v>
      </c>
      <c r="BA671">
        <v>0</v>
      </c>
      <c r="BB671">
        <v>0</v>
      </c>
      <c r="BC671">
        <v>0</v>
      </c>
      <c r="BD671">
        <v>0</v>
      </c>
      <c r="BE671">
        <v>0</v>
      </c>
      <c r="BF671">
        <v>0</v>
      </c>
      <c r="BG671">
        <v>0</v>
      </c>
      <c r="BH671">
        <v>0</v>
      </c>
      <c r="BI671">
        <v>0</v>
      </c>
      <c r="BJ671">
        <v>0</v>
      </c>
      <c r="BK671">
        <v>0</v>
      </c>
    </row>
    <row r="672" spans="3:63">
      <c r="C672" s="145" t="s">
        <v>27</v>
      </c>
      <c r="D672">
        <v>0</v>
      </c>
      <c r="E672">
        <v>0</v>
      </c>
      <c r="F672">
        <v>0</v>
      </c>
      <c r="G672">
        <v>0</v>
      </c>
      <c r="H672">
        <v>0</v>
      </c>
      <c r="I672">
        <v>0</v>
      </c>
      <c r="J672">
        <v>0</v>
      </c>
      <c r="K672">
        <v>0</v>
      </c>
      <c r="L672">
        <v>1</v>
      </c>
      <c r="M672">
        <v>0</v>
      </c>
      <c r="N672">
        <v>0</v>
      </c>
      <c r="O672">
        <v>0</v>
      </c>
      <c r="P672">
        <v>0</v>
      </c>
      <c r="Q672">
        <v>0</v>
      </c>
      <c r="R672">
        <v>0</v>
      </c>
      <c r="S672">
        <v>0</v>
      </c>
      <c r="T672">
        <v>0</v>
      </c>
      <c r="U672">
        <v>0</v>
      </c>
      <c r="V672">
        <v>0</v>
      </c>
      <c r="W672">
        <v>0</v>
      </c>
      <c r="X672">
        <v>0</v>
      </c>
      <c r="Y672">
        <v>0</v>
      </c>
      <c r="Z672">
        <v>0</v>
      </c>
      <c r="AA672">
        <v>0</v>
      </c>
      <c r="AB672">
        <v>0</v>
      </c>
      <c r="AC672">
        <v>0</v>
      </c>
      <c r="AD672">
        <v>0</v>
      </c>
      <c r="AE672">
        <v>0</v>
      </c>
      <c r="AF672">
        <v>0</v>
      </c>
      <c r="AG672">
        <v>0</v>
      </c>
      <c r="AH672">
        <v>0</v>
      </c>
      <c r="AI672">
        <v>0</v>
      </c>
      <c r="AJ672">
        <v>0</v>
      </c>
      <c r="AK672">
        <v>0</v>
      </c>
      <c r="AL672">
        <v>0</v>
      </c>
      <c r="AM672">
        <v>0</v>
      </c>
      <c r="AN672">
        <v>0</v>
      </c>
      <c r="AO672">
        <v>0</v>
      </c>
      <c r="AP672">
        <v>0</v>
      </c>
      <c r="AQ672">
        <v>0</v>
      </c>
      <c r="AR672">
        <v>0</v>
      </c>
      <c r="AS672">
        <v>0</v>
      </c>
      <c r="AT672">
        <v>0</v>
      </c>
      <c r="AU672">
        <v>0</v>
      </c>
      <c r="AV672">
        <v>0</v>
      </c>
      <c r="AW672">
        <v>0</v>
      </c>
      <c r="AX672">
        <v>0</v>
      </c>
      <c r="AY672">
        <v>0</v>
      </c>
      <c r="AZ672">
        <v>0</v>
      </c>
      <c r="BA672">
        <v>0</v>
      </c>
      <c r="BB672">
        <v>0</v>
      </c>
      <c r="BC672">
        <v>0</v>
      </c>
      <c r="BD672">
        <v>0</v>
      </c>
      <c r="BE672">
        <v>0</v>
      </c>
      <c r="BF672">
        <v>0</v>
      </c>
      <c r="BG672">
        <v>0</v>
      </c>
      <c r="BH672">
        <v>0</v>
      </c>
      <c r="BI672">
        <v>0</v>
      </c>
      <c r="BJ672">
        <v>0</v>
      </c>
      <c r="BK672">
        <v>0</v>
      </c>
    </row>
    <row r="673" spans="3:63">
      <c r="C673" s="145" t="s">
        <v>39</v>
      </c>
      <c r="D673">
        <v>0</v>
      </c>
      <c r="E673">
        <v>0</v>
      </c>
      <c r="F673">
        <v>0</v>
      </c>
      <c r="G673">
        <v>1</v>
      </c>
      <c r="H673">
        <v>0</v>
      </c>
      <c r="I673">
        <v>0</v>
      </c>
      <c r="J673">
        <v>0</v>
      </c>
      <c r="K673">
        <v>0</v>
      </c>
      <c r="L673">
        <v>0</v>
      </c>
      <c r="M673">
        <v>0</v>
      </c>
      <c r="N673">
        <v>0</v>
      </c>
      <c r="O673">
        <v>0</v>
      </c>
      <c r="P673">
        <v>0</v>
      </c>
      <c r="Q673">
        <v>0</v>
      </c>
      <c r="R673">
        <v>0</v>
      </c>
      <c r="S673">
        <v>0</v>
      </c>
      <c r="T673">
        <v>0</v>
      </c>
      <c r="U673">
        <v>0</v>
      </c>
      <c r="V673">
        <v>0</v>
      </c>
      <c r="W673">
        <v>0</v>
      </c>
      <c r="X673">
        <v>0</v>
      </c>
      <c r="Y673">
        <v>0</v>
      </c>
      <c r="Z673">
        <v>0</v>
      </c>
      <c r="AA673">
        <v>0</v>
      </c>
      <c r="AB673">
        <v>0</v>
      </c>
      <c r="AC673">
        <v>0</v>
      </c>
      <c r="AD673">
        <v>0</v>
      </c>
      <c r="AE673">
        <v>0</v>
      </c>
      <c r="AF673">
        <v>0</v>
      </c>
      <c r="AG673">
        <v>0</v>
      </c>
      <c r="AH673">
        <v>0</v>
      </c>
      <c r="AI673">
        <v>0</v>
      </c>
      <c r="AJ673">
        <v>0</v>
      </c>
      <c r="AK673">
        <v>0</v>
      </c>
      <c r="AL673">
        <v>0</v>
      </c>
      <c r="AM673">
        <v>0</v>
      </c>
      <c r="AN673">
        <v>0</v>
      </c>
      <c r="AO673">
        <v>0</v>
      </c>
      <c r="AP673">
        <v>0</v>
      </c>
      <c r="AQ673">
        <v>0</v>
      </c>
      <c r="AR673">
        <v>0</v>
      </c>
      <c r="AS673">
        <v>0</v>
      </c>
      <c r="AT673">
        <v>0</v>
      </c>
      <c r="AU673">
        <v>0</v>
      </c>
      <c r="AV673">
        <v>0</v>
      </c>
      <c r="AW673">
        <v>0</v>
      </c>
      <c r="AX673">
        <v>0</v>
      </c>
      <c r="AY673">
        <v>0</v>
      </c>
      <c r="AZ673">
        <v>0</v>
      </c>
      <c r="BA673">
        <v>0</v>
      </c>
      <c r="BB673">
        <v>0</v>
      </c>
      <c r="BC673">
        <v>0</v>
      </c>
      <c r="BD673">
        <v>0</v>
      </c>
      <c r="BE673">
        <v>0</v>
      </c>
      <c r="BF673">
        <v>0</v>
      </c>
      <c r="BG673">
        <v>0</v>
      </c>
      <c r="BH673">
        <v>0</v>
      </c>
      <c r="BI673">
        <v>0</v>
      </c>
      <c r="BJ673">
        <v>0</v>
      </c>
      <c r="BK673">
        <v>0</v>
      </c>
    </row>
    <row r="674" spans="3:63">
      <c r="C674" s="145" t="s">
        <v>51</v>
      </c>
      <c r="D674">
        <v>0</v>
      </c>
      <c r="E674">
        <v>0</v>
      </c>
      <c r="F674">
        <v>0</v>
      </c>
      <c r="G674">
        <v>0</v>
      </c>
      <c r="H674">
        <v>0</v>
      </c>
      <c r="I674">
        <v>0</v>
      </c>
      <c r="J674">
        <v>0</v>
      </c>
      <c r="K674">
        <v>1</v>
      </c>
      <c r="L674">
        <v>0</v>
      </c>
      <c r="M674">
        <v>0</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0</v>
      </c>
      <c r="AL674">
        <v>0</v>
      </c>
      <c r="AM674">
        <v>0</v>
      </c>
      <c r="AN674">
        <v>0</v>
      </c>
      <c r="AO674">
        <v>0</v>
      </c>
      <c r="AP674">
        <v>0</v>
      </c>
      <c r="AQ674">
        <v>0</v>
      </c>
      <c r="AR674">
        <v>0</v>
      </c>
      <c r="AS674">
        <v>0</v>
      </c>
      <c r="AT674">
        <v>0</v>
      </c>
      <c r="AU674">
        <v>0</v>
      </c>
      <c r="AV674">
        <v>0</v>
      </c>
      <c r="AW674">
        <v>0</v>
      </c>
      <c r="AX674">
        <v>0</v>
      </c>
      <c r="AY674">
        <v>0</v>
      </c>
      <c r="AZ674">
        <v>0</v>
      </c>
      <c r="BA674">
        <v>0</v>
      </c>
      <c r="BB674">
        <v>0</v>
      </c>
      <c r="BC674">
        <v>0</v>
      </c>
      <c r="BD674">
        <v>0</v>
      </c>
      <c r="BE674">
        <v>0</v>
      </c>
      <c r="BF674">
        <v>0</v>
      </c>
      <c r="BG674">
        <v>0</v>
      </c>
      <c r="BH674">
        <v>0</v>
      </c>
      <c r="BI674">
        <v>0</v>
      </c>
      <c r="BJ674">
        <v>0</v>
      </c>
      <c r="BK674">
        <v>0</v>
      </c>
    </row>
    <row r="675" spans="3:63">
      <c r="C675" s="145" t="s">
        <v>36</v>
      </c>
      <c r="D675">
        <v>0</v>
      </c>
      <c r="E675">
        <v>0</v>
      </c>
      <c r="F675">
        <v>0</v>
      </c>
      <c r="G675">
        <v>0</v>
      </c>
      <c r="H675">
        <v>1</v>
      </c>
      <c r="I675">
        <v>0</v>
      </c>
      <c r="J675">
        <v>0</v>
      </c>
      <c r="K675">
        <v>0</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v>0</v>
      </c>
      <c r="AF675">
        <v>0</v>
      </c>
      <c r="AG675">
        <v>0</v>
      </c>
      <c r="AH675">
        <v>0</v>
      </c>
      <c r="AI675">
        <v>0</v>
      </c>
      <c r="AJ675">
        <v>0</v>
      </c>
      <c r="AK675">
        <v>0</v>
      </c>
      <c r="AL675">
        <v>0</v>
      </c>
      <c r="AM675">
        <v>0</v>
      </c>
      <c r="AN675">
        <v>0</v>
      </c>
      <c r="AO675">
        <v>0</v>
      </c>
      <c r="AP675">
        <v>0</v>
      </c>
      <c r="AQ675">
        <v>0</v>
      </c>
      <c r="AR675">
        <v>0</v>
      </c>
      <c r="AS675">
        <v>0</v>
      </c>
      <c r="AT675">
        <v>0</v>
      </c>
      <c r="AU675">
        <v>0</v>
      </c>
      <c r="AV675">
        <v>0</v>
      </c>
      <c r="AW675">
        <v>0</v>
      </c>
      <c r="AX675">
        <v>0</v>
      </c>
      <c r="AY675">
        <v>0</v>
      </c>
      <c r="AZ675">
        <v>0</v>
      </c>
      <c r="BA675">
        <v>0</v>
      </c>
      <c r="BB675">
        <v>0</v>
      </c>
      <c r="BC675">
        <v>0</v>
      </c>
      <c r="BD675">
        <v>0</v>
      </c>
      <c r="BE675">
        <v>0</v>
      </c>
      <c r="BF675">
        <v>0</v>
      </c>
      <c r="BG675">
        <v>0</v>
      </c>
      <c r="BH675">
        <v>0</v>
      </c>
      <c r="BI675">
        <v>0</v>
      </c>
      <c r="BJ675">
        <v>0</v>
      </c>
      <c r="BK675">
        <v>0</v>
      </c>
    </row>
    <row r="676" spans="3:63">
      <c r="C676" s="145" t="s">
        <v>26</v>
      </c>
      <c r="D676">
        <v>1</v>
      </c>
      <c r="E676">
        <v>0</v>
      </c>
      <c r="F676">
        <v>0</v>
      </c>
      <c r="G676">
        <v>0</v>
      </c>
      <c r="H676">
        <v>0</v>
      </c>
      <c r="I676">
        <v>0</v>
      </c>
      <c r="J676">
        <v>0</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0</v>
      </c>
      <c r="AF676">
        <v>0</v>
      </c>
      <c r="AG676">
        <v>0</v>
      </c>
      <c r="AH676">
        <v>0</v>
      </c>
      <c r="AI676">
        <v>0</v>
      </c>
      <c r="AJ676">
        <v>0</v>
      </c>
      <c r="AK676">
        <v>0</v>
      </c>
      <c r="AL676">
        <v>0</v>
      </c>
      <c r="AM676">
        <v>0</v>
      </c>
      <c r="AN676">
        <v>0</v>
      </c>
      <c r="AO676">
        <v>0</v>
      </c>
      <c r="AP676">
        <v>0</v>
      </c>
      <c r="AQ676">
        <v>0</v>
      </c>
      <c r="AR676">
        <v>0</v>
      </c>
      <c r="AS676">
        <v>0</v>
      </c>
      <c r="AT676">
        <v>0</v>
      </c>
      <c r="AU676">
        <v>0</v>
      </c>
      <c r="AV676">
        <v>0</v>
      </c>
      <c r="AW676">
        <v>0</v>
      </c>
      <c r="AX676">
        <v>0</v>
      </c>
      <c r="AY676">
        <v>0</v>
      </c>
      <c r="AZ676">
        <v>0</v>
      </c>
      <c r="BA676">
        <v>0</v>
      </c>
      <c r="BB676">
        <v>0</v>
      </c>
      <c r="BC676">
        <v>0</v>
      </c>
      <c r="BD676">
        <v>0</v>
      </c>
      <c r="BE676">
        <v>0</v>
      </c>
      <c r="BF676">
        <v>0</v>
      </c>
      <c r="BG676">
        <v>0</v>
      </c>
      <c r="BH676">
        <v>0</v>
      </c>
      <c r="BI676">
        <v>0</v>
      </c>
      <c r="BJ676">
        <v>0</v>
      </c>
      <c r="BK676">
        <v>0</v>
      </c>
    </row>
    <row r="677" spans="3:63">
      <c r="C677" s="145" t="s">
        <v>36</v>
      </c>
      <c r="D677">
        <v>0</v>
      </c>
      <c r="E677">
        <v>0</v>
      </c>
      <c r="F677">
        <v>0</v>
      </c>
      <c r="G677">
        <v>0</v>
      </c>
      <c r="H677">
        <v>1</v>
      </c>
      <c r="I677">
        <v>0</v>
      </c>
      <c r="J677">
        <v>0</v>
      </c>
      <c r="K677">
        <v>0</v>
      </c>
      <c r="L677">
        <v>0</v>
      </c>
      <c r="M677">
        <v>0</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v>0</v>
      </c>
      <c r="AN677">
        <v>0</v>
      </c>
      <c r="AO677">
        <v>0</v>
      </c>
      <c r="AP677">
        <v>0</v>
      </c>
      <c r="AQ677">
        <v>0</v>
      </c>
      <c r="AR677">
        <v>0</v>
      </c>
      <c r="AS677">
        <v>0</v>
      </c>
      <c r="AT677">
        <v>0</v>
      </c>
      <c r="AU677">
        <v>0</v>
      </c>
      <c r="AV677">
        <v>0</v>
      </c>
      <c r="AW677">
        <v>0</v>
      </c>
      <c r="AX677">
        <v>0</v>
      </c>
      <c r="AY677">
        <v>0</v>
      </c>
      <c r="AZ677">
        <v>0</v>
      </c>
      <c r="BA677">
        <v>0</v>
      </c>
      <c r="BB677">
        <v>0</v>
      </c>
      <c r="BC677">
        <v>0</v>
      </c>
      <c r="BD677">
        <v>0</v>
      </c>
      <c r="BE677">
        <v>0</v>
      </c>
      <c r="BF677">
        <v>0</v>
      </c>
      <c r="BG677">
        <v>0</v>
      </c>
      <c r="BH677">
        <v>0</v>
      </c>
      <c r="BI677">
        <v>0</v>
      </c>
      <c r="BJ677">
        <v>0</v>
      </c>
      <c r="BK677">
        <v>0</v>
      </c>
    </row>
    <row r="678" spans="3:63">
      <c r="C678" s="145" t="s">
        <v>47</v>
      </c>
      <c r="D678">
        <v>0</v>
      </c>
      <c r="E678">
        <v>1</v>
      </c>
      <c r="F678">
        <v>0</v>
      </c>
      <c r="G678">
        <v>0</v>
      </c>
      <c r="H678">
        <v>0</v>
      </c>
      <c r="I678">
        <v>0</v>
      </c>
      <c r="J678">
        <v>0</v>
      </c>
      <c r="K678">
        <v>0</v>
      </c>
      <c r="L678">
        <v>0</v>
      </c>
      <c r="M678">
        <v>0</v>
      </c>
      <c r="N678">
        <v>0</v>
      </c>
      <c r="O678">
        <v>0</v>
      </c>
      <c r="P678">
        <v>0</v>
      </c>
      <c r="Q678">
        <v>0</v>
      </c>
      <c r="R678">
        <v>0</v>
      </c>
      <c r="S678">
        <v>0</v>
      </c>
      <c r="T678">
        <v>0</v>
      </c>
      <c r="U678">
        <v>0</v>
      </c>
      <c r="V678">
        <v>0</v>
      </c>
      <c r="W678">
        <v>0</v>
      </c>
      <c r="X678">
        <v>0</v>
      </c>
      <c r="Y678">
        <v>0</v>
      </c>
      <c r="Z678">
        <v>0</v>
      </c>
      <c r="AA678">
        <v>0</v>
      </c>
      <c r="AB678">
        <v>0</v>
      </c>
      <c r="AC678">
        <v>0</v>
      </c>
      <c r="AD678">
        <v>0</v>
      </c>
      <c r="AE678">
        <v>0</v>
      </c>
      <c r="AF678">
        <v>0</v>
      </c>
      <c r="AG678">
        <v>0</v>
      </c>
      <c r="AH678">
        <v>0</v>
      </c>
      <c r="AI678">
        <v>0</v>
      </c>
      <c r="AJ678">
        <v>0</v>
      </c>
      <c r="AK678">
        <v>0</v>
      </c>
      <c r="AL678">
        <v>0</v>
      </c>
      <c r="AM678">
        <v>0</v>
      </c>
      <c r="AN678">
        <v>0</v>
      </c>
      <c r="AO678">
        <v>0</v>
      </c>
      <c r="AP678">
        <v>0</v>
      </c>
      <c r="AQ678">
        <v>0</v>
      </c>
      <c r="AR678">
        <v>0</v>
      </c>
      <c r="AS678">
        <v>0</v>
      </c>
      <c r="AT678">
        <v>0</v>
      </c>
      <c r="AU678">
        <v>0</v>
      </c>
      <c r="AV678">
        <v>0</v>
      </c>
      <c r="AW678">
        <v>0</v>
      </c>
      <c r="AX678">
        <v>0</v>
      </c>
      <c r="AY678">
        <v>0</v>
      </c>
      <c r="AZ678">
        <v>0</v>
      </c>
      <c r="BA678">
        <v>0</v>
      </c>
      <c r="BB678">
        <v>0</v>
      </c>
      <c r="BC678">
        <v>0</v>
      </c>
      <c r="BD678">
        <v>0</v>
      </c>
      <c r="BE678">
        <v>0</v>
      </c>
      <c r="BF678">
        <v>0</v>
      </c>
      <c r="BG678">
        <v>0</v>
      </c>
      <c r="BH678">
        <v>0</v>
      </c>
      <c r="BI678">
        <v>0</v>
      </c>
      <c r="BJ678">
        <v>0</v>
      </c>
      <c r="BK678">
        <v>0</v>
      </c>
    </row>
    <row r="679" spans="3:63">
      <c r="C679" s="145" t="s">
        <v>25</v>
      </c>
      <c r="D679">
        <v>0</v>
      </c>
      <c r="E679">
        <v>0</v>
      </c>
      <c r="F679">
        <v>0</v>
      </c>
      <c r="G679">
        <v>0</v>
      </c>
      <c r="H679">
        <v>0</v>
      </c>
      <c r="I679">
        <v>0</v>
      </c>
      <c r="J679">
        <v>0</v>
      </c>
      <c r="K679">
        <v>0</v>
      </c>
      <c r="L679">
        <v>0</v>
      </c>
      <c r="M679">
        <v>1</v>
      </c>
      <c r="N679">
        <v>0</v>
      </c>
      <c r="O679">
        <v>0</v>
      </c>
      <c r="P679">
        <v>0</v>
      </c>
      <c r="Q679">
        <v>0</v>
      </c>
      <c r="R679">
        <v>0</v>
      </c>
      <c r="S679">
        <v>0</v>
      </c>
      <c r="T679">
        <v>0</v>
      </c>
      <c r="U679">
        <v>0</v>
      </c>
      <c r="V679">
        <v>0</v>
      </c>
      <c r="W679">
        <v>0</v>
      </c>
      <c r="X679">
        <v>0</v>
      </c>
      <c r="Y679">
        <v>0</v>
      </c>
      <c r="Z679">
        <v>0</v>
      </c>
      <c r="AA679">
        <v>0</v>
      </c>
      <c r="AB679">
        <v>0</v>
      </c>
      <c r="AC679">
        <v>0</v>
      </c>
      <c r="AD679">
        <v>0</v>
      </c>
      <c r="AE679">
        <v>0</v>
      </c>
      <c r="AF679">
        <v>0</v>
      </c>
      <c r="AG679">
        <v>0</v>
      </c>
      <c r="AH679">
        <v>0</v>
      </c>
      <c r="AI679">
        <v>0</v>
      </c>
      <c r="AJ679">
        <v>0</v>
      </c>
      <c r="AK679">
        <v>0</v>
      </c>
      <c r="AL679">
        <v>0</v>
      </c>
      <c r="AM679">
        <v>0</v>
      </c>
      <c r="AN679">
        <v>0</v>
      </c>
      <c r="AO679">
        <v>0</v>
      </c>
      <c r="AP679">
        <v>0</v>
      </c>
      <c r="AQ679">
        <v>0</v>
      </c>
      <c r="AR679">
        <v>0</v>
      </c>
      <c r="AS679">
        <v>0</v>
      </c>
      <c r="AT679">
        <v>0</v>
      </c>
      <c r="AU679">
        <v>0</v>
      </c>
      <c r="AV679">
        <v>0</v>
      </c>
      <c r="AW679">
        <v>0</v>
      </c>
      <c r="AX679">
        <v>0</v>
      </c>
      <c r="AY679">
        <v>0</v>
      </c>
      <c r="AZ679">
        <v>0</v>
      </c>
      <c r="BA679">
        <v>0</v>
      </c>
      <c r="BB679">
        <v>0</v>
      </c>
      <c r="BC679">
        <v>0</v>
      </c>
      <c r="BD679">
        <v>0</v>
      </c>
      <c r="BE679">
        <v>0</v>
      </c>
      <c r="BF679">
        <v>0</v>
      </c>
      <c r="BG679">
        <v>0</v>
      </c>
      <c r="BH679">
        <v>0</v>
      </c>
      <c r="BI679">
        <v>0</v>
      </c>
      <c r="BJ679">
        <v>0</v>
      </c>
      <c r="BK679">
        <v>0</v>
      </c>
    </row>
    <row r="680" spans="3:63">
      <c r="C680" s="145" t="s">
        <v>26</v>
      </c>
      <c r="D680">
        <v>1</v>
      </c>
      <c r="E680">
        <v>0</v>
      </c>
      <c r="F680">
        <v>0</v>
      </c>
      <c r="G680">
        <v>0</v>
      </c>
      <c r="H680">
        <v>0</v>
      </c>
      <c r="I680">
        <v>0</v>
      </c>
      <c r="J680">
        <v>0</v>
      </c>
      <c r="K680">
        <v>0</v>
      </c>
      <c r="L680">
        <v>0</v>
      </c>
      <c r="M680">
        <v>0</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v>0</v>
      </c>
      <c r="AN680">
        <v>0</v>
      </c>
      <c r="AO680">
        <v>0</v>
      </c>
      <c r="AP680">
        <v>0</v>
      </c>
      <c r="AQ680">
        <v>0</v>
      </c>
      <c r="AR680">
        <v>0</v>
      </c>
      <c r="AS680">
        <v>0</v>
      </c>
      <c r="AT680">
        <v>0</v>
      </c>
      <c r="AU680">
        <v>0</v>
      </c>
      <c r="AV680">
        <v>0</v>
      </c>
      <c r="AW680">
        <v>0</v>
      </c>
      <c r="AX680">
        <v>0</v>
      </c>
      <c r="AY680">
        <v>0</v>
      </c>
      <c r="AZ680">
        <v>0</v>
      </c>
      <c r="BA680">
        <v>0</v>
      </c>
      <c r="BB680">
        <v>0</v>
      </c>
      <c r="BC680">
        <v>0</v>
      </c>
      <c r="BD680">
        <v>0</v>
      </c>
      <c r="BE680">
        <v>0</v>
      </c>
      <c r="BF680">
        <v>0</v>
      </c>
      <c r="BG680">
        <v>0</v>
      </c>
      <c r="BH680">
        <v>0</v>
      </c>
      <c r="BI680">
        <v>0</v>
      </c>
      <c r="BJ680">
        <v>0</v>
      </c>
      <c r="BK680">
        <v>0</v>
      </c>
    </row>
    <row r="681" spans="3:63">
      <c r="C681" s="145" t="s">
        <v>28</v>
      </c>
      <c r="D681">
        <v>0</v>
      </c>
      <c r="E681">
        <v>0</v>
      </c>
      <c r="F681">
        <v>0</v>
      </c>
      <c r="G681">
        <v>0</v>
      </c>
      <c r="H681">
        <v>0</v>
      </c>
      <c r="I681">
        <v>0</v>
      </c>
      <c r="J681">
        <v>0</v>
      </c>
      <c r="K681">
        <v>0</v>
      </c>
      <c r="L681">
        <v>0</v>
      </c>
      <c r="M681">
        <v>0</v>
      </c>
      <c r="N681">
        <v>0</v>
      </c>
      <c r="O681">
        <v>0</v>
      </c>
      <c r="P681">
        <v>0</v>
      </c>
      <c r="Q681">
        <v>1</v>
      </c>
      <c r="R681">
        <v>0</v>
      </c>
      <c r="S681">
        <v>0</v>
      </c>
      <c r="T681">
        <v>0</v>
      </c>
      <c r="U681">
        <v>0</v>
      </c>
      <c r="V681">
        <v>0</v>
      </c>
      <c r="W681">
        <v>0</v>
      </c>
      <c r="X681">
        <v>0</v>
      </c>
      <c r="Y681">
        <v>0</v>
      </c>
      <c r="Z681">
        <v>0</v>
      </c>
      <c r="AA681">
        <v>0</v>
      </c>
      <c r="AB681">
        <v>0</v>
      </c>
      <c r="AC681">
        <v>0</v>
      </c>
      <c r="AD681">
        <v>0</v>
      </c>
      <c r="AE681">
        <v>0</v>
      </c>
      <c r="AF681">
        <v>0</v>
      </c>
      <c r="AG681">
        <v>0</v>
      </c>
      <c r="AH681">
        <v>0</v>
      </c>
      <c r="AI681">
        <v>0</v>
      </c>
      <c r="AJ681">
        <v>0</v>
      </c>
      <c r="AK681">
        <v>0</v>
      </c>
      <c r="AL681">
        <v>0</v>
      </c>
      <c r="AM681">
        <v>0</v>
      </c>
      <c r="AN681">
        <v>0</v>
      </c>
      <c r="AO681">
        <v>0</v>
      </c>
      <c r="AP681">
        <v>0</v>
      </c>
      <c r="AQ681">
        <v>0</v>
      </c>
      <c r="AR681">
        <v>0</v>
      </c>
      <c r="AS681">
        <v>0</v>
      </c>
      <c r="AT681">
        <v>0</v>
      </c>
      <c r="AU681">
        <v>0</v>
      </c>
      <c r="AV681">
        <v>0</v>
      </c>
      <c r="AW681">
        <v>0</v>
      </c>
      <c r="AX681">
        <v>0</v>
      </c>
      <c r="AY681">
        <v>0</v>
      </c>
      <c r="AZ681">
        <v>0</v>
      </c>
      <c r="BA681">
        <v>0</v>
      </c>
      <c r="BB681">
        <v>0</v>
      </c>
      <c r="BC681">
        <v>0</v>
      </c>
      <c r="BD681">
        <v>0</v>
      </c>
      <c r="BE681">
        <v>0</v>
      </c>
      <c r="BF681">
        <v>0</v>
      </c>
      <c r="BG681">
        <v>0</v>
      </c>
      <c r="BH681">
        <v>0</v>
      </c>
      <c r="BI681">
        <v>0</v>
      </c>
      <c r="BJ681">
        <v>0</v>
      </c>
      <c r="BK681">
        <v>0</v>
      </c>
    </row>
    <row r="682" spans="3:63">
      <c r="C682" s="145" t="s">
        <v>39</v>
      </c>
      <c r="D682">
        <v>0</v>
      </c>
      <c r="E682">
        <v>0</v>
      </c>
      <c r="F682">
        <v>0</v>
      </c>
      <c r="G682">
        <v>1</v>
      </c>
      <c r="H682">
        <v>0</v>
      </c>
      <c r="I682">
        <v>0</v>
      </c>
      <c r="J682">
        <v>0</v>
      </c>
      <c r="K682">
        <v>0</v>
      </c>
      <c r="L682">
        <v>0</v>
      </c>
      <c r="M682">
        <v>0</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0</v>
      </c>
      <c r="AJ682">
        <v>0</v>
      </c>
      <c r="AK682">
        <v>0</v>
      </c>
      <c r="AL682">
        <v>0</v>
      </c>
      <c r="AM682">
        <v>0</v>
      </c>
      <c r="AN682">
        <v>0</v>
      </c>
      <c r="AO682">
        <v>0</v>
      </c>
      <c r="AP682">
        <v>0</v>
      </c>
      <c r="AQ682">
        <v>0</v>
      </c>
      <c r="AR682">
        <v>0</v>
      </c>
      <c r="AS682">
        <v>0</v>
      </c>
      <c r="AT682">
        <v>0</v>
      </c>
      <c r="AU682">
        <v>0</v>
      </c>
      <c r="AV682">
        <v>0</v>
      </c>
      <c r="AW682">
        <v>0</v>
      </c>
      <c r="AX682">
        <v>0</v>
      </c>
      <c r="AY682">
        <v>0</v>
      </c>
      <c r="AZ682">
        <v>0</v>
      </c>
      <c r="BA682">
        <v>0</v>
      </c>
      <c r="BB682">
        <v>0</v>
      </c>
      <c r="BC682">
        <v>0</v>
      </c>
      <c r="BD682">
        <v>0</v>
      </c>
      <c r="BE682">
        <v>0</v>
      </c>
      <c r="BF682">
        <v>0</v>
      </c>
      <c r="BG682">
        <v>0</v>
      </c>
      <c r="BH682">
        <v>0</v>
      </c>
      <c r="BI682">
        <v>0</v>
      </c>
      <c r="BJ682">
        <v>0</v>
      </c>
      <c r="BK682">
        <v>0</v>
      </c>
    </row>
    <row r="683" spans="3:63">
      <c r="C683" s="145" t="s">
        <v>909</v>
      </c>
      <c r="D683">
        <v>0</v>
      </c>
      <c r="E683">
        <v>0</v>
      </c>
      <c r="F683">
        <v>0</v>
      </c>
      <c r="G683">
        <v>0</v>
      </c>
      <c r="H683">
        <v>0</v>
      </c>
      <c r="I683">
        <v>1</v>
      </c>
      <c r="J683">
        <v>0</v>
      </c>
      <c r="K683">
        <v>0</v>
      </c>
      <c r="L683">
        <v>0</v>
      </c>
      <c r="M683">
        <v>0</v>
      </c>
      <c r="N683">
        <v>0</v>
      </c>
      <c r="O683">
        <v>0</v>
      </c>
      <c r="P683">
        <v>0</v>
      </c>
      <c r="Q683">
        <v>0</v>
      </c>
      <c r="R683">
        <v>0</v>
      </c>
      <c r="S683">
        <v>0</v>
      </c>
      <c r="T683">
        <v>0</v>
      </c>
      <c r="U683">
        <v>0</v>
      </c>
      <c r="V683">
        <v>0</v>
      </c>
      <c r="W683">
        <v>0</v>
      </c>
      <c r="X683">
        <v>0</v>
      </c>
      <c r="Y683">
        <v>0</v>
      </c>
      <c r="Z683">
        <v>0</v>
      </c>
      <c r="AA683">
        <v>0</v>
      </c>
      <c r="AB683">
        <v>0</v>
      </c>
      <c r="AC683">
        <v>0</v>
      </c>
      <c r="AD683">
        <v>0</v>
      </c>
      <c r="AE683">
        <v>0</v>
      </c>
      <c r="AF683">
        <v>0</v>
      </c>
      <c r="AG683">
        <v>0</v>
      </c>
      <c r="AH683">
        <v>0</v>
      </c>
      <c r="AI683">
        <v>0</v>
      </c>
      <c r="AJ683">
        <v>0</v>
      </c>
      <c r="AK683">
        <v>0</v>
      </c>
      <c r="AL683">
        <v>0</v>
      </c>
      <c r="AM683">
        <v>0</v>
      </c>
      <c r="AN683">
        <v>0</v>
      </c>
      <c r="AO683">
        <v>0</v>
      </c>
      <c r="AP683">
        <v>0</v>
      </c>
      <c r="AQ683">
        <v>0</v>
      </c>
      <c r="AR683">
        <v>0</v>
      </c>
      <c r="AS683">
        <v>0</v>
      </c>
      <c r="AT683">
        <v>0</v>
      </c>
      <c r="AU683">
        <v>0</v>
      </c>
      <c r="AV683">
        <v>0</v>
      </c>
      <c r="AW683">
        <v>0</v>
      </c>
      <c r="AX683">
        <v>0</v>
      </c>
      <c r="AY683">
        <v>0</v>
      </c>
      <c r="AZ683">
        <v>0</v>
      </c>
      <c r="BA683">
        <v>0</v>
      </c>
      <c r="BB683">
        <v>0</v>
      </c>
      <c r="BC683">
        <v>0</v>
      </c>
      <c r="BD683">
        <v>0</v>
      </c>
      <c r="BE683">
        <v>0</v>
      </c>
      <c r="BF683">
        <v>0</v>
      </c>
      <c r="BG683">
        <v>0</v>
      </c>
      <c r="BH683">
        <v>0</v>
      </c>
      <c r="BI683">
        <v>0</v>
      </c>
      <c r="BJ683">
        <v>0</v>
      </c>
      <c r="BK683">
        <v>0</v>
      </c>
    </row>
    <row r="684" spans="3:63">
      <c r="C684" s="145" t="s">
        <v>973</v>
      </c>
      <c r="D684">
        <v>0</v>
      </c>
      <c r="E684">
        <v>0</v>
      </c>
      <c r="F684">
        <v>0</v>
      </c>
      <c r="G684">
        <v>1</v>
      </c>
      <c r="H684">
        <v>0</v>
      </c>
      <c r="I684">
        <v>1</v>
      </c>
      <c r="J684">
        <v>0</v>
      </c>
      <c r="K684">
        <v>0</v>
      </c>
      <c r="L684">
        <v>1</v>
      </c>
      <c r="M684">
        <v>0</v>
      </c>
      <c r="N684">
        <v>0</v>
      </c>
      <c r="O684">
        <v>0</v>
      </c>
      <c r="P684">
        <v>0</v>
      </c>
      <c r="Q684">
        <v>0</v>
      </c>
      <c r="R684">
        <v>0</v>
      </c>
      <c r="S684">
        <v>0</v>
      </c>
      <c r="T684">
        <v>0</v>
      </c>
      <c r="U684">
        <v>0</v>
      </c>
      <c r="V684">
        <v>0</v>
      </c>
      <c r="W684">
        <v>0</v>
      </c>
      <c r="X684">
        <v>0</v>
      </c>
      <c r="Y684">
        <v>0</v>
      </c>
      <c r="Z684">
        <v>0</v>
      </c>
      <c r="AA684">
        <v>0</v>
      </c>
      <c r="AB684">
        <v>0</v>
      </c>
      <c r="AC684">
        <v>0</v>
      </c>
      <c r="AD684">
        <v>0</v>
      </c>
      <c r="AE684">
        <v>0</v>
      </c>
      <c r="AF684">
        <v>0</v>
      </c>
      <c r="AG684">
        <v>0</v>
      </c>
      <c r="AH684">
        <v>0</v>
      </c>
      <c r="AI684">
        <v>0</v>
      </c>
      <c r="AJ684">
        <v>0</v>
      </c>
      <c r="AK684">
        <v>0</v>
      </c>
      <c r="AL684">
        <v>0</v>
      </c>
      <c r="AM684">
        <v>0</v>
      </c>
      <c r="AN684">
        <v>0</v>
      </c>
      <c r="AO684">
        <v>0</v>
      </c>
      <c r="AP684">
        <v>0</v>
      </c>
      <c r="AQ684">
        <v>0</v>
      </c>
      <c r="AR684">
        <v>0</v>
      </c>
      <c r="AS684">
        <v>0</v>
      </c>
      <c r="AT684">
        <v>0</v>
      </c>
      <c r="AU684">
        <v>0</v>
      </c>
      <c r="AV684">
        <v>0</v>
      </c>
      <c r="AW684">
        <v>0</v>
      </c>
      <c r="AX684">
        <v>0</v>
      </c>
      <c r="AY684">
        <v>0</v>
      </c>
      <c r="AZ684">
        <v>0</v>
      </c>
      <c r="BA684">
        <v>0</v>
      </c>
      <c r="BB684">
        <v>0</v>
      </c>
      <c r="BC684">
        <v>0</v>
      </c>
      <c r="BD684">
        <v>0</v>
      </c>
      <c r="BE684">
        <v>0</v>
      </c>
      <c r="BF684">
        <v>0</v>
      </c>
      <c r="BG684">
        <v>0</v>
      </c>
      <c r="BH684">
        <v>0</v>
      </c>
      <c r="BI684">
        <v>0</v>
      </c>
      <c r="BJ684">
        <v>0</v>
      </c>
      <c r="BK684">
        <v>0</v>
      </c>
    </row>
    <row r="685" spans="3:63">
      <c r="C685" s="145" t="s">
        <v>896</v>
      </c>
      <c r="D685">
        <v>1</v>
      </c>
      <c r="E685">
        <v>0</v>
      </c>
      <c r="F685">
        <v>0</v>
      </c>
      <c r="G685">
        <v>0</v>
      </c>
      <c r="H685">
        <v>0</v>
      </c>
      <c r="I685">
        <v>0</v>
      </c>
      <c r="J685">
        <v>0</v>
      </c>
      <c r="K685">
        <v>1</v>
      </c>
      <c r="L685">
        <v>0</v>
      </c>
      <c r="M685">
        <v>0</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0</v>
      </c>
      <c r="AJ685">
        <v>0</v>
      </c>
      <c r="AK685">
        <v>0</v>
      </c>
      <c r="AL685">
        <v>0</v>
      </c>
      <c r="AM685">
        <v>0</v>
      </c>
      <c r="AN685">
        <v>0</v>
      </c>
      <c r="AO685">
        <v>0</v>
      </c>
      <c r="AP685">
        <v>0</v>
      </c>
      <c r="AQ685">
        <v>0</v>
      </c>
      <c r="AR685">
        <v>0</v>
      </c>
      <c r="AS685">
        <v>0</v>
      </c>
      <c r="AT685">
        <v>0</v>
      </c>
      <c r="AU685">
        <v>0</v>
      </c>
      <c r="AV685">
        <v>0</v>
      </c>
      <c r="AW685">
        <v>0</v>
      </c>
      <c r="AX685">
        <v>0</v>
      </c>
      <c r="AY685">
        <v>0</v>
      </c>
      <c r="AZ685">
        <v>0</v>
      </c>
      <c r="BA685">
        <v>0</v>
      </c>
      <c r="BB685">
        <v>0</v>
      </c>
      <c r="BC685">
        <v>0</v>
      </c>
      <c r="BD685">
        <v>0</v>
      </c>
      <c r="BE685">
        <v>0</v>
      </c>
      <c r="BF685">
        <v>0</v>
      </c>
      <c r="BG685">
        <v>0</v>
      </c>
      <c r="BH685">
        <v>0</v>
      </c>
      <c r="BI685">
        <v>0</v>
      </c>
      <c r="BJ685">
        <v>0</v>
      </c>
      <c r="BK685">
        <v>0</v>
      </c>
    </row>
    <row r="686" spans="3:63">
      <c r="C686" s="145" t="s">
        <v>923</v>
      </c>
      <c r="D686">
        <v>1</v>
      </c>
      <c r="E686">
        <v>0</v>
      </c>
      <c r="F686">
        <v>0</v>
      </c>
      <c r="G686">
        <v>0</v>
      </c>
      <c r="H686">
        <v>1</v>
      </c>
      <c r="I686">
        <v>0</v>
      </c>
      <c r="J686">
        <v>0</v>
      </c>
      <c r="K686">
        <v>0</v>
      </c>
      <c r="L686">
        <v>0</v>
      </c>
      <c r="M686">
        <v>0</v>
      </c>
      <c r="N686">
        <v>0</v>
      </c>
      <c r="O686">
        <v>0</v>
      </c>
      <c r="P686">
        <v>0</v>
      </c>
      <c r="Q686">
        <v>0</v>
      </c>
      <c r="R686">
        <v>0</v>
      </c>
      <c r="S686">
        <v>0</v>
      </c>
      <c r="T686">
        <v>0</v>
      </c>
      <c r="U686">
        <v>0</v>
      </c>
      <c r="V686">
        <v>0</v>
      </c>
      <c r="W686">
        <v>0</v>
      </c>
      <c r="X686">
        <v>0</v>
      </c>
      <c r="Y686">
        <v>0</v>
      </c>
      <c r="Z686">
        <v>0</v>
      </c>
      <c r="AA686">
        <v>0</v>
      </c>
      <c r="AB686">
        <v>0</v>
      </c>
      <c r="AC686">
        <v>0</v>
      </c>
      <c r="AD686">
        <v>0</v>
      </c>
      <c r="AE686">
        <v>0</v>
      </c>
      <c r="AF686">
        <v>0</v>
      </c>
      <c r="AG686">
        <v>0</v>
      </c>
      <c r="AH686">
        <v>0</v>
      </c>
      <c r="AI686">
        <v>0</v>
      </c>
      <c r="AJ686">
        <v>0</v>
      </c>
      <c r="AK686">
        <v>0</v>
      </c>
      <c r="AL686">
        <v>0</v>
      </c>
      <c r="AM686">
        <v>0</v>
      </c>
      <c r="AN686">
        <v>0</v>
      </c>
      <c r="AO686">
        <v>0</v>
      </c>
      <c r="AP686">
        <v>0</v>
      </c>
      <c r="AQ686">
        <v>0</v>
      </c>
      <c r="AR686">
        <v>0</v>
      </c>
      <c r="AS686">
        <v>0</v>
      </c>
      <c r="AT686">
        <v>0</v>
      </c>
      <c r="AU686">
        <v>0</v>
      </c>
      <c r="AV686">
        <v>0</v>
      </c>
      <c r="AW686">
        <v>0</v>
      </c>
      <c r="AX686">
        <v>0</v>
      </c>
      <c r="AY686">
        <v>0</v>
      </c>
      <c r="AZ686">
        <v>0</v>
      </c>
      <c r="BA686">
        <v>0</v>
      </c>
      <c r="BB686">
        <v>0</v>
      </c>
      <c r="BC686">
        <v>0</v>
      </c>
      <c r="BD686">
        <v>0</v>
      </c>
      <c r="BE686">
        <v>0</v>
      </c>
      <c r="BF686">
        <v>0</v>
      </c>
      <c r="BG686">
        <v>0</v>
      </c>
      <c r="BH686">
        <v>0</v>
      </c>
      <c r="BI686">
        <v>0</v>
      </c>
      <c r="BJ686">
        <v>0</v>
      </c>
      <c r="BK686">
        <v>0</v>
      </c>
    </row>
    <row r="687" spans="3:63">
      <c r="C687" s="145" t="s">
        <v>974</v>
      </c>
      <c r="D687">
        <v>0</v>
      </c>
      <c r="E687">
        <v>1</v>
      </c>
      <c r="F687">
        <v>0</v>
      </c>
      <c r="G687">
        <v>0</v>
      </c>
      <c r="H687">
        <v>0</v>
      </c>
      <c r="I687">
        <v>0</v>
      </c>
      <c r="J687">
        <v>0</v>
      </c>
      <c r="K687">
        <v>1</v>
      </c>
      <c r="L687">
        <v>0</v>
      </c>
      <c r="M687">
        <v>0</v>
      </c>
      <c r="N687">
        <v>0</v>
      </c>
      <c r="O687">
        <v>0</v>
      </c>
      <c r="P687">
        <v>0</v>
      </c>
      <c r="Q687">
        <v>0</v>
      </c>
      <c r="R687">
        <v>0</v>
      </c>
      <c r="S687">
        <v>0</v>
      </c>
      <c r="T687">
        <v>0</v>
      </c>
      <c r="U687">
        <v>0</v>
      </c>
      <c r="V687">
        <v>0</v>
      </c>
      <c r="W687">
        <v>0</v>
      </c>
      <c r="X687">
        <v>0</v>
      </c>
      <c r="Y687">
        <v>0</v>
      </c>
      <c r="Z687">
        <v>0</v>
      </c>
      <c r="AA687">
        <v>0</v>
      </c>
      <c r="AB687">
        <v>0</v>
      </c>
      <c r="AC687">
        <v>0</v>
      </c>
      <c r="AD687">
        <v>0</v>
      </c>
      <c r="AE687">
        <v>0</v>
      </c>
      <c r="AF687">
        <v>0</v>
      </c>
      <c r="AG687">
        <v>0</v>
      </c>
      <c r="AH687">
        <v>0</v>
      </c>
      <c r="AI687">
        <v>0</v>
      </c>
      <c r="AJ687">
        <v>0</v>
      </c>
      <c r="AK687">
        <v>0</v>
      </c>
      <c r="AL687">
        <v>0</v>
      </c>
      <c r="AM687">
        <v>0</v>
      </c>
      <c r="AN687">
        <v>0</v>
      </c>
      <c r="AO687">
        <v>0</v>
      </c>
      <c r="AP687">
        <v>0</v>
      </c>
      <c r="AQ687">
        <v>0</v>
      </c>
      <c r="AR687">
        <v>0</v>
      </c>
      <c r="AS687">
        <v>0</v>
      </c>
      <c r="AT687">
        <v>0</v>
      </c>
      <c r="AU687">
        <v>0</v>
      </c>
      <c r="AV687">
        <v>0</v>
      </c>
      <c r="AW687">
        <v>0</v>
      </c>
      <c r="AX687">
        <v>0</v>
      </c>
      <c r="AY687">
        <v>0</v>
      </c>
      <c r="AZ687">
        <v>0</v>
      </c>
      <c r="BA687">
        <v>0</v>
      </c>
      <c r="BB687">
        <v>0</v>
      </c>
      <c r="BC687">
        <v>0</v>
      </c>
      <c r="BD687">
        <v>0</v>
      </c>
      <c r="BE687">
        <v>0</v>
      </c>
      <c r="BF687">
        <v>0</v>
      </c>
      <c r="BG687">
        <v>0</v>
      </c>
      <c r="BH687">
        <v>0</v>
      </c>
      <c r="BI687">
        <v>0</v>
      </c>
      <c r="BJ687">
        <v>0</v>
      </c>
      <c r="BK687">
        <v>0</v>
      </c>
    </row>
    <row r="688" spans="3:63">
      <c r="C688" s="145" t="s">
        <v>975</v>
      </c>
      <c r="D688">
        <v>0</v>
      </c>
      <c r="E688">
        <v>0</v>
      </c>
      <c r="F688">
        <v>0</v>
      </c>
      <c r="G688">
        <v>0</v>
      </c>
      <c r="H688">
        <v>0</v>
      </c>
      <c r="I688">
        <v>1</v>
      </c>
      <c r="J688">
        <v>1</v>
      </c>
      <c r="K688">
        <v>1</v>
      </c>
      <c r="L688">
        <v>0</v>
      </c>
      <c r="M688">
        <v>0</v>
      </c>
      <c r="N688">
        <v>0</v>
      </c>
      <c r="O688">
        <v>0</v>
      </c>
      <c r="P688">
        <v>0</v>
      </c>
      <c r="Q688">
        <v>0</v>
      </c>
      <c r="R688">
        <v>0</v>
      </c>
      <c r="S688">
        <v>0</v>
      </c>
      <c r="T688">
        <v>0</v>
      </c>
      <c r="U688">
        <v>0</v>
      </c>
      <c r="V688">
        <v>0</v>
      </c>
      <c r="W688">
        <v>0</v>
      </c>
      <c r="X688">
        <v>0</v>
      </c>
      <c r="Y688">
        <v>0</v>
      </c>
      <c r="Z688">
        <v>0</v>
      </c>
      <c r="AA688">
        <v>0</v>
      </c>
      <c r="AB688">
        <v>0</v>
      </c>
      <c r="AC688">
        <v>0</v>
      </c>
      <c r="AD688">
        <v>0</v>
      </c>
      <c r="AE688">
        <v>0</v>
      </c>
      <c r="AF688">
        <v>0</v>
      </c>
      <c r="AG688">
        <v>0</v>
      </c>
      <c r="AH688">
        <v>0</v>
      </c>
      <c r="AI688">
        <v>0</v>
      </c>
      <c r="AJ688">
        <v>0</v>
      </c>
      <c r="AK688">
        <v>0</v>
      </c>
      <c r="AL688">
        <v>0</v>
      </c>
      <c r="AM688">
        <v>0</v>
      </c>
      <c r="AN688">
        <v>0</v>
      </c>
      <c r="AO688">
        <v>0</v>
      </c>
      <c r="AP688">
        <v>0</v>
      </c>
      <c r="AQ688">
        <v>0</v>
      </c>
      <c r="AR688">
        <v>0</v>
      </c>
      <c r="AS688">
        <v>0</v>
      </c>
      <c r="AT688">
        <v>0</v>
      </c>
      <c r="AU688">
        <v>0</v>
      </c>
      <c r="AV688">
        <v>0</v>
      </c>
      <c r="AW688">
        <v>0</v>
      </c>
      <c r="AX688">
        <v>0</v>
      </c>
      <c r="AY688">
        <v>0</v>
      </c>
      <c r="AZ688">
        <v>0</v>
      </c>
      <c r="BA688">
        <v>0</v>
      </c>
      <c r="BB688">
        <v>0</v>
      </c>
      <c r="BC688">
        <v>0</v>
      </c>
      <c r="BD688">
        <v>0</v>
      </c>
      <c r="BE688">
        <v>0</v>
      </c>
      <c r="BF688">
        <v>0</v>
      </c>
      <c r="BG688">
        <v>0</v>
      </c>
      <c r="BH688">
        <v>0</v>
      </c>
      <c r="BI688">
        <v>0</v>
      </c>
      <c r="BJ688">
        <v>0</v>
      </c>
      <c r="BK688">
        <v>0</v>
      </c>
    </row>
    <row r="689" spans="3:63">
      <c r="C689" s="145" t="s">
        <v>914</v>
      </c>
      <c r="D689">
        <v>0</v>
      </c>
      <c r="E689">
        <v>0</v>
      </c>
      <c r="F689">
        <v>0</v>
      </c>
      <c r="G689">
        <v>0</v>
      </c>
      <c r="H689">
        <v>1</v>
      </c>
      <c r="I689">
        <v>0</v>
      </c>
      <c r="J689">
        <v>0</v>
      </c>
      <c r="K689">
        <v>0</v>
      </c>
      <c r="L689">
        <v>1</v>
      </c>
      <c r="M689">
        <v>0</v>
      </c>
      <c r="N689">
        <v>0</v>
      </c>
      <c r="O689">
        <v>0</v>
      </c>
      <c r="P689">
        <v>0</v>
      </c>
      <c r="Q689">
        <v>0</v>
      </c>
      <c r="R689">
        <v>0</v>
      </c>
      <c r="S689">
        <v>0</v>
      </c>
      <c r="T689">
        <v>0</v>
      </c>
      <c r="U689">
        <v>0</v>
      </c>
      <c r="V689">
        <v>0</v>
      </c>
      <c r="W689">
        <v>0</v>
      </c>
      <c r="X689">
        <v>0</v>
      </c>
      <c r="Y689">
        <v>0</v>
      </c>
      <c r="Z689">
        <v>0</v>
      </c>
      <c r="AA689">
        <v>0</v>
      </c>
      <c r="AB689">
        <v>0</v>
      </c>
      <c r="AC689">
        <v>0</v>
      </c>
      <c r="AD689">
        <v>0</v>
      </c>
      <c r="AE689">
        <v>0</v>
      </c>
      <c r="AF689">
        <v>0</v>
      </c>
      <c r="AG689">
        <v>0</v>
      </c>
      <c r="AH689">
        <v>0</v>
      </c>
      <c r="AI689">
        <v>0</v>
      </c>
      <c r="AJ689">
        <v>0</v>
      </c>
      <c r="AK689">
        <v>0</v>
      </c>
      <c r="AL689">
        <v>0</v>
      </c>
      <c r="AM689">
        <v>0</v>
      </c>
      <c r="AN689">
        <v>0</v>
      </c>
      <c r="AO689">
        <v>0</v>
      </c>
      <c r="AP689">
        <v>0</v>
      </c>
      <c r="AQ689">
        <v>0</v>
      </c>
      <c r="AR689">
        <v>0</v>
      </c>
      <c r="AS689">
        <v>0</v>
      </c>
      <c r="AT689">
        <v>0</v>
      </c>
      <c r="AU689">
        <v>0</v>
      </c>
      <c r="AV689">
        <v>0</v>
      </c>
      <c r="AW689">
        <v>0</v>
      </c>
      <c r="AX689">
        <v>0</v>
      </c>
      <c r="AY689">
        <v>0</v>
      </c>
      <c r="AZ689">
        <v>0</v>
      </c>
      <c r="BA689">
        <v>0</v>
      </c>
      <c r="BB689">
        <v>0</v>
      </c>
      <c r="BC689">
        <v>0</v>
      </c>
      <c r="BD689">
        <v>0</v>
      </c>
      <c r="BE689">
        <v>0</v>
      </c>
      <c r="BF689">
        <v>0</v>
      </c>
      <c r="BG689">
        <v>0</v>
      </c>
      <c r="BH689">
        <v>0</v>
      </c>
      <c r="BI689">
        <v>0</v>
      </c>
      <c r="BJ689">
        <v>0</v>
      </c>
      <c r="BK689">
        <v>0</v>
      </c>
    </row>
    <row r="690" spans="3:63">
      <c r="C690" s="145" t="s">
        <v>32</v>
      </c>
      <c r="D690">
        <v>1</v>
      </c>
      <c r="E690">
        <v>0</v>
      </c>
      <c r="F690">
        <v>0</v>
      </c>
      <c r="G690">
        <v>0</v>
      </c>
      <c r="H690">
        <v>0</v>
      </c>
      <c r="I690">
        <v>0</v>
      </c>
      <c r="J690">
        <v>0</v>
      </c>
      <c r="K690">
        <v>0</v>
      </c>
      <c r="L690">
        <v>0</v>
      </c>
      <c r="M690">
        <v>0</v>
      </c>
      <c r="N690">
        <v>0</v>
      </c>
      <c r="O690">
        <v>0</v>
      </c>
      <c r="P690">
        <v>0</v>
      </c>
      <c r="Q690">
        <v>1</v>
      </c>
      <c r="R690">
        <v>0</v>
      </c>
      <c r="S690">
        <v>0</v>
      </c>
      <c r="T690">
        <v>0</v>
      </c>
      <c r="U690">
        <v>0</v>
      </c>
      <c r="V690">
        <v>0</v>
      </c>
      <c r="W690">
        <v>0</v>
      </c>
      <c r="X690">
        <v>0</v>
      </c>
      <c r="Y690">
        <v>0</v>
      </c>
      <c r="Z690">
        <v>0</v>
      </c>
      <c r="AA690">
        <v>0</v>
      </c>
      <c r="AB690">
        <v>0</v>
      </c>
      <c r="AC690">
        <v>0</v>
      </c>
      <c r="AD690">
        <v>0</v>
      </c>
      <c r="AE690">
        <v>0</v>
      </c>
      <c r="AF690">
        <v>0</v>
      </c>
      <c r="AG690">
        <v>0</v>
      </c>
      <c r="AH690">
        <v>0</v>
      </c>
      <c r="AI690">
        <v>0</v>
      </c>
      <c r="AJ690">
        <v>0</v>
      </c>
      <c r="AK690">
        <v>0</v>
      </c>
      <c r="AL690">
        <v>0</v>
      </c>
      <c r="AM690">
        <v>0</v>
      </c>
      <c r="AN690">
        <v>0</v>
      </c>
      <c r="AO690">
        <v>0</v>
      </c>
      <c r="AP690">
        <v>0</v>
      </c>
      <c r="AQ690">
        <v>0</v>
      </c>
      <c r="AR690">
        <v>0</v>
      </c>
      <c r="AS690">
        <v>0</v>
      </c>
      <c r="AT690">
        <v>0</v>
      </c>
      <c r="AU690">
        <v>0</v>
      </c>
      <c r="AV690">
        <v>0</v>
      </c>
      <c r="AW690">
        <v>0</v>
      </c>
      <c r="AX690">
        <v>0</v>
      </c>
      <c r="AY690">
        <v>0</v>
      </c>
      <c r="AZ690">
        <v>0</v>
      </c>
      <c r="BA690">
        <v>0</v>
      </c>
      <c r="BB690">
        <v>0</v>
      </c>
      <c r="BC690">
        <v>0</v>
      </c>
      <c r="BD690">
        <v>0</v>
      </c>
      <c r="BE690">
        <v>0</v>
      </c>
      <c r="BF690">
        <v>0</v>
      </c>
      <c r="BG690">
        <v>0</v>
      </c>
      <c r="BH690">
        <v>0</v>
      </c>
      <c r="BI690">
        <v>0</v>
      </c>
      <c r="BJ690">
        <v>0</v>
      </c>
      <c r="BK690">
        <v>0</v>
      </c>
    </row>
    <row r="691" spans="3:63">
      <c r="C691" s="145" t="s">
        <v>909</v>
      </c>
      <c r="D691">
        <v>0</v>
      </c>
      <c r="E691">
        <v>0</v>
      </c>
      <c r="F691">
        <v>0</v>
      </c>
      <c r="G691">
        <v>0</v>
      </c>
      <c r="H691">
        <v>0</v>
      </c>
      <c r="I691">
        <v>1</v>
      </c>
      <c r="J691">
        <v>0</v>
      </c>
      <c r="K691">
        <v>0</v>
      </c>
      <c r="L691">
        <v>0</v>
      </c>
      <c r="M691">
        <v>0</v>
      </c>
      <c r="N691">
        <v>0</v>
      </c>
      <c r="O691">
        <v>0</v>
      </c>
      <c r="P691">
        <v>0</v>
      </c>
      <c r="Q691">
        <v>0</v>
      </c>
      <c r="R691">
        <v>0</v>
      </c>
      <c r="S691">
        <v>0</v>
      </c>
      <c r="T691">
        <v>0</v>
      </c>
      <c r="U691">
        <v>0</v>
      </c>
      <c r="V691">
        <v>0</v>
      </c>
      <c r="W691">
        <v>0</v>
      </c>
      <c r="X691">
        <v>0</v>
      </c>
      <c r="Y691">
        <v>0</v>
      </c>
      <c r="Z691">
        <v>0</v>
      </c>
      <c r="AA691">
        <v>0</v>
      </c>
      <c r="AB691">
        <v>0</v>
      </c>
      <c r="AC691">
        <v>0</v>
      </c>
      <c r="AD691">
        <v>0</v>
      </c>
      <c r="AE691">
        <v>0</v>
      </c>
      <c r="AF691">
        <v>0</v>
      </c>
      <c r="AG691">
        <v>0</v>
      </c>
      <c r="AH691">
        <v>0</v>
      </c>
      <c r="AI691">
        <v>0</v>
      </c>
      <c r="AJ691">
        <v>0</v>
      </c>
      <c r="AK691">
        <v>0</v>
      </c>
      <c r="AL691">
        <v>0</v>
      </c>
      <c r="AM691">
        <v>0</v>
      </c>
      <c r="AN691">
        <v>0</v>
      </c>
      <c r="AO691">
        <v>0</v>
      </c>
      <c r="AP691">
        <v>0</v>
      </c>
      <c r="AQ691">
        <v>0</v>
      </c>
      <c r="AR691">
        <v>0</v>
      </c>
      <c r="AS691">
        <v>0</v>
      </c>
      <c r="AT691">
        <v>0</v>
      </c>
      <c r="AU691">
        <v>0</v>
      </c>
      <c r="AV691">
        <v>0</v>
      </c>
      <c r="AW691">
        <v>0</v>
      </c>
      <c r="AX691">
        <v>0</v>
      </c>
      <c r="AY691">
        <v>0</v>
      </c>
      <c r="AZ691">
        <v>0</v>
      </c>
      <c r="BA691">
        <v>0</v>
      </c>
      <c r="BB691">
        <v>0</v>
      </c>
      <c r="BC691">
        <v>0</v>
      </c>
      <c r="BD691">
        <v>0</v>
      </c>
      <c r="BE691">
        <v>0</v>
      </c>
      <c r="BF691">
        <v>0</v>
      </c>
      <c r="BG691">
        <v>0</v>
      </c>
      <c r="BH691">
        <v>0</v>
      </c>
      <c r="BI691">
        <v>0</v>
      </c>
      <c r="BJ691">
        <v>0</v>
      </c>
      <c r="BK691">
        <v>0</v>
      </c>
    </row>
    <row r="692" spans="3:63">
      <c r="C692" s="145" t="s">
        <v>26</v>
      </c>
      <c r="D692">
        <v>1</v>
      </c>
      <c r="E692">
        <v>0</v>
      </c>
      <c r="F692">
        <v>0</v>
      </c>
      <c r="G692">
        <v>0</v>
      </c>
      <c r="H692">
        <v>0</v>
      </c>
      <c r="I692">
        <v>0</v>
      </c>
      <c r="J692">
        <v>0</v>
      </c>
      <c r="K692">
        <v>0</v>
      </c>
      <c r="L692">
        <v>0</v>
      </c>
      <c r="M692">
        <v>0</v>
      </c>
      <c r="N692">
        <v>0</v>
      </c>
      <c r="O692">
        <v>0</v>
      </c>
      <c r="P692">
        <v>0</v>
      </c>
      <c r="Q692">
        <v>0</v>
      </c>
      <c r="R692">
        <v>0</v>
      </c>
      <c r="S692">
        <v>0</v>
      </c>
      <c r="T692">
        <v>0</v>
      </c>
      <c r="U692">
        <v>0</v>
      </c>
      <c r="V692">
        <v>0</v>
      </c>
      <c r="W692">
        <v>0</v>
      </c>
      <c r="X692">
        <v>0</v>
      </c>
      <c r="Y692">
        <v>0</v>
      </c>
      <c r="Z692">
        <v>0</v>
      </c>
      <c r="AA692">
        <v>0</v>
      </c>
      <c r="AB692">
        <v>0</v>
      </c>
      <c r="AC692">
        <v>0</v>
      </c>
      <c r="AD692">
        <v>0</v>
      </c>
      <c r="AE692">
        <v>0</v>
      </c>
      <c r="AF692">
        <v>0</v>
      </c>
      <c r="AG692">
        <v>0</v>
      </c>
      <c r="AH692">
        <v>0</v>
      </c>
      <c r="AI692">
        <v>0</v>
      </c>
      <c r="AJ692">
        <v>0</v>
      </c>
      <c r="AK692">
        <v>0</v>
      </c>
      <c r="AL692">
        <v>0</v>
      </c>
      <c r="AM692">
        <v>0</v>
      </c>
      <c r="AN692">
        <v>0</v>
      </c>
      <c r="AO692">
        <v>0</v>
      </c>
      <c r="AP692">
        <v>0</v>
      </c>
      <c r="AQ692">
        <v>0</v>
      </c>
      <c r="AR692">
        <v>0</v>
      </c>
      <c r="AS692">
        <v>0</v>
      </c>
      <c r="AT692">
        <v>0</v>
      </c>
      <c r="AU692">
        <v>0</v>
      </c>
      <c r="AV692">
        <v>0</v>
      </c>
      <c r="AW692">
        <v>0</v>
      </c>
      <c r="AX692">
        <v>0</v>
      </c>
      <c r="AY692">
        <v>0</v>
      </c>
      <c r="AZ692">
        <v>0</v>
      </c>
      <c r="BA692">
        <v>0</v>
      </c>
      <c r="BB692">
        <v>0</v>
      </c>
      <c r="BC692">
        <v>0</v>
      </c>
      <c r="BD692">
        <v>0</v>
      </c>
      <c r="BE692">
        <v>0</v>
      </c>
      <c r="BF692">
        <v>0</v>
      </c>
      <c r="BG692">
        <v>0</v>
      </c>
      <c r="BH692">
        <v>0</v>
      </c>
      <c r="BI692">
        <v>0</v>
      </c>
      <c r="BJ692">
        <v>0</v>
      </c>
      <c r="BK692">
        <v>0</v>
      </c>
    </row>
    <row r="693" spans="3:63">
      <c r="C693" s="145" t="s">
        <v>909</v>
      </c>
      <c r="D693">
        <v>0</v>
      </c>
      <c r="E693">
        <v>0</v>
      </c>
      <c r="F693">
        <v>0</v>
      </c>
      <c r="G693">
        <v>0</v>
      </c>
      <c r="H693">
        <v>0</v>
      </c>
      <c r="I693">
        <v>1</v>
      </c>
      <c r="J693">
        <v>0</v>
      </c>
      <c r="K693">
        <v>0</v>
      </c>
      <c r="L693">
        <v>0</v>
      </c>
      <c r="M693">
        <v>0</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0</v>
      </c>
      <c r="AI693">
        <v>0</v>
      </c>
      <c r="AJ693">
        <v>0</v>
      </c>
      <c r="AK693">
        <v>0</v>
      </c>
      <c r="AL693">
        <v>0</v>
      </c>
      <c r="AM693">
        <v>0</v>
      </c>
      <c r="AN693">
        <v>0</v>
      </c>
      <c r="AO693">
        <v>0</v>
      </c>
      <c r="AP693">
        <v>0</v>
      </c>
      <c r="AQ693">
        <v>0</v>
      </c>
      <c r="AR693">
        <v>0</v>
      </c>
      <c r="AS693">
        <v>0</v>
      </c>
      <c r="AT693">
        <v>0</v>
      </c>
      <c r="AU693">
        <v>0</v>
      </c>
      <c r="AV693">
        <v>0</v>
      </c>
      <c r="AW693">
        <v>0</v>
      </c>
      <c r="AX693">
        <v>0</v>
      </c>
      <c r="AY693">
        <v>0</v>
      </c>
      <c r="AZ693">
        <v>0</v>
      </c>
      <c r="BA693">
        <v>0</v>
      </c>
      <c r="BB693">
        <v>0</v>
      </c>
      <c r="BC693">
        <v>0</v>
      </c>
      <c r="BD693">
        <v>0</v>
      </c>
      <c r="BE693">
        <v>0</v>
      </c>
      <c r="BF693">
        <v>0</v>
      </c>
      <c r="BG693">
        <v>0</v>
      </c>
      <c r="BH693">
        <v>0</v>
      </c>
      <c r="BI693">
        <v>0</v>
      </c>
      <c r="BJ693">
        <v>0</v>
      </c>
      <c r="BK693">
        <v>0</v>
      </c>
    </row>
    <row r="694" spans="3:63">
      <c r="C694" s="145" t="s">
        <v>976</v>
      </c>
      <c r="D694">
        <v>1</v>
      </c>
      <c r="E694">
        <v>0</v>
      </c>
      <c r="F694">
        <v>0</v>
      </c>
      <c r="G694">
        <v>0</v>
      </c>
      <c r="H694">
        <v>1</v>
      </c>
      <c r="I694">
        <v>0</v>
      </c>
      <c r="J694">
        <v>0</v>
      </c>
      <c r="K694">
        <v>1</v>
      </c>
      <c r="L694">
        <v>0</v>
      </c>
      <c r="M694">
        <v>0</v>
      </c>
      <c r="N694">
        <v>0</v>
      </c>
      <c r="O694">
        <v>0</v>
      </c>
      <c r="P694">
        <v>0</v>
      </c>
      <c r="Q694">
        <v>0</v>
      </c>
      <c r="R694">
        <v>0</v>
      </c>
      <c r="S694">
        <v>0</v>
      </c>
      <c r="T694">
        <v>0</v>
      </c>
      <c r="U694">
        <v>0</v>
      </c>
      <c r="V694">
        <v>0</v>
      </c>
      <c r="W694">
        <v>0</v>
      </c>
      <c r="X694">
        <v>0</v>
      </c>
      <c r="Y694">
        <v>0</v>
      </c>
      <c r="Z694">
        <v>0</v>
      </c>
      <c r="AA694">
        <v>0</v>
      </c>
      <c r="AB694">
        <v>0</v>
      </c>
      <c r="AC694">
        <v>0</v>
      </c>
      <c r="AD694">
        <v>0</v>
      </c>
      <c r="AE694">
        <v>0</v>
      </c>
      <c r="AF694">
        <v>0</v>
      </c>
      <c r="AG694">
        <v>0</v>
      </c>
      <c r="AH694">
        <v>0</v>
      </c>
      <c r="AI694">
        <v>0</v>
      </c>
      <c r="AJ694">
        <v>0</v>
      </c>
      <c r="AK694">
        <v>0</v>
      </c>
      <c r="AL694">
        <v>0</v>
      </c>
      <c r="AM694">
        <v>0</v>
      </c>
      <c r="AN694">
        <v>0</v>
      </c>
      <c r="AO694">
        <v>0</v>
      </c>
      <c r="AP694">
        <v>0</v>
      </c>
      <c r="AQ694">
        <v>0</v>
      </c>
      <c r="AR694">
        <v>0</v>
      </c>
      <c r="AS694">
        <v>0</v>
      </c>
      <c r="AT694">
        <v>0</v>
      </c>
      <c r="AU694">
        <v>0</v>
      </c>
      <c r="AV694">
        <v>0</v>
      </c>
      <c r="AW694">
        <v>0</v>
      </c>
      <c r="AX694">
        <v>0</v>
      </c>
      <c r="AY694">
        <v>0</v>
      </c>
      <c r="AZ694">
        <v>0</v>
      </c>
      <c r="BA694">
        <v>0</v>
      </c>
      <c r="BB694">
        <v>0</v>
      </c>
      <c r="BC694">
        <v>0</v>
      </c>
      <c r="BD694">
        <v>0</v>
      </c>
      <c r="BE694">
        <v>0</v>
      </c>
      <c r="BF694">
        <v>0</v>
      </c>
      <c r="BG694">
        <v>0</v>
      </c>
      <c r="BH694">
        <v>0</v>
      </c>
      <c r="BI694">
        <v>0</v>
      </c>
      <c r="BJ694">
        <v>0</v>
      </c>
      <c r="BK694">
        <v>0</v>
      </c>
    </row>
    <row r="695" spans="3:63">
      <c r="C695" s="145" t="s">
        <v>942</v>
      </c>
      <c r="D695">
        <v>0</v>
      </c>
      <c r="E695">
        <v>0</v>
      </c>
      <c r="F695">
        <v>0</v>
      </c>
      <c r="G695">
        <v>0</v>
      </c>
      <c r="H695">
        <v>0</v>
      </c>
      <c r="I695">
        <v>1</v>
      </c>
      <c r="J695">
        <v>0</v>
      </c>
      <c r="K695">
        <v>0</v>
      </c>
      <c r="L695">
        <v>1</v>
      </c>
      <c r="M695">
        <v>0</v>
      </c>
      <c r="N695">
        <v>1</v>
      </c>
      <c r="O695">
        <v>0</v>
      </c>
      <c r="P695">
        <v>0</v>
      </c>
      <c r="Q695">
        <v>0</v>
      </c>
      <c r="R695">
        <v>0</v>
      </c>
      <c r="S695">
        <v>0</v>
      </c>
      <c r="T695">
        <v>0</v>
      </c>
      <c r="U695">
        <v>0</v>
      </c>
      <c r="V695">
        <v>0</v>
      </c>
      <c r="W695">
        <v>0</v>
      </c>
      <c r="X695">
        <v>0</v>
      </c>
      <c r="Y695">
        <v>0</v>
      </c>
      <c r="Z695">
        <v>0</v>
      </c>
      <c r="AA695">
        <v>0</v>
      </c>
      <c r="AB695">
        <v>0</v>
      </c>
      <c r="AC695">
        <v>0</v>
      </c>
      <c r="AD695">
        <v>0</v>
      </c>
      <c r="AE695">
        <v>0</v>
      </c>
      <c r="AF695">
        <v>0</v>
      </c>
      <c r="AG695">
        <v>0</v>
      </c>
      <c r="AH695">
        <v>0</v>
      </c>
      <c r="AI695">
        <v>0</v>
      </c>
      <c r="AJ695">
        <v>0</v>
      </c>
      <c r="AK695">
        <v>0</v>
      </c>
      <c r="AL695">
        <v>0</v>
      </c>
      <c r="AM695">
        <v>0</v>
      </c>
      <c r="AN695">
        <v>0</v>
      </c>
      <c r="AO695">
        <v>0</v>
      </c>
      <c r="AP695">
        <v>0</v>
      </c>
      <c r="AQ695">
        <v>0</v>
      </c>
      <c r="AR695">
        <v>0</v>
      </c>
      <c r="AS695">
        <v>0</v>
      </c>
      <c r="AT695">
        <v>0</v>
      </c>
      <c r="AU695">
        <v>0</v>
      </c>
      <c r="AV695">
        <v>0</v>
      </c>
      <c r="AW695">
        <v>0</v>
      </c>
      <c r="AX695">
        <v>0</v>
      </c>
      <c r="AY695">
        <v>0</v>
      </c>
      <c r="AZ695">
        <v>0</v>
      </c>
      <c r="BA695">
        <v>0</v>
      </c>
      <c r="BB695">
        <v>0</v>
      </c>
      <c r="BC695">
        <v>0</v>
      </c>
      <c r="BD695">
        <v>0</v>
      </c>
      <c r="BE695">
        <v>0</v>
      </c>
      <c r="BF695">
        <v>0</v>
      </c>
      <c r="BG695">
        <v>0</v>
      </c>
      <c r="BH695">
        <v>0</v>
      </c>
      <c r="BI695">
        <v>0</v>
      </c>
      <c r="BJ695">
        <v>0</v>
      </c>
      <c r="BK695">
        <v>0</v>
      </c>
    </row>
    <row r="696" spans="3:63">
      <c r="C696" s="145" t="s">
        <v>923</v>
      </c>
      <c r="D696">
        <v>1</v>
      </c>
      <c r="E696">
        <v>0</v>
      </c>
      <c r="F696">
        <v>0</v>
      </c>
      <c r="G696">
        <v>0</v>
      </c>
      <c r="H696">
        <v>1</v>
      </c>
      <c r="I696">
        <v>0</v>
      </c>
      <c r="J696">
        <v>0</v>
      </c>
      <c r="K696">
        <v>0</v>
      </c>
      <c r="L696">
        <v>0</v>
      </c>
      <c r="M696">
        <v>0</v>
      </c>
      <c r="N696">
        <v>0</v>
      </c>
      <c r="O696">
        <v>0</v>
      </c>
      <c r="P696">
        <v>0</v>
      </c>
      <c r="Q696">
        <v>0</v>
      </c>
      <c r="R696">
        <v>0</v>
      </c>
      <c r="S696">
        <v>0</v>
      </c>
      <c r="T696">
        <v>0</v>
      </c>
      <c r="U696">
        <v>0</v>
      </c>
      <c r="V696">
        <v>0</v>
      </c>
      <c r="W696">
        <v>0</v>
      </c>
      <c r="X696">
        <v>0</v>
      </c>
      <c r="Y696">
        <v>0</v>
      </c>
      <c r="Z696">
        <v>0</v>
      </c>
      <c r="AA696">
        <v>0</v>
      </c>
      <c r="AB696">
        <v>0</v>
      </c>
      <c r="AC696">
        <v>0</v>
      </c>
      <c r="AD696">
        <v>0</v>
      </c>
      <c r="AE696">
        <v>0</v>
      </c>
      <c r="AF696">
        <v>0</v>
      </c>
      <c r="AG696">
        <v>0</v>
      </c>
      <c r="AH696">
        <v>0</v>
      </c>
      <c r="AI696">
        <v>0</v>
      </c>
      <c r="AJ696">
        <v>0</v>
      </c>
      <c r="AK696">
        <v>0</v>
      </c>
      <c r="AL696">
        <v>0</v>
      </c>
      <c r="AM696">
        <v>0</v>
      </c>
      <c r="AN696">
        <v>0</v>
      </c>
      <c r="AO696">
        <v>0</v>
      </c>
      <c r="AP696">
        <v>0</v>
      </c>
      <c r="AQ696">
        <v>0</v>
      </c>
      <c r="AR696">
        <v>0</v>
      </c>
      <c r="AS696">
        <v>0</v>
      </c>
      <c r="AT696">
        <v>0</v>
      </c>
      <c r="AU696">
        <v>0</v>
      </c>
      <c r="AV696">
        <v>0</v>
      </c>
      <c r="AW696">
        <v>0</v>
      </c>
      <c r="AX696">
        <v>0</v>
      </c>
      <c r="AY696">
        <v>0</v>
      </c>
      <c r="AZ696">
        <v>0</v>
      </c>
      <c r="BA696">
        <v>0</v>
      </c>
      <c r="BB696">
        <v>0</v>
      </c>
      <c r="BC696">
        <v>0</v>
      </c>
      <c r="BD696">
        <v>0</v>
      </c>
      <c r="BE696">
        <v>0</v>
      </c>
      <c r="BF696">
        <v>0</v>
      </c>
      <c r="BG696">
        <v>0</v>
      </c>
      <c r="BH696">
        <v>0</v>
      </c>
      <c r="BI696">
        <v>0</v>
      </c>
      <c r="BJ696">
        <v>0</v>
      </c>
      <c r="BK696">
        <v>0</v>
      </c>
    </row>
    <row r="697" spans="3:63">
      <c r="C697" s="145" t="s">
        <v>977</v>
      </c>
      <c r="D697">
        <v>0</v>
      </c>
      <c r="E697">
        <v>0</v>
      </c>
      <c r="F697">
        <v>0</v>
      </c>
      <c r="G697">
        <v>0</v>
      </c>
      <c r="H697">
        <v>0</v>
      </c>
      <c r="I697">
        <v>1</v>
      </c>
      <c r="J697">
        <v>0</v>
      </c>
      <c r="K697">
        <v>1</v>
      </c>
      <c r="L697">
        <v>0</v>
      </c>
      <c r="M697">
        <v>0</v>
      </c>
      <c r="N697">
        <v>0</v>
      </c>
      <c r="O697">
        <v>0</v>
      </c>
      <c r="P697">
        <v>0</v>
      </c>
      <c r="Q697">
        <v>0</v>
      </c>
      <c r="R697">
        <v>0</v>
      </c>
      <c r="S697">
        <v>0</v>
      </c>
      <c r="T697">
        <v>0</v>
      </c>
      <c r="U697">
        <v>0</v>
      </c>
      <c r="V697">
        <v>0</v>
      </c>
      <c r="W697">
        <v>0</v>
      </c>
      <c r="X697">
        <v>0</v>
      </c>
      <c r="Y697">
        <v>0</v>
      </c>
      <c r="Z697">
        <v>0</v>
      </c>
      <c r="AA697">
        <v>0</v>
      </c>
      <c r="AB697">
        <v>0</v>
      </c>
      <c r="AC697">
        <v>0</v>
      </c>
      <c r="AD697">
        <v>0</v>
      </c>
      <c r="AE697">
        <v>0</v>
      </c>
      <c r="AF697">
        <v>0</v>
      </c>
      <c r="AG697">
        <v>0</v>
      </c>
      <c r="AH697">
        <v>0</v>
      </c>
      <c r="AI697">
        <v>0</v>
      </c>
      <c r="AJ697">
        <v>0</v>
      </c>
      <c r="AK697">
        <v>0</v>
      </c>
      <c r="AL697">
        <v>0</v>
      </c>
      <c r="AM697">
        <v>0</v>
      </c>
      <c r="AN697">
        <v>0</v>
      </c>
      <c r="AO697">
        <v>0</v>
      </c>
      <c r="AP697">
        <v>0</v>
      </c>
      <c r="AQ697">
        <v>0</v>
      </c>
      <c r="AR697">
        <v>0</v>
      </c>
      <c r="AS697">
        <v>0</v>
      </c>
      <c r="AT697">
        <v>0</v>
      </c>
      <c r="AU697">
        <v>0</v>
      </c>
      <c r="AV697">
        <v>0</v>
      </c>
      <c r="AW697">
        <v>0</v>
      </c>
      <c r="AX697">
        <v>0</v>
      </c>
      <c r="AY697">
        <v>0</v>
      </c>
      <c r="AZ697">
        <v>0</v>
      </c>
      <c r="BA697">
        <v>0</v>
      </c>
      <c r="BB697">
        <v>0</v>
      </c>
      <c r="BC697">
        <v>0</v>
      </c>
      <c r="BD697">
        <v>0</v>
      </c>
      <c r="BE697">
        <v>0</v>
      </c>
      <c r="BF697">
        <v>0</v>
      </c>
      <c r="BG697">
        <v>0</v>
      </c>
      <c r="BH697">
        <v>0</v>
      </c>
      <c r="BI697">
        <v>0</v>
      </c>
      <c r="BJ697">
        <v>0</v>
      </c>
      <c r="BK697">
        <v>0</v>
      </c>
    </row>
    <row r="698" spans="3:63">
      <c r="C698" s="145" t="s">
        <v>45</v>
      </c>
      <c r="D698">
        <v>1</v>
      </c>
      <c r="E698">
        <v>0</v>
      </c>
      <c r="F698">
        <v>0</v>
      </c>
      <c r="G698">
        <v>0</v>
      </c>
      <c r="H698">
        <v>0</v>
      </c>
      <c r="I698">
        <v>0</v>
      </c>
      <c r="J698">
        <v>1</v>
      </c>
      <c r="K698">
        <v>0</v>
      </c>
      <c r="L698">
        <v>0</v>
      </c>
      <c r="M698">
        <v>0</v>
      </c>
      <c r="N698">
        <v>0</v>
      </c>
      <c r="O698">
        <v>0</v>
      </c>
      <c r="P698">
        <v>0</v>
      </c>
      <c r="Q698">
        <v>0</v>
      </c>
      <c r="R698">
        <v>0</v>
      </c>
      <c r="S698">
        <v>0</v>
      </c>
      <c r="T698">
        <v>0</v>
      </c>
      <c r="U698">
        <v>0</v>
      </c>
      <c r="V698">
        <v>0</v>
      </c>
      <c r="W698">
        <v>0</v>
      </c>
      <c r="X698">
        <v>0</v>
      </c>
      <c r="Y698">
        <v>0</v>
      </c>
      <c r="Z698">
        <v>0</v>
      </c>
      <c r="AA698">
        <v>0</v>
      </c>
      <c r="AB698">
        <v>0</v>
      </c>
      <c r="AC698">
        <v>0</v>
      </c>
      <c r="AD698">
        <v>0</v>
      </c>
      <c r="AE698">
        <v>0</v>
      </c>
      <c r="AF698">
        <v>0</v>
      </c>
      <c r="AG698">
        <v>0</v>
      </c>
      <c r="AH698">
        <v>0</v>
      </c>
      <c r="AI698">
        <v>0</v>
      </c>
      <c r="AJ698">
        <v>0</v>
      </c>
      <c r="AK698">
        <v>0</v>
      </c>
      <c r="AL698">
        <v>0</v>
      </c>
      <c r="AM698">
        <v>0</v>
      </c>
      <c r="AN698">
        <v>0</v>
      </c>
      <c r="AO698">
        <v>0</v>
      </c>
      <c r="AP698">
        <v>0</v>
      </c>
      <c r="AQ698">
        <v>0</v>
      </c>
      <c r="AR698">
        <v>0</v>
      </c>
      <c r="AS698">
        <v>0</v>
      </c>
      <c r="AT698">
        <v>0</v>
      </c>
      <c r="AU698">
        <v>0</v>
      </c>
      <c r="AV698">
        <v>0</v>
      </c>
      <c r="AW698">
        <v>0</v>
      </c>
      <c r="AX698">
        <v>0</v>
      </c>
      <c r="AY698">
        <v>0</v>
      </c>
      <c r="AZ698">
        <v>0</v>
      </c>
      <c r="BA698">
        <v>0</v>
      </c>
      <c r="BB698">
        <v>0</v>
      </c>
      <c r="BC698">
        <v>0</v>
      </c>
      <c r="BD698">
        <v>0</v>
      </c>
      <c r="BE698">
        <v>0</v>
      </c>
      <c r="BF698">
        <v>0</v>
      </c>
      <c r="BG698">
        <v>0</v>
      </c>
      <c r="BH698">
        <v>0</v>
      </c>
      <c r="BI698">
        <v>0</v>
      </c>
      <c r="BJ698">
        <v>0</v>
      </c>
      <c r="BK698">
        <v>0</v>
      </c>
    </row>
    <row r="699" spans="3:63">
      <c r="C699" s="145" t="s">
        <v>916</v>
      </c>
      <c r="D699">
        <v>1</v>
      </c>
      <c r="E699">
        <v>0</v>
      </c>
      <c r="F699">
        <v>0</v>
      </c>
      <c r="G699">
        <v>0</v>
      </c>
      <c r="H699">
        <v>1</v>
      </c>
      <c r="I699">
        <v>1</v>
      </c>
      <c r="J699">
        <v>0</v>
      </c>
      <c r="K699">
        <v>0</v>
      </c>
      <c r="L699">
        <v>0</v>
      </c>
      <c r="M699">
        <v>0</v>
      </c>
      <c r="N699">
        <v>0</v>
      </c>
      <c r="O699">
        <v>0</v>
      </c>
      <c r="P699">
        <v>0</v>
      </c>
      <c r="Q699">
        <v>0</v>
      </c>
      <c r="R699">
        <v>0</v>
      </c>
      <c r="S699">
        <v>0</v>
      </c>
      <c r="T699">
        <v>0</v>
      </c>
      <c r="U699">
        <v>0</v>
      </c>
      <c r="V699">
        <v>0</v>
      </c>
      <c r="W699">
        <v>0</v>
      </c>
      <c r="X699">
        <v>0</v>
      </c>
      <c r="Y699">
        <v>0</v>
      </c>
      <c r="Z699">
        <v>0</v>
      </c>
      <c r="AA699">
        <v>0</v>
      </c>
      <c r="AB699">
        <v>0</v>
      </c>
      <c r="AC699">
        <v>0</v>
      </c>
      <c r="AD699">
        <v>0</v>
      </c>
      <c r="AE699">
        <v>0</v>
      </c>
      <c r="AF699">
        <v>0</v>
      </c>
      <c r="AG699">
        <v>0</v>
      </c>
      <c r="AH699">
        <v>0</v>
      </c>
      <c r="AI699">
        <v>0</v>
      </c>
      <c r="AJ699">
        <v>0</v>
      </c>
      <c r="AK699">
        <v>0</v>
      </c>
      <c r="AL699">
        <v>0</v>
      </c>
      <c r="AM699">
        <v>0</v>
      </c>
      <c r="AN699">
        <v>0</v>
      </c>
      <c r="AO699">
        <v>0</v>
      </c>
      <c r="AP699">
        <v>0</v>
      </c>
      <c r="AQ699">
        <v>0</v>
      </c>
      <c r="AR699">
        <v>0</v>
      </c>
      <c r="AS699">
        <v>0</v>
      </c>
      <c r="AT699">
        <v>0</v>
      </c>
      <c r="AU699">
        <v>0</v>
      </c>
      <c r="AV699">
        <v>0</v>
      </c>
      <c r="AW699">
        <v>0</v>
      </c>
      <c r="AX699">
        <v>0</v>
      </c>
      <c r="AY699">
        <v>0</v>
      </c>
      <c r="AZ699">
        <v>0</v>
      </c>
      <c r="BA699">
        <v>0</v>
      </c>
      <c r="BB699">
        <v>0</v>
      </c>
      <c r="BC699">
        <v>0</v>
      </c>
      <c r="BD699">
        <v>0</v>
      </c>
      <c r="BE699">
        <v>0</v>
      </c>
      <c r="BF699">
        <v>0</v>
      </c>
      <c r="BG699">
        <v>0</v>
      </c>
      <c r="BH699">
        <v>0</v>
      </c>
      <c r="BI699">
        <v>0</v>
      </c>
      <c r="BJ699">
        <v>0</v>
      </c>
      <c r="BK699">
        <v>0</v>
      </c>
    </row>
    <row r="700" spans="3:63">
      <c r="C700" s="145" t="s">
        <v>48</v>
      </c>
      <c r="D700">
        <v>0</v>
      </c>
      <c r="E700">
        <v>0</v>
      </c>
      <c r="F700">
        <v>1</v>
      </c>
      <c r="G700">
        <v>0</v>
      </c>
      <c r="H700">
        <v>0</v>
      </c>
      <c r="I700">
        <v>0</v>
      </c>
      <c r="J700">
        <v>0</v>
      </c>
      <c r="K700">
        <v>0</v>
      </c>
      <c r="L700">
        <v>0</v>
      </c>
      <c r="M700">
        <v>0</v>
      </c>
      <c r="N700">
        <v>0</v>
      </c>
      <c r="O700">
        <v>0</v>
      </c>
      <c r="P700">
        <v>0</v>
      </c>
      <c r="Q700">
        <v>0</v>
      </c>
      <c r="R700">
        <v>0</v>
      </c>
      <c r="S700">
        <v>0</v>
      </c>
      <c r="T700">
        <v>0</v>
      </c>
      <c r="U700">
        <v>0</v>
      </c>
      <c r="V700">
        <v>0</v>
      </c>
      <c r="W700">
        <v>0</v>
      </c>
      <c r="X700">
        <v>0</v>
      </c>
      <c r="Y700">
        <v>0</v>
      </c>
      <c r="Z700">
        <v>0</v>
      </c>
      <c r="AA700">
        <v>0</v>
      </c>
      <c r="AB700">
        <v>0</v>
      </c>
      <c r="AC700">
        <v>0</v>
      </c>
      <c r="AD700">
        <v>0</v>
      </c>
      <c r="AE700">
        <v>0</v>
      </c>
      <c r="AF700">
        <v>0</v>
      </c>
      <c r="AG700">
        <v>0</v>
      </c>
      <c r="AH700">
        <v>0</v>
      </c>
      <c r="AI700">
        <v>0</v>
      </c>
      <c r="AJ700">
        <v>0</v>
      </c>
      <c r="AK700">
        <v>0</v>
      </c>
      <c r="AL700">
        <v>0</v>
      </c>
      <c r="AM700">
        <v>0</v>
      </c>
      <c r="AN700">
        <v>0</v>
      </c>
      <c r="AO700">
        <v>0</v>
      </c>
      <c r="AP700">
        <v>0</v>
      </c>
      <c r="AQ700">
        <v>0</v>
      </c>
      <c r="AR700">
        <v>0</v>
      </c>
      <c r="AS700">
        <v>0</v>
      </c>
      <c r="AT700">
        <v>0</v>
      </c>
      <c r="AU700">
        <v>0</v>
      </c>
      <c r="AV700">
        <v>0</v>
      </c>
      <c r="AW700">
        <v>0</v>
      </c>
      <c r="AX700">
        <v>0</v>
      </c>
      <c r="AY700">
        <v>0</v>
      </c>
      <c r="AZ700">
        <v>0</v>
      </c>
      <c r="BA700">
        <v>0</v>
      </c>
      <c r="BB700">
        <v>0</v>
      </c>
      <c r="BC700">
        <v>0</v>
      </c>
      <c r="BD700">
        <v>0</v>
      </c>
      <c r="BE700">
        <v>0</v>
      </c>
      <c r="BF700">
        <v>0</v>
      </c>
      <c r="BG700">
        <v>0</v>
      </c>
      <c r="BH700">
        <v>0</v>
      </c>
      <c r="BI700">
        <v>0</v>
      </c>
      <c r="BJ700">
        <v>0</v>
      </c>
      <c r="BK700">
        <v>0</v>
      </c>
    </row>
    <row r="701" spans="3:63">
      <c r="C701" s="145" t="s">
        <v>26</v>
      </c>
      <c r="D701">
        <v>1</v>
      </c>
      <c r="E701">
        <v>0</v>
      </c>
      <c r="F701">
        <v>0</v>
      </c>
      <c r="G701">
        <v>0</v>
      </c>
      <c r="H701">
        <v>0</v>
      </c>
      <c r="I701">
        <v>0</v>
      </c>
      <c r="J701">
        <v>0</v>
      </c>
      <c r="K701">
        <v>0</v>
      </c>
      <c r="L701">
        <v>0</v>
      </c>
      <c r="M701">
        <v>0</v>
      </c>
      <c r="N701">
        <v>0</v>
      </c>
      <c r="O701">
        <v>0</v>
      </c>
      <c r="P701">
        <v>0</v>
      </c>
      <c r="Q701">
        <v>0</v>
      </c>
      <c r="R701">
        <v>0</v>
      </c>
      <c r="S701">
        <v>0</v>
      </c>
      <c r="T701">
        <v>0</v>
      </c>
      <c r="U701">
        <v>0</v>
      </c>
      <c r="V701">
        <v>0</v>
      </c>
      <c r="W701">
        <v>0</v>
      </c>
      <c r="X701">
        <v>0</v>
      </c>
      <c r="Y701">
        <v>0</v>
      </c>
      <c r="Z701">
        <v>0</v>
      </c>
      <c r="AA701">
        <v>0</v>
      </c>
      <c r="AB701">
        <v>0</v>
      </c>
      <c r="AC701">
        <v>0</v>
      </c>
      <c r="AD701">
        <v>0</v>
      </c>
      <c r="AE701">
        <v>0</v>
      </c>
      <c r="AF701">
        <v>0</v>
      </c>
      <c r="AG701">
        <v>0</v>
      </c>
      <c r="AH701">
        <v>0</v>
      </c>
      <c r="AI701">
        <v>0</v>
      </c>
      <c r="AJ701">
        <v>0</v>
      </c>
      <c r="AK701">
        <v>0</v>
      </c>
      <c r="AL701">
        <v>0</v>
      </c>
      <c r="AM701">
        <v>0</v>
      </c>
      <c r="AN701">
        <v>0</v>
      </c>
      <c r="AO701">
        <v>0</v>
      </c>
      <c r="AP701">
        <v>0</v>
      </c>
      <c r="AQ701">
        <v>0</v>
      </c>
      <c r="AR701">
        <v>0</v>
      </c>
      <c r="AS701">
        <v>0</v>
      </c>
      <c r="AT701">
        <v>0</v>
      </c>
      <c r="AU701">
        <v>0</v>
      </c>
      <c r="AV701">
        <v>0</v>
      </c>
      <c r="AW701">
        <v>0</v>
      </c>
      <c r="AX701">
        <v>0</v>
      </c>
      <c r="AY701">
        <v>0</v>
      </c>
      <c r="AZ701">
        <v>0</v>
      </c>
      <c r="BA701">
        <v>0</v>
      </c>
      <c r="BB701">
        <v>0</v>
      </c>
      <c r="BC701">
        <v>0</v>
      </c>
      <c r="BD701">
        <v>0</v>
      </c>
      <c r="BE701">
        <v>0</v>
      </c>
      <c r="BF701">
        <v>0</v>
      </c>
      <c r="BG701">
        <v>0</v>
      </c>
      <c r="BH701">
        <v>0</v>
      </c>
      <c r="BI701">
        <v>0</v>
      </c>
      <c r="BJ701">
        <v>0</v>
      </c>
      <c r="BK701">
        <v>0</v>
      </c>
    </row>
    <row r="702" spans="3:63">
      <c r="C702" s="145" t="s">
        <v>48</v>
      </c>
      <c r="D702">
        <v>0</v>
      </c>
      <c r="E702">
        <v>0</v>
      </c>
      <c r="F702">
        <v>1</v>
      </c>
      <c r="G702">
        <v>0</v>
      </c>
      <c r="H702">
        <v>0</v>
      </c>
      <c r="I702">
        <v>0</v>
      </c>
      <c r="J702">
        <v>0</v>
      </c>
      <c r="K702">
        <v>0</v>
      </c>
      <c r="L702">
        <v>0</v>
      </c>
      <c r="M702">
        <v>0</v>
      </c>
      <c r="N702">
        <v>0</v>
      </c>
      <c r="O702">
        <v>0</v>
      </c>
      <c r="P702">
        <v>0</v>
      </c>
      <c r="Q702">
        <v>0</v>
      </c>
      <c r="R702">
        <v>0</v>
      </c>
      <c r="S702">
        <v>0</v>
      </c>
      <c r="T702">
        <v>0</v>
      </c>
      <c r="U702">
        <v>0</v>
      </c>
      <c r="V702">
        <v>0</v>
      </c>
      <c r="W702">
        <v>0</v>
      </c>
      <c r="X702">
        <v>0</v>
      </c>
      <c r="Y702">
        <v>0</v>
      </c>
      <c r="Z702">
        <v>0</v>
      </c>
      <c r="AA702">
        <v>0</v>
      </c>
      <c r="AB702">
        <v>0</v>
      </c>
      <c r="AC702">
        <v>0</v>
      </c>
      <c r="AD702">
        <v>0</v>
      </c>
      <c r="AE702">
        <v>0</v>
      </c>
      <c r="AF702">
        <v>0</v>
      </c>
      <c r="AG702">
        <v>0</v>
      </c>
      <c r="AH702">
        <v>0</v>
      </c>
      <c r="AI702">
        <v>0</v>
      </c>
      <c r="AJ702">
        <v>0</v>
      </c>
      <c r="AK702">
        <v>0</v>
      </c>
      <c r="AL702">
        <v>0</v>
      </c>
      <c r="AM702">
        <v>0</v>
      </c>
      <c r="AN702">
        <v>0</v>
      </c>
      <c r="AO702">
        <v>0</v>
      </c>
      <c r="AP702">
        <v>0</v>
      </c>
      <c r="AQ702">
        <v>0</v>
      </c>
      <c r="AR702">
        <v>0</v>
      </c>
      <c r="AS702">
        <v>0</v>
      </c>
      <c r="AT702">
        <v>0</v>
      </c>
      <c r="AU702">
        <v>0</v>
      </c>
      <c r="AV702">
        <v>0</v>
      </c>
      <c r="AW702">
        <v>0</v>
      </c>
      <c r="AX702">
        <v>0</v>
      </c>
      <c r="AY702">
        <v>0</v>
      </c>
      <c r="AZ702">
        <v>0</v>
      </c>
      <c r="BA702">
        <v>0</v>
      </c>
      <c r="BB702">
        <v>0</v>
      </c>
      <c r="BC702">
        <v>0</v>
      </c>
      <c r="BD702">
        <v>0</v>
      </c>
      <c r="BE702">
        <v>0</v>
      </c>
      <c r="BF702">
        <v>0</v>
      </c>
      <c r="BG702">
        <v>0</v>
      </c>
      <c r="BH702">
        <v>0</v>
      </c>
      <c r="BI702">
        <v>0</v>
      </c>
      <c r="BJ702">
        <v>0</v>
      </c>
      <c r="BK702">
        <v>0</v>
      </c>
    </row>
    <row r="703" spans="3:63">
      <c r="C703" s="145" t="s">
        <v>978</v>
      </c>
      <c r="D703">
        <v>1</v>
      </c>
      <c r="E703">
        <v>0</v>
      </c>
      <c r="F703">
        <v>0</v>
      </c>
      <c r="G703">
        <v>0</v>
      </c>
      <c r="H703">
        <v>0</v>
      </c>
      <c r="I703">
        <v>0</v>
      </c>
      <c r="J703">
        <v>1</v>
      </c>
      <c r="K703">
        <v>0</v>
      </c>
      <c r="L703">
        <v>0</v>
      </c>
      <c r="M703">
        <v>0</v>
      </c>
      <c r="N703">
        <v>1</v>
      </c>
      <c r="O703">
        <v>0</v>
      </c>
      <c r="P703">
        <v>0</v>
      </c>
      <c r="Q703">
        <v>0</v>
      </c>
      <c r="R703">
        <v>0</v>
      </c>
      <c r="S703">
        <v>0</v>
      </c>
      <c r="T703">
        <v>0</v>
      </c>
      <c r="U703">
        <v>0</v>
      </c>
      <c r="V703">
        <v>0</v>
      </c>
      <c r="W703">
        <v>0</v>
      </c>
      <c r="X703">
        <v>0</v>
      </c>
      <c r="Y703">
        <v>0</v>
      </c>
      <c r="Z703">
        <v>0</v>
      </c>
      <c r="AA703">
        <v>0</v>
      </c>
      <c r="AB703">
        <v>0</v>
      </c>
      <c r="AC703">
        <v>0</v>
      </c>
      <c r="AD703">
        <v>0</v>
      </c>
      <c r="AE703">
        <v>0</v>
      </c>
      <c r="AF703">
        <v>0</v>
      </c>
      <c r="AG703">
        <v>0</v>
      </c>
      <c r="AH703">
        <v>0</v>
      </c>
      <c r="AI703">
        <v>0</v>
      </c>
      <c r="AJ703">
        <v>0</v>
      </c>
      <c r="AK703">
        <v>0</v>
      </c>
      <c r="AL703">
        <v>0</v>
      </c>
      <c r="AM703">
        <v>0</v>
      </c>
      <c r="AN703">
        <v>0</v>
      </c>
      <c r="AO703">
        <v>0</v>
      </c>
      <c r="AP703">
        <v>0</v>
      </c>
      <c r="AQ703">
        <v>0</v>
      </c>
      <c r="AR703">
        <v>0</v>
      </c>
      <c r="AS703">
        <v>0</v>
      </c>
      <c r="AT703">
        <v>0</v>
      </c>
      <c r="AU703">
        <v>0</v>
      </c>
      <c r="AV703">
        <v>0</v>
      </c>
      <c r="AW703">
        <v>0</v>
      </c>
      <c r="AX703">
        <v>0</v>
      </c>
      <c r="AY703">
        <v>0</v>
      </c>
      <c r="AZ703">
        <v>0</v>
      </c>
      <c r="BA703">
        <v>0</v>
      </c>
      <c r="BB703">
        <v>0</v>
      </c>
      <c r="BC703">
        <v>0</v>
      </c>
      <c r="BD703">
        <v>0</v>
      </c>
      <c r="BE703">
        <v>0</v>
      </c>
      <c r="BF703">
        <v>0</v>
      </c>
      <c r="BG703">
        <v>0</v>
      </c>
      <c r="BH703">
        <v>0</v>
      </c>
      <c r="BI703">
        <v>0</v>
      </c>
      <c r="BJ703">
        <v>0</v>
      </c>
      <c r="BK703">
        <v>0</v>
      </c>
    </row>
    <row r="704" spans="3:63">
      <c r="C704" s="145" t="s">
        <v>26</v>
      </c>
      <c r="D704">
        <v>1</v>
      </c>
      <c r="E704">
        <v>0</v>
      </c>
      <c r="F704">
        <v>0</v>
      </c>
      <c r="G704">
        <v>0</v>
      </c>
      <c r="H704">
        <v>0</v>
      </c>
      <c r="I704">
        <v>0</v>
      </c>
      <c r="J704">
        <v>0</v>
      </c>
      <c r="K704">
        <v>0</v>
      </c>
      <c r="L704">
        <v>0</v>
      </c>
      <c r="M704">
        <v>0</v>
      </c>
      <c r="N704">
        <v>0</v>
      </c>
      <c r="O704">
        <v>0</v>
      </c>
      <c r="P704">
        <v>0</v>
      </c>
      <c r="Q704">
        <v>0</v>
      </c>
      <c r="R704">
        <v>0</v>
      </c>
      <c r="S704">
        <v>0</v>
      </c>
      <c r="T704">
        <v>0</v>
      </c>
      <c r="U704">
        <v>0</v>
      </c>
      <c r="V704">
        <v>0</v>
      </c>
      <c r="W704">
        <v>0</v>
      </c>
      <c r="X704">
        <v>0</v>
      </c>
      <c r="Y704">
        <v>0</v>
      </c>
      <c r="Z704">
        <v>0</v>
      </c>
      <c r="AA704">
        <v>0</v>
      </c>
      <c r="AB704">
        <v>0</v>
      </c>
      <c r="AC704">
        <v>0</v>
      </c>
      <c r="AD704">
        <v>0</v>
      </c>
      <c r="AE704">
        <v>0</v>
      </c>
      <c r="AF704">
        <v>0</v>
      </c>
      <c r="AG704">
        <v>0</v>
      </c>
      <c r="AH704">
        <v>0</v>
      </c>
      <c r="AI704">
        <v>0</v>
      </c>
      <c r="AJ704">
        <v>0</v>
      </c>
      <c r="AK704">
        <v>0</v>
      </c>
      <c r="AL704">
        <v>0</v>
      </c>
      <c r="AM704">
        <v>0</v>
      </c>
      <c r="AN704">
        <v>0</v>
      </c>
      <c r="AO704">
        <v>0</v>
      </c>
      <c r="AP704">
        <v>0</v>
      </c>
      <c r="AQ704">
        <v>0</v>
      </c>
      <c r="AR704">
        <v>0</v>
      </c>
      <c r="AS704">
        <v>0</v>
      </c>
      <c r="AT704">
        <v>0</v>
      </c>
      <c r="AU704">
        <v>0</v>
      </c>
      <c r="AV704">
        <v>0</v>
      </c>
      <c r="AW704">
        <v>0</v>
      </c>
      <c r="AX704">
        <v>0</v>
      </c>
      <c r="AY704">
        <v>0</v>
      </c>
      <c r="AZ704">
        <v>0</v>
      </c>
      <c r="BA704">
        <v>0</v>
      </c>
      <c r="BB704">
        <v>0</v>
      </c>
      <c r="BC704">
        <v>0</v>
      </c>
      <c r="BD704">
        <v>0</v>
      </c>
      <c r="BE704">
        <v>0</v>
      </c>
      <c r="BF704">
        <v>0</v>
      </c>
      <c r="BG704">
        <v>0</v>
      </c>
      <c r="BH704">
        <v>0</v>
      </c>
      <c r="BI704">
        <v>0</v>
      </c>
      <c r="BJ704">
        <v>0</v>
      </c>
      <c r="BK704">
        <v>0</v>
      </c>
    </row>
    <row r="705" spans="3:63">
      <c r="C705" s="145" t="s">
        <v>26</v>
      </c>
      <c r="D705">
        <v>1</v>
      </c>
      <c r="E705">
        <v>0</v>
      </c>
      <c r="F705">
        <v>0</v>
      </c>
      <c r="G705">
        <v>0</v>
      </c>
      <c r="H705">
        <v>0</v>
      </c>
      <c r="I705">
        <v>0</v>
      </c>
      <c r="J705">
        <v>0</v>
      </c>
      <c r="K705">
        <v>0</v>
      </c>
      <c r="L705">
        <v>0</v>
      </c>
      <c r="M705">
        <v>0</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v>0</v>
      </c>
      <c r="AN705">
        <v>0</v>
      </c>
      <c r="AO705">
        <v>0</v>
      </c>
      <c r="AP705">
        <v>0</v>
      </c>
      <c r="AQ705">
        <v>0</v>
      </c>
      <c r="AR705">
        <v>0</v>
      </c>
      <c r="AS705">
        <v>0</v>
      </c>
      <c r="AT705">
        <v>0</v>
      </c>
      <c r="AU705">
        <v>0</v>
      </c>
      <c r="AV705">
        <v>0</v>
      </c>
      <c r="AW705">
        <v>0</v>
      </c>
      <c r="AX705">
        <v>0</v>
      </c>
      <c r="AY705">
        <v>0</v>
      </c>
      <c r="AZ705">
        <v>0</v>
      </c>
      <c r="BA705">
        <v>0</v>
      </c>
      <c r="BB705">
        <v>0</v>
      </c>
      <c r="BC705">
        <v>0</v>
      </c>
      <c r="BD705">
        <v>0</v>
      </c>
      <c r="BE705">
        <v>0</v>
      </c>
      <c r="BF705">
        <v>0</v>
      </c>
      <c r="BG705">
        <v>0</v>
      </c>
      <c r="BH705">
        <v>0</v>
      </c>
      <c r="BI705">
        <v>0</v>
      </c>
      <c r="BJ705">
        <v>0</v>
      </c>
      <c r="BK705">
        <v>0</v>
      </c>
    </row>
    <row r="706" spans="3:63">
      <c r="C706" s="145" t="s">
        <v>26</v>
      </c>
      <c r="D706">
        <v>1</v>
      </c>
      <c r="E706">
        <v>0</v>
      </c>
      <c r="F706">
        <v>0</v>
      </c>
      <c r="G706">
        <v>0</v>
      </c>
      <c r="H706">
        <v>0</v>
      </c>
      <c r="I706">
        <v>0</v>
      </c>
      <c r="J706">
        <v>0</v>
      </c>
      <c r="K706">
        <v>0</v>
      </c>
      <c r="L706">
        <v>0</v>
      </c>
      <c r="M706">
        <v>0</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v>0</v>
      </c>
      <c r="AN706">
        <v>0</v>
      </c>
      <c r="AO706">
        <v>0</v>
      </c>
      <c r="AP706">
        <v>0</v>
      </c>
      <c r="AQ706">
        <v>0</v>
      </c>
      <c r="AR706">
        <v>0</v>
      </c>
      <c r="AS706">
        <v>0</v>
      </c>
      <c r="AT706">
        <v>0</v>
      </c>
      <c r="AU706">
        <v>0</v>
      </c>
      <c r="AV706">
        <v>0</v>
      </c>
      <c r="AW706">
        <v>0</v>
      </c>
      <c r="AX706">
        <v>0</v>
      </c>
      <c r="AY706">
        <v>0</v>
      </c>
      <c r="AZ706">
        <v>0</v>
      </c>
      <c r="BA706">
        <v>0</v>
      </c>
      <c r="BB706">
        <v>0</v>
      </c>
      <c r="BC706">
        <v>0</v>
      </c>
      <c r="BD706">
        <v>0</v>
      </c>
      <c r="BE706">
        <v>0</v>
      </c>
      <c r="BF706">
        <v>0</v>
      </c>
      <c r="BG706">
        <v>0</v>
      </c>
      <c r="BH706">
        <v>0</v>
      </c>
      <c r="BI706">
        <v>0</v>
      </c>
      <c r="BJ706">
        <v>0</v>
      </c>
      <c r="BK706">
        <v>0</v>
      </c>
    </row>
    <row r="707" spans="3:63">
      <c r="C707" s="145" t="s">
        <v>38</v>
      </c>
      <c r="D707">
        <v>0</v>
      </c>
      <c r="E707">
        <v>0</v>
      </c>
      <c r="F707">
        <v>0</v>
      </c>
      <c r="G707">
        <v>0</v>
      </c>
      <c r="H707">
        <v>0</v>
      </c>
      <c r="I707">
        <v>0</v>
      </c>
      <c r="J707">
        <v>0</v>
      </c>
      <c r="K707">
        <v>0</v>
      </c>
      <c r="L707">
        <v>0</v>
      </c>
      <c r="M707">
        <v>0</v>
      </c>
      <c r="N707">
        <v>1</v>
      </c>
      <c r="O707">
        <v>0</v>
      </c>
      <c r="P707">
        <v>0</v>
      </c>
      <c r="Q707">
        <v>0</v>
      </c>
      <c r="R707">
        <v>0</v>
      </c>
      <c r="S707">
        <v>0</v>
      </c>
      <c r="T707">
        <v>0</v>
      </c>
      <c r="U707">
        <v>0</v>
      </c>
      <c r="V707">
        <v>0</v>
      </c>
      <c r="W707">
        <v>0</v>
      </c>
      <c r="X707">
        <v>0</v>
      </c>
      <c r="Y707">
        <v>0</v>
      </c>
      <c r="Z707">
        <v>0</v>
      </c>
      <c r="AA707">
        <v>0</v>
      </c>
      <c r="AB707">
        <v>0</v>
      </c>
      <c r="AC707">
        <v>0</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0</v>
      </c>
      <c r="AW707">
        <v>0</v>
      </c>
      <c r="AX707">
        <v>0</v>
      </c>
      <c r="AY707">
        <v>0</v>
      </c>
      <c r="AZ707">
        <v>0</v>
      </c>
      <c r="BA707">
        <v>0</v>
      </c>
      <c r="BB707">
        <v>0</v>
      </c>
      <c r="BC707">
        <v>0</v>
      </c>
      <c r="BD707">
        <v>0</v>
      </c>
      <c r="BE707">
        <v>0</v>
      </c>
      <c r="BF707">
        <v>0</v>
      </c>
      <c r="BG707">
        <v>0</v>
      </c>
      <c r="BH707">
        <v>0</v>
      </c>
      <c r="BI707">
        <v>0</v>
      </c>
      <c r="BJ707">
        <v>0</v>
      </c>
      <c r="BK707">
        <v>0</v>
      </c>
    </row>
    <row r="708" spans="3:63">
      <c r="C708" s="145" t="s">
        <v>36</v>
      </c>
      <c r="D708">
        <v>0</v>
      </c>
      <c r="E708">
        <v>0</v>
      </c>
      <c r="F708">
        <v>0</v>
      </c>
      <c r="G708">
        <v>0</v>
      </c>
      <c r="H708">
        <v>1</v>
      </c>
      <c r="I708">
        <v>0</v>
      </c>
      <c r="J708">
        <v>0</v>
      </c>
      <c r="K708">
        <v>0</v>
      </c>
      <c r="L708">
        <v>0</v>
      </c>
      <c r="M708">
        <v>0</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v>0</v>
      </c>
      <c r="AN708">
        <v>0</v>
      </c>
      <c r="AO708">
        <v>0</v>
      </c>
      <c r="AP708">
        <v>0</v>
      </c>
      <c r="AQ708">
        <v>0</v>
      </c>
      <c r="AR708">
        <v>0</v>
      </c>
      <c r="AS708">
        <v>0</v>
      </c>
      <c r="AT708">
        <v>0</v>
      </c>
      <c r="AU708">
        <v>0</v>
      </c>
      <c r="AV708">
        <v>0</v>
      </c>
      <c r="AW708">
        <v>0</v>
      </c>
      <c r="AX708">
        <v>0</v>
      </c>
      <c r="AY708">
        <v>0</v>
      </c>
      <c r="AZ708">
        <v>0</v>
      </c>
      <c r="BA708">
        <v>0</v>
      </c>
      <c r="BB708">
        <v>0</v>
      </c>
      <c r="BC708">
        <v>0</v>
      </c>
      <c r="BD708">
        <v>0</v>
      </c>
      <c r="BE708">
        <v>0</v>
      </c>
      <c r="BF708">
        <v>0</v>
      </c>
      <c r="BG708">
        <v>0</v>
      </c>
      <c r="BH708">
        <v>0</v>
      </c>
      <c r="BI708">
        <v>0</v>
      </c>
      <c r="BJ708">
        <v>0</v>
      </c>
      <c r="BK708">
        <v>0</v>
      </c>
    </row>
    <row r="709" spans="3:63">
      <c r="C709" s="145" t="s">
        <v>942</v>
      </c>
      <c r="D709">
        <v>0</v>
      </c>
      <c r="E709">
        <v>0</v>
      </c>
      <c r="F709">
        <v>0</v>
      </c>
      <c r="G709">
        <v>0</v>
      </c>
      <c r="H709">
        <v>0</v>
      </c>
      <c r="I709">
        <v>1</v>
      </c>
      <c r="J709">
        <v>0</v>
      </c>
      <c r="K709">
        <v>0</v>
      </c>
      <c r="L709">
        <v>1</v>
      </c>
      <c r="M709">
        <v>0</v>
      </c>
      <c r="N709">
        <v>1</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v>0</v>
      </c>
      <c r="AN709">
        <v>0</v>
      </c>
      <c r="AO709">
        <v>0</v>
      </c>
      <c r="AP709">
        <v>0</v>
      </c>
      <c r="AQ709">
        <v>0</v>
      </c>
      <c r="AR709">
        <v>0</v>
      </c>
      <c r="AS709">
        <v>0</v>
      </c>
      <c r="AT709">
        <v>0</v>
      </c>
      <c r="AU709">
        <v>0</v>
      </c>
      <c r="AV709">
        <v>0</v>
      </c>
      <c r="AW709">
        <v>0</v>
      </c>
      <c r="AX709">
        <v>0</v>
      </c>
      <c r="AY709">
        <v>0</v>
      </c>
      <c r="AZ709">
        <v>0</v>
      </c>
      <c r="BA709">
        <v>0</v>
      </c>
      <c r="BB709">
        <v>0</v>
      </c>
      <c r="BC709">
        <v>0</v>
      </c>
      <c r="BD709">
        <v>0</v>
      </c>
      <c r="BE709">
        <v>0</v>
      </c>
      <c r="BF709">
        <v>0</v>
      </c>
      <c r="BG709">
        <v>0</v>
      </c>
      <c r="BH709">
        <v>0</v>
      </c>
      <c r="BI709">
        <v>0</v>
      </c>
      <c r="BJ709">
        <v>0</v>
      </c>
      <c r="BK709">
        <v>0</v>
      </c>
    </row>
    <row r="710" spans="3:63">
      <c r="C710" s="145" t="s">
        <v>957</v>
      </c>
      <c r="D710">
        <v>0</v>
      </c>
      <c r="E710">
        <v>0</v>
      </c>
      <c r="F710">
        <v>0</v>
      </c>
      <c r="G710">
        <v>0</v>
      </c>
      <c r="H710">
        <v>1</v>
      </c>
      <c r="I710">
        <v>1</v>
      </c>
      <c r="J710">
        <v>0</v>
      </c>
      <c r="K710">
        <v>0</v>
      </c>
      <c r="L710">
        <v>1</v>
      </c>
      <c r="M710">
        <v>0</v>
      </c>
      <c r="N710">
        <v>0</v>
      </c>
      <c r="O710">
        <v>0</v>
      </c>
      <c r="P710">
        <v>0</v>
      </c>
      <c r="Q710">
        <v>0</v>
      </c>
      <c r="R710">
        <v>0</v>
      </c>
      <c r="S710">
        <v>0</v>
      </c>
      <c r="T710">
        <v>0</v>
      </c>
      <c r="U710">
        <v>0</v>
      </c>
      <c r="V710">
        <v>0</v>
      </c>
      <c r="W710">
        <v>0</v>
      </c>
      <c r="X710">
        <v>0</v>
      </c>
      <c r="Y710">
        <v>0</v>
      </c>
      <c r="Z710">
        <v>0</v>
      </c>
      <c r="AA710">
        <v>0</v>
      </c>
      <c r="AB710">
        <v>0</v>
      </c>
      <c r="AC710">
        <v>0</v>
      </c>
      <c r="AD710">
        <v>0</v>
      </c>
      <c r="AE710">
        <v>0</v>
      </c>
      <c r="AF710">
        <v>0</v>
      </c>
      <c r="AG710">
        <v>0</v>
      </c>
      <c r="AH710">
        <v>0</v>
      </c>
      <c r="AI710">
        <v>0</v>
      </c>
      <c r="AJ710">
        <v>0</v>
      </c>
      <c r="AK710">
        <v>0</v>
      </c>
      <c r="AL710">
        <v>0</v>
      </c>
      <c r="AM710">
        <v>0</v>
      </c>
      <c r="AN710">
        <v>0</v>
      </c>
      <c r="AO710">
        <v>0</v>
      </c>
      <c r="AP710">
        <v>0</v>
      </c>
      <c r="AQ710">
        <v>0</v>
      </c>
      <c r="AR710">
        <v>0</v>
      </c>
      <c r="AS710">
        <v>0</v>
      </c>
      <c r="AT710">
        <v>0</v>
      </c>
      <c r="AU710">
        <v>0</v>
      </c>
      <c r="AV710">
        <v>0</v>
      </c>
      <c r="AW710">
        <v>0</v>
      </c>
      <c r="AX710">
        <v>0</v>
      </c>
      <c r="AY710">
        <v>0</v>
      </c>
      <c r="AZ710">
        <v>0</v>
      </c>
      <c r="BA710">
        <v>0</v>
      </c>
      <c r="BB710">
        <v>0</v>
      </c>
      <c r="BC710">
        <v>0</v>
      </c>
      <c r="BD710">
        <v>0</v>
      </c>
      <c r="BE710">
        <v>0</v>
      </c>
      <c r="BF710">
        <v>0</v>
      </c>
      <c r="BG710">
        <v>0</v>
      </c>
      <c r="BH710">
        <v>0</v>
      </c>
      <c r="BI710">
        <v>0</v>
      </c>
      <c r="BJ710">
        <v>0</v>
      </c>
      <c r="BK710">
        <v>0</v>
      </c>
    </row>
    <row r="711" spans="3:63">
      <c r="C711" s="145" t="s">
        <v>918</v>
      </c>
      <c r="D711">
        <v>0</v>
      </c>
      <c r="E711">
        <v>0</v>
      </c>
      <c r="F711">
        <v>0</v>
      </c>
      <c r="G711">
        <v>0</v>
      </c>
      <c r="H711">
        <v>0</v>
      </c>
      <c r="I711">
        <v>0</v>
      </c>
      <c r="J711">
        <v>0</v>
      </c>
      <c r="K711">
        <v>0</v>
      </c>
      <c r="L711">
        <v>1</v>
      </c>
      <c r="M711">
        <v>1</v>
      </c>
      <c r="N711">
        <v>0</v>
      </c>
      <c r="O711">
        <v>0</v>
      </c>
      <c r="P711">
        <v>0</v>
      </c>
      <c r="Q711">
        <v>0</v>
      </c>
      <c r="R711">
        <v>0</v>
      </c>
      <c r="S711">
        <v>0</v>
      </c>
      <c r="T711">
        <v>0</v>
      </c>
      <c r="U711">
        <v>0</v>
      </c>
      <c r="V711">
        <v>0</v>
      </c>
      <c r="W711">
        <v>0</v>
      </c>
      <c r="X711">
        <v>0</v>
      </c>
      <c r="Y711">
        <v>0</v>
      </c>
      <c r="Z711">
        <v>0</v>
      </c>
      <c r="AA711">
        <v>0</v>
      </c>
      <c r="AB711">
        <v>0</v>
      </c>
      <c r="AC711">
        <v>0</v>
      </c>
      <c r="AD711">
        <v>0</v>
      </c>
      <c r="AE711">
        <v>0</v>
      </c>
      <c r="AF711">
        <v>0</v>
      </c>
      <c r="AG711">
        <v>0</v>
      </c>
      <c r="AH711">
        <v>0</v>
      </c>
      <c r="AI711">
        <v>0</v>
      </c>
      <c r="AJ711">
        <v>0</v>
      </c>
      <c r="AK711">
        <v>0</v>
      </c>
      <c r="AL711">
        <v>0</v>
      </c>
      <c r="AM711">
        <v>0</v>
      </c>
      <c r="AN711">
        <v>0</v>
      </c>
      <c r="AO711">
        <v>0</v>
      </c>
      <c r="AP711">
        <v>0</v>
      </c>
      <c r="AQ711">
        <v>0</v>
      </c>
      <c r="AR711">
        <v>0</v>
      </c>
      <c r="AS711">
        <v>0</v>
      </c>
      <c r="AT711">
        <v>0</v>
      </c>
      <c r="AU711">
        <v>0</v>
      </c>
      <c r="AV711">
        <v>0</v>
      </c>
      <c r="AW711">
        <v>0</v>
      </c>
      <c r="AX711">
        <v>0</v>
      </c>
      <c r="AY711">
        <v>0</v>
      </c>
      <c r="AZ711">
        <v>0</v>
      </c>
      <c r="BA711">
        <v>0</v>
      </c>
      <c r="BB711">
        <v>0</v>
      </c>
      <c r="BC711">
        <v>0</v>
      </c>
      <c r="BD711">
        <v>0</v>
      </c>
      <c r="BE711">
        <v>0</v>
      </c>
      <c r="BF711">
        <v>0</v>
      </c>
      <c r="BG711">
        <v>0</v>
      </c>
      <c r="BH711">
        <v>0</v>
      </c>
      <c r="BI711">
        <v>0</v>
      </c>
      <c r="BJ711">
        <v>0</v>
      </c>
      <c r="BK711">
        <v>0</v>
      </c>
    </row>
    <row r="712" spans="3:63">
      <c r="C712" s="145" t="s">
        <v>908</v>
      </c>
      <c r="D712">
        <v>1</v>
      </c>
      <c r="E712">
        <v>1</v>
      </c>
      <c r="F712">
        <v>0</v>
      </c>
      <c r="G712">
        <v>1</v>
      </c>
      <c r="H712">
        <v>0</v>
      </c>
      <c r="I712">
        <v>0</v>
      </c>
      <c r="J712">
        <v>0</v>
      </c>
      <c r="K712">
        <v>0</v>
      </c>
      <c r="L712">
        <v>0</v>
      </c>
      <c r="M712">
        <v>0</v>
      </c>
      <c r="N712">
        <v>0</v>
      </c>
      <c r="O712">
        <v>0</v>
      </c>
      <c r="P712">
        <v>0</v>
      </c>
      <c r="Q712">
        <v>0</v>
      </c>
      <c r="R712">
        <v>0</v>
      </c>
      <c r="S712">
        <v>0</v>
      </c>
      <c r="T712">
        <v>0</v>
      </c>
      <c r="U712">
        <v>0</v>
      </c>
      <c r="V712">
        <v>0</v>
      </c>
      <c r="W712">
        <v>0</v>
      </c>
      <c r="X712">
        <v>0</v>
      </c>
      <c r="Y712">
        <v>0</v>
      </c>
      <c r="Z712">
        <v>0</v>
      </c>
      <c r="AA712">
        <v>0</v>
      </c>
      <c r="AB712">
        <v>0</v>
      </c>
      <c r="AC712">
        <v>0</v>
      </c>
      <c r="AD712">
        <v>0</v>
      </c>
      <c r="AE712">
        <v>0</v>
      </c>
      <c r="AF712">
        <v>0</v>
      </c>
      <c r="AG712">
        <v>0</v>
      </c>
      <c r="AH712">
        <v>0</v>
      </c>
      <c r="AI712">
        <v>0</v>
      </c>
      <c r="AJ712">
        <v>0</v>
      </c>
      <c r="AK712">
        <v>0</v>
      </c>
      <c r="AL712">
        <v>0</v>
      </c>
      <c r="AM712">
        <v>0</v>
      </c>
      <c r="AN712">
        <v>0</v>
      </c>
      <c r="AO712">
        <v>0</v>
      </c>
      <c r="AP712">
        <v>0</v>
      </c>
      <c r="AQ712">
        <v>0</v>
      </c>
      <c r="AR712">
        <v>0</v>
      </c>
      <c r="AS712">
        <v>0</v>
      </c>
      <c r="AT712">
        <v>0</v>
      </c>
      <c r="AU712">
        <v>0</v>
      </c>
      <c r="AV712">
        <v>0</v>
      </c>
      <c r="AW712">
        <v>0</v>
      </c>
      <c r="AX712">
        <v>0</v>
      </c>
      <c r="AY712">
        <v>0</v>
      </c>
      <c r="AZ712">
        <v>0</v>
      </c>
      <c r="BA712">
        <v>0</v>
      </c>
      <c r="BB712">
        <v>0</v>
      </c>
      <c r="BC712">
        <v>0</v>
      </c>
      <c r="BD712">
        <v>0</v>
      </c>
      <c r="BE712">
        <v>0</v>
      </c>
      <c r="BF712">
        <v>0</v>
      </c>
      <c r="BG712">
        <v>0</v>
      </c>
      <c r="BH712">
        <v>0</v>
      </c>
      <c r="BI712">
        <v>0</v>
      </c>
      <c r="BJ712">
        <v>0</v>
      </c>
      <c r="BK712">
        <v>0</v>
      </c>
    </row>
    <row r="713" spans="3:63">
      <c r="C713" s="145" t="s">
        <v>26</v>
      </c>
      <c r="D713">
        <v>1</v>
      </c>
      <c r="E713">
        <v>0</v>
      </c>
      <c r="F713">
        <v>0</v>
      </c>
      <c r="G713">
        <v>0</v>
      </c>
      <c r="H713">
        <v>0</v>
      </c>
      <c r="I713">
        <v>0</v>
      </c>
      <c r="J713">
        <v>0</v>
      </c>
      <c r="K713">
        <v>0</v>
      </c>
      <c r="L713">
        <v>0</v>
      </c>
      <c r="M713">
        <v>0</v>
      </c>
      <c r="N713">
        <v>0</v>
      </c>
      <c r="O713">
        <v>0</v>
      </c>
      <c r="P713">
        <v>0</v>
      </c>
      <c r="Q713">
        <v>0</v>
      </c>
      <c r="R713">
        <v>0</v>
      </c>
      <c r="S713">
        <v>0</v>
      </c>
      <c r="T713">
        <v>0</v>
      </c>
      <c r="U713">
        <v>0</v>
      </c>
      <c r="V713">
        <v>0</v>
      </c>
      <c r="W713">
        <v>0</v>
      </c>
      <c r="X713">
        <v>0</v>
      </c>
      <c r="Y713">
        <v>0</v>
      </c>
      <c r="Z713">
        <v>0</v>
      </c>
      <c r="AA713">
        <v>0</v>
      </c>
      <c r="AB713">
        <v>0</v>
      </c>
      <c r="AC713">
        <v>0</v>
      </c>
      <c r="AD713">
        <v>0</v>
      </c>
      <c r="AE713">
        <v>0</v>
      </c>
      <c r="AF713">
        <v>0</v>
      </c>
      <c r="AG713">
        <v>0</v>
      </c>
      <c r="AH713">
        <v>0</v>
      </c>
      <c r="AI713">
        <v>0</v>
      </c>
      <c r="AJ713">
        <v>0</v>
      </c>
      <c r="AK713">
        <v>0</v>
      </c>
      <c r="AL713">
        <v>0</v>
      </c>
      <c r="AM713">
        <v>0</v>
      </c>
      <c r="AN713">
        <v>0</v>
      </c>
      <c r="AO713">
        <v>0</v>
      </c>
      <c r="AP713">
        <v>0</v>
      </c>
      <c r="AQ713">
        <v>0</v>
      </c>
      <c r="AR713">
        <v>0</v>
      </c>
      <c r="AS713">
        <v>0</v>
      </c>
      <c r="AT713">
        <v>0</v>
      </c>
      <c r="AU713">
        <v>0</v>
      </c>
      <c r="AV713">
        <v>0</v>
      </c>
      <c r="AW713">
        <v>0</v>
      </c>
      <c r="AX713">
        <v>0</v>
      </c>
      <c r="AY713">
        <v>0</v>
      </c>
      <c r="AZ713">
        <v>0</v>
      </c>
      <c r="BA713">
        <v>0</v>
      </c>
      <c r="BB713">
        <v>0</v>
      </c>
      <c r="BC713">
        <v>0</v>
      </c>
      <c r="BD713">
        <v>0</v>
      </c>
      <c r="BE713">
        <v>0</v>
      </c>
      <c r="BF713">
        <v>0</v>
      </c>
      <c r="BG713">
        <v>0</v>
      </c>
      <c r="BH713">
        <v>0</v>
      </c>
      <c r="BI713">
        <v>0</v>
      </c>
      <c r="BJ713">
        <v>0</v>
      </c>
      <c r="BK713">
        <v>0</v>
      </c>
    </row>
    <row r="714" spans="3:63">
      <c r="C714" s="145" t="s">
        <v>896</v>
      </c>
      <c r="D714">
        <v>1</v>
      </c>
      <c r="E714">
        <v>0</v>
      </c>
      <c r="F714">
        <v>0</v>
      </c>
      <c r="G714">
        <v>0</v>
      </c>
      <c r="H714">
        <v>0</v>
      </c>
      <c r="I714">
        <v>0</v>
      </c>
      <c r="J714">
        <v>0</v>
      </c>
      <c r="K714">
        <v>1</v>
      </c>
      <c r="L714">
        <v>0</v>
      </c>
      <c r="M714">
        <v>0</v>
      </c>
      <c r="N714">
        <v>0</v>
      </c>
      <c r="O714">
        <v>0</v>
      </c>
      <c r="P714">
        <v>0</v>
      </c>
      <c r="Q714">
        <v>0</v>
      </c>
      <c r="R714">
        <v>0</v>
      </c>
      <c r="S714">
        <v>0</v>
      </c>
      <c r="T714">
        <v>0</v>
      </c>
      <c r="U714">
        <v>0</v>
      </c>
      <c r="V714">
        <v>0</v>
      </c>
      <c r="W714">
        <v>0</v>
      </c>
      <c r="X714">
        <v>0</v>
      </c>
      <c r="Y714">
        <v>0</v>
      </c>
      <c r="Z714">
        <v>0</v>
      </c>
      <c r="AA714">
        <v>0</v>
      </c>
      <c r="AB714">
        <v>0</v>
      </c>
      <c r="AC714">
        <v>0</v>
      </c>
      <c r="AD714">
        <v>0</v>
      </c>
      <c r="AE714">
        <v>0</v>
      </c>
      <c r="AF714">
        <v>0</v>
      </c>
      <c r="AG714">
        <v>0</v>
      </c>
      <c r="AH714">
        <v>0</v>
      </c>
      <c r="AI714">
        <v>0</v>
      </c>
      <c r="AJ714">
        <v>0</v>
      </c>
      <c r="AK714">
        <v>0</v>
      </c>
      <c r="AL714">
        <v>0</v>
      </c>
      <c r="AM714">
        <v>0</v>
      </c>
      <c r="AN714">
        <v>0</v>
      </c>
      <c r="AO714">
        <v>0</v>
      </c>
      <c r="AP714">
        <v>0</v>
      </c>
      <c r="AQ714">
        <v>0</v>
      </c>
      <c r="AR714">
        <v>0</v>
      </c>
      <c r="AS714">
        <v>0</v>
      </c>
      <c r="AT714">
        <v>0</v>
      </c>
      <c r="AU714">
        <v>0</v>
      </c>
      <c r="AV714">
        <v>0</v>
      </c>
      <c r="AW714">
        <v>0</v>
      </c>
      <c r="AX714">
        <v>0</v>
      </c>
      <c r="AY714">
        <v>0</v>
      </c>
      <c r="AZ714">
        <v>0</v>
      </c>
      <c r="BA714">
        <v>0</v>
      </c>
      <c r="BB714">
        <v>0</v>
      </c>
      <c r="BC714">
        <v>0</v>
      </c>
      <c r="BD714">
        <v>0</v>
      </c>
      <c r="BE714">
        <v>0</v>
      </c>
      <c r="BF714">
        <v>0</v>
      </c>
      <c r="BG714">
        <v>0</v>
      </c>
      <c r="BH714">
        <v>0</v>
      </c>
      <c r="BI714">
        <v>0</v>
      </c>
      <c r="BJ714">
        <v>0</v>
      </c>
      <c r="BK714">
        <v>0</v>
      </c>
    </row>
    <row r="715" spans="3:63">
      <c r="C715" s="145" t="s">
        <v>30</v>
      </c>
      <c r="D715">
        <v>1</v>
      </c>
      <c r="E715">
        <v>1</v>
      </c>
      <c r="F715">
        <v>0</v>
      </c>
      <c r="G715">
        <v>0</v>
      </c>
      <c r="H715">
        <v>0</v>
      </c>
      <c r="I715">
        <v>0</v>
      </c>
      <c r="J715">
        <v>0</v>
      </c>
      <c r="K715">
        <v>0</v>
      </c>
      <c r="L715">
        <v>0</v>
      </c>
      <c r="M715">
        <v>0</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v>0</v>
      </c>
      <c r="AN715">
        <v>0</v>
      </c>
      <c r="AO715">
        <v>0</v>
      </c>
      <c r="AP715">
        <v>0</v>
      </c>
      <c r="AQ715">
        <v>0</v>
      </c>
      <c r="AR715">
        <v>0</v>
      </c>
      <c r="AS715">
        <v>0</v>
      </c>
      <c r="AT715">
        <v>0</v>
      </c>
      <c r="AU715">
        <v>0</v>
      </c>
      <c r="AV715">
        <v>0</v>
      </c>
      <c r="AW715">
        <v>0</v>
      </c>
      <c r="AX715">
        <v>0</v>
      </c>
      <c r="AY715">
        <v>0</v>
      </c>
      <c r="AZ715">
        <v>0</v>
      </c>
      <c r="BA715">
        <v>0</v>
      </c>
      <c r="BB715">
        <v>0</v>
      </c>
      <c r="BC715">
        <v>0</v>
      </c>
      <c r="BD715">
        <v>0</v>
      </c>
      <c r="BE715">
        <v>0</v>
      </c>
      <c r="BF715">
        <v>0</v>
      </c>
      <c r="BG715">
        <v>0</v>
      </c>
      <c r="BH715">
        <v>0</v>
      </c>
      <c r="BI715">
        <v>0</v>
      </c>
      <c r="BJ715">
        <v>0</v>
      </c>
      <c r="BK715">
        <v>0</v>
      </c>
    </row>
    <row r="716" spans="3:63">
      <c r="C716" s="145" t="s">
        <v>909</v>
      </c>
      <c r="D716">
        <v>0</v>
      </c>
      <c r="E716">
        <v>0</v>
      </c>
      <c r="F716">
        <v>0</v>
      </c>
      <c r="G716">
        <v>0</v>
      </c>
      <c r="H716">
        <v>0</v>
      </c>
      <c r="I716">
        <v>1</v>
      </c>
      <c r="J716">
        <v>0</v>
      </c>
      <c r="K716">
        <v>0</v>
      </c>
      <c r="L716">
        <v>0</v>
      </c>
      <c r="M716">
        <v>0</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0</v>
      </c>
      <c r="AL716">
        <v>0</v>
      </c>
      <c r="AM716">
        <v>0</v>
      </c>
      <c r="AN716">
        <v>0</v>
      </c>
      <c r="AO716">
        <v>0</v>
      </c>
      <c r="AP716">
        <v>0</v>
      </c>
      <c r="AQ716">
        <v>0</v>
      </c>
      <c r="AR716">
        <v>0</v>
      </c>
      <c r="AS716">
        <v>0</v>
      </c>
      <c r="AT716">
        <v>0</v>
      </c>
      <c r="AU716">
        <v>0</v>
      </c>
      <c r="AV716">
        <v>0</v>
      </c>
      <c r="AW716">
        <v>0</v>
      </c>
      <c r="AX716">
        <v>0</v>
      </c>
      <c r="AY716">
        <v>0</v>
      </c>
      <c r="AZ716">
        <v>0</v>
      </c>
      <c r="BA716">
        <v>0</v>
      </c>
      <c r="BB716">
        <v>0</v>
      </c>
      <c r="BC716">
        <v>0</v>
      </c>
      <c r="BD716">
        <v>0</v>
      </c>
      <c r="BE716">
        <v>0</v>
      </c>
      <c r="BF716">
        <v>0</v>
      </c>
      <c r="BG716">
        <v>0</v>
      </c>
      <c r="BH716">
        <v>0</v>
      </c>
      <c r="BI716">
        <v>0</v>
      </c>
      <c r="BJ716">
        <v>0</v>
      </c>
      <c r="BK716">
        <v>0</v>
      </c>
    </row>
    <row r="717" spans="3:63">
      <c r="C717" s="145" t="s">
        <v>26</v>
      </c>
      <c r="D717">
        <v>1</v>
      </c>
      <c r="E717">
        <v>0</v>
      </c>
      <c r="F717">
        <v>0</v>
      </c>
      <c r="G717">
        <v>0</v>
      </c>
      <c r="H717">
        <v>0</v>
      </c>
      <c r="I717">
        <v>0</v>
      </c>
      <c r="J717">
        <v>0</v>
      </c>
      <c r="K717">
        <v>0</v>
      </c>
      <c r="L717">
        <v>0</v>
      </c>
      <c r="M717">
        <v>0</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v>0</v>
      </c>
      <c r="AN717">
        <v>0</v>
      </c>
      <c r="AO717">
        <v>0</v>
      </c>
      <c r="AP717">
        <v>0</v>
      </c>
      <c r="AQ717">
        <v>0</v>
      </c>
      <c r="AR717">
        <v>0</v>
      </c>
      <c r="AS717">
        <v>0</v>
      </c>
      <c r="AT717">
        <v>0</v>
      </c>
      <c r="AU717">
        <v>0</v>
      </c>
      <c r="AV717">
        <v>0</v>
      </c>
      <c r="AW717">
        <v>0</v>
      </c>
      <c r="AX717">
        <v>0</v>
      </c>
      <c r="AY717">
        <v>0</v>
      </c>
      <c r="AZ717">
        <v>0</v>
      </c>
      <c r="BA717">
        <v>0</v>
      </c>
      <c r="BB717">
        <v>0</v>
      </c>
      <c r="BC717">
        <v>0</v>
      </c>
      <c r="BD717">
        <v>0</v>
      </c>
      <c r="BE717">
        <v>0</v>
      </c>
      <c r="BF717">
        <v>0</v>
      </c>
      <c r="BG717">
        <v>0</v>
      </c>
      <c r="BH717">
        <v>0</v>
      </c>
      <c r="BI717">
        <v>0</v>
      </c>
      <c r="BJ717">
        <v>0</v>
      </c>
      <c r="BK717">
        <v>0</v>
      </c>
    </row>
    <row r="718" spans="3:63">
      <c r="C718" s="145" t="s">
        <v>912</v>
      </c>
      <c r="D718">
        <v>1</v>
      </c>
      <c r="E718">
        <v>0</v>
      </c>
      <c r="F718">
        <v>0</v>
      </c>
      <c r="G718">
        <v>0</v>
      </c>
      <c r="H718">
        <v>0</v>
      </c>
      <c r="I718">
        <v>1</v>
      </c>
      <c r="J718">
        <v>0</v>
      </c>
      <c r="K718">
        <v>0</v>
      </c>
      <c r="L718">
        <v>0</v>
      </c>
      <c r="M718">
        <v>0</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v>0</v>
      </c>
      <c r="AN718">
        <v>0</v>
      </c>
      <c r="AO718">
        <v>0</v>
      </c>
      <c r="AP718">
        <v>0</v>
      </c>
      <c r="AQ718">
        <v>0</v>
      </c>
      <c r="AR718">
        <v>0</v>
      </c>
      <c r="AS718">
        <v>0</v>
      </c>
      <c r="AT718">
        <v>0</v>
      </c>
      <c r="AU718">
        <v>0</v>
      </c>
      <c r="AV718">
        <v>0</v>
      </c>
      <c r="AW718">
        <v>0</v>
      </c>
      <c r="AX718">
        <v>0</v>
      </c>
      <c r="AY718">
        <v>0</v>
      </c>
      <c r="AZ718">
        <v>0</v>
      </c>
      <c r="BA718">
        <v>0</v>
      </c>
      <c r="BB718">
        <v>0</v>
      </c>
      <c r="BC718">
        <v>0</v>
      </c>
      <c r="BD718">
        <v>0</v>
      </c>
      <c r="BE718">
        <v>0</v>
      </c>
      <c r="BF718">
        <v>0</v>
      </c>
      <c r="BG718">
        <v>0</v>
      </c>
      <c r="BH718">
        <v>0</v>
      </c>
      <c r="BI718">
        <v>0</v>
      </c>
      <c r="BJ718">
        <v>0</v>
      </c>
      <c r="BK718">
        <v>0</v>
      </c>
    </row>
    <row r="719" spans="3:63">
      <c r="C719" s="145" t="s">
        <v>979</v>
      </c>
      <c r="D719">
        <v>0</v>
      </c>
      <c r="E719">
        <v>1</v>
      </c>
      <c r="F719">
        <v>0</v>
      </c>
      <c r="G719">
        <v>0</v>
      </c>
      <c r="H719">
        <v>1</v>
      </c>
      <c r="I719">
        <v>0</v>
      </c>
      <c r="J719">
        <v>0</v>
      </c>
      <c r="K719">
        <v>0</v>
      </c>
      <c r="L719">
        <v>0</v>
      </c>
      <c r="M719">
        <v>1</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0</v>
      </c>
      <c r="AL719">
        <v>0</v>
      </c>
      <c r="AM719">
        <v>0</v>
      </c>
      <c r="AN719">
        <v>0</v>
      </c>
      <c r="AO719">
        <v>0</v>
      </c>
      <c r="AP719">
        <v>0</v>
      </c>
      <c r="AQ719">
        <v>0</v>
      </c>
      <c r="AR719">
        <v>0</v>
      </c>
      <c r="AS719">
        <v>0</v>
      </c>
      <c r="AT719">
        <v>0</v>
      </c>
      <c r="AU719">
        <v>0</v>
      </c>
      <c r="AV719">
        <v>0</v>
      </c>
      <c r="AW719">
        <v>0</v>
      </c>
      <c r="AX719">
        <v>0</v>
      </c>
      <c r="AY719">
        <v>0</v>
      </c>
      <c r="AZ719">
        <v>0</v>
      </c>
      <c r="BA719">
        <v>0</v>
      </c>
      <c r="BB719">
        <v>0</v>
      </c>
      <c r="BC719">
        <v>0</v>
      </c>
      <c r="BD719">
        <v>0</v>
      </c>
      <c r="BE719">
        <v>0</v>
      </c>
      <c r="BF719">
        <v>0</v>
      </c>
      <c r="BG719">
        <v>0</v>
      </c>
      <c r="BH719">
        <v>0</v>
      </c>
      <c r="BI719">
        <v>0</v>
      </c>
      <c r="BJ719">
        <v>0</v>
      </c>
      <c r="BK719">
        <v>0</v>
      </c>
    </row>
    <row r="720" spans="3:63">
      <c r="C720" s="145" t="s">
        <v>36</v>
      </c>
      <c r="D720">
        <v>0</v>
      </c>
      <c r="E720">
        <v>0</v>
      </c>
      <c r="F720">
        <v>0</v>
      </c>
      <c r="G720">
        <v>0</v>
      </c>
      <c r="H720">
        <v>1</v>
      </c>
      <c r="I720">
        <v>0</v>
      </c>
      <c r="J720">
        <v>0</v>
      </c>
      <c r="K720">
        <v>0</v>
      </c>
      <c r="L720">
        <v>0</v>
      </c>
      <c r="M720">
        <v>0</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v>0</v>
      </c>
      <c r="AN720">
        <v>0</v>
      </c>
      <c r="AO720">
        <v>0</v>
      </c>
      <c r="AP720">
        <v>0</v>
      </c>
      <c r="AQ720">
        <v>0</v>
      </c>
      <c r="AR720">
        <v>0</v>
      </c>
      <c r="AS720">
        <v>0</v>
      </c>
      <c r="AT720">
        <v>0</v>
      </c>
      <c r="AU720">
        <v>0</v>
      </c>
      <c r="AV720">
        <v>0</v>
      </c>
      <c r="AW720">
        <v>0</v>
      </c>
      <c r="AX720">
        <v>0</v>
      </c>
      <c r="AY720">
        <v>0</v>
      </c>
      <c r="AZ720">
        <v>0</v>
      </c>
      <c r="BA720">
        <v>0</v>
      </c>
      <c r="BB720">
        <v>0</v>
      </c>
      <c r="BC720">
        <v>0</v>
      </c>
      <c r="BD720">
        <v>0</v>
      </c>
      <c r="BE720">
        <v>0</v>
      </c>
      <c r="BF720">
        <v>0</v>
      </c>
      <c r="BG720">
        <v>0</v>
      </c>
      <c r="BH720">
        <v>0</v>
      </c>
      <c r="BI720">
        <v>0</v>
      </c>
      <c r="BJ720">
        <v>0</v>
      </c>
      <c r="BK720">
        <v>0</v>
      </c>
    </row>
    <row r="721" spans="3:63">
      <c r="C721" s="145" t="s">
        <v>32</v>
      </c>
      <c r="D721">
        <v>1</v>
      </c>
      <c r="E721">
        <v>0</v>
      </c>
      <c r="F721">
        <v>0</v>
      </c>
      <c r="G721">
        <v>0</v>
      </c>
      <c r="H721">
        <v>0</v>
      </c>
      <c r="I721">
        <v>0</v>
      </c>
      <c r="J721">
        <v>0</v>
      </c>
      <c r="K721">
        <v>0</v>
      </c>
      <c r="L721">
        <v>0</v>
      </c>
      <c r="M721">
        <v>0</v>
      </c>
      <c r="N721">
        <v>0</v>
      </c>
      <c r="O721">
        <v>0</v>
      </c>
      <c r="P721">
        <v>0</v>
      </c>
      <c r="Q721">
        <v>1</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v>0</v>
      </c>
      <c r="AN721">
        <v>0</v>
      </c>
      <c r="AO721">
        <v>0</v>
      </c>
      <c r="AP721">
        <v>0</v>
      </c>
      <c r="AQ721">
        <v>0</v>
      </c>
      <c r="AR721">
        <v>0</v>
      </c>
      <c r="AS721">
        <v>0</v>
      </c>
      <c r="AT721">
        <v>0</v>
      </c>
      <c r="AU721">
        <v>0</v>
      </c>
      <c r="AV721">
        <v>0</v>
      </c>
      <c r="AW721">
        <v>0</v>
      </c>
      <c r="AX721">
        <v>0</v>
      </c>
      <c r="AY721">
        <v>0</v>
      </c>
      <c r="AZ721">
        <v>0</v>
      </c>
      <c r="BA721">
        <v>0</v>
      </c>
      <c r="BB721">
        <v>0</v>
      </c>
      <c r="BC721">
        <v>0</v>
      </c>
      <c r="BD721">
        <v>0</v>
      </c>
      <c r="BE721">
        <v>0</v>
      </c>
      <c r="BF721">
        <v>0</v>
      </c>
      <c r="BG721">
        <v>0</v>
      </c>
      <c r="BH721">
        <v>0</v>
      </c>
      <c r="BI721">
        <v>0</v>
      </c>
      <c r="BJ721">
        <v>0</v>
      </c>
      <c r="BK721">
        <v>0</v>
      </c>
    </row>
    <row r="722" spans="3:63">
      <c r="C722" s="145" t="s">
        <v>897</v>
      </c>
      <c r="D722">
        <v>1</v>
      </c>
      <c r="E722">
        <v>1</v>
      </c>
      <c r="F722">
        <v>0</v>
      </c>
      <c r="G722">
        <v>0</v>
      </c>
      <c r="H722">
        <v>0</v>
      </c>
      <c r="I722">
        <v>1</v>
      </c>
      <c r="J722">
        <v>0</v>
      </c>
      <c r="K722">
        <v>0</v>
      </c>
      <c r="L722">
        <v>0</v>
      </c>
      <c r="M722">
        <v>0</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v>0</v>
      </c>
      <c r="AN722">
        <v>0</v>
      </c>
      <c r="AO722">
        <v>0</v>
      </c>
      <c r="AP722">
        <v>0</v>
      </c>
      <c r="AQ722">
        <v>0</v>
      </c>
      <c r="AR722">
        <v>0</v>
      </c>
      <c r="AS722">
        <v>0</v>
      </c>
      <c r="AT722">
        <v>0</v>
      </c>
      <c r="AU722">
        <v>0</v>
      </c>
      <c r="AV722">
        <v>0</v>
      </c>
      <c r="AW722">
        <v>0</v>
      </c>
      <c r="AX722">
        <v>0</v>
      </c>
      <c r="AY722">
        <v>0</v>
      </c>
      <c r="AZ722">
        <v>0</v>
      </c>
      <c r="BA722">
        <v>0</v>
      </c>
      <c r="BB722">
        <v>0</v>
      </c>
      <c r="BC722">
        <v>0</v>
      </c>
      <c r="BD722">
        <v>0</v>
      </c>
      <c r="BE722">
        <v>0</v>
      </c>
      <c r="BF722">
        <v>0</v>
      </c>
      <c r="BG722">
        <v>0</v>
      </c>
      <c r="BH722">
        <v>0</v>
      </c>
      <c r="BI722">
        <v>0</v>
      </c>
      <c r="BJ722">
        <v>0</v>
      </c>
      <c r="BK722">
        <v>0</v>
      </c>
    </row>
    <row r="723" spans="3:63">
      <c r="C723" s="145" t="s">
        <v>36</v>
      </c>
      <c r="D723">
        <v>0</v>
      </c>
      <c r="E723">
        <v>0</v>
      </c>
      <c r="F723">
        <v>0</v>
      </c>
      <c r="G723">
        <v>0</v>
      </c>
      <c r="H723">
        <v>1</v>
      </c>
      <c r="I723">
        <v>0</v>
      </c>
      <c r="J723">
        <v>0</v>
      </c>
      <c r="K723">
        <v>0</v>
      </c>
      <c r="L723">
        <v>0</v>
      </c>
      <c r="M723">
        <v>0</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v>0</v>
      </c>
      <c r="AN723">
        <v>0</v>
      </c>
      <c r="AO723">
        <v>0</v>
      </c>
      <c r="AP723">
        <v>0</v>
      </c>
      <c r="AQ723">
        <v>0</v>
      </c>
      <c r="AR723">
        <v>0</v>
      </c>
      <c r="AS723">
        <v>0</v>
      </c>
      <c r="AT723">
        <v>0</v>
      </c>
      <c r="AU723">
        <v>0</v>
      </c>
      <c r="AV723">
        <v>0</v>
      </c>
      <c r="AW723">
        <v>0</v>
      </c>
      <c r="AX723">
        <v>0</v>
      </c>
      <c r="AY723">
        <v>0</v>
      </c>
      <c r="AZ723">
        <v>0</v>
      </c>
      <c r="BA723">
        <v>0</v>
      </c>
      <c r="BB723">
        <v>0</v>
      </c>
      <c r="BC723">
        <v>0</v>
      </c>
      <c r="BD723">
        <v>0</v>
      </c>
      <c r="BE723">
        <v>0</v>
      </c>
      <c r="BF723">
        <v>0</v>
      </c>
      <c r="BG723">
        <v>0</v>
      </c>
      <c r="BH723">
        <v>0</v>
      </c>
      <c r="BI723">
        <v>0</v>
      </c>
      <c r="BJ723">
        <v>0</v>
      </c>
      <c r="BK723">
        <v>0</v>
      </c>
    </row>
    <row r="724" spans="3:63">
      <c r="C724" s="145" t="s">
        <v>48</v>
      </c>
      <c r="D724">
        <v>0</v>
      </c>
      <c r="E724">
        <v>0</v>
      </c>
      <c r="F724">
        <v>1</v>
      </c>
      <c r="G724">
        <v>0</v>
      </c>
      <c r="H724">
        <v>0</v>
      </c>
      <c r="I724">
        <v>0</v>
      </c>
      <c r="J724">
        <v>0</v>
      </c>
      <c r="K724">
        <v>0</v>
      </c>
      <c r="L724">
        <v>0</v>
      </c>
      <c r="M724">
        <v>0</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v>0</v>
      </c>
      <c r="AN724">
        <v>0</v>
      </c>
      <c r="AO724">
        <v>0</v>
      </c>
      <c r="AP724">
        <v>0</v>
      </c>
      <c r="AQ724">
        <v>0</v>
      </c>
      <c r="AR724">
        <v>0</v>
      </c>
      <c r="AS724">
        <v>0</v>
      </c>
      <c r="AT724">
        <v>0</v>
      </c>
      <c r="AU724">
        <v>0</v>
      </c>
      <c r="AV724">
        <v>0</v>
      </c>
      <c r="AW724">
        <v>0</v>
      </c>
      <c r="AX724">
        <v>0</v>
      </c>
      <c r="AY724">
        <v>0</v>
      </c>
      <c r="AZ724">
        <v>0</v>
      </c>
      <c r="BA724">
        <v>0</v>
      </c>
      <c r="BB724">
        <v>0</v>
      </c>
      <c r="BC724">
        <v>0</v>
      </c>
      <c r="BD724">
        <v>0</v>
      </c>
      <c r="BE724">
        <v>0</v>
      </c>
      <c r="BF724">
        <v>0</v>
      </c>
      <c r="BG724">
        <v>0</v>
      </c>
      <c r="BH724">
        <v>0</v>
      </c>
      <c r="BI724">
        <v>0</v>
      </c>
      <c r="BJ724">
        <v>0</v>
      </c>
      <c r="BK724">
        <v>0</v>
      </c>
    </row>
    <row r="725" spans="3:63">
      <c r="C725" s="145" t="s">
        <v>980</v>
      </c>
      <c r="D725">
        <v>0</v>
      </c>
      <c r="E725">
        <v>0</v>
      </c>
      <c r="F725">
        <v>0</v>
      </c>
      <c r="G725">
        <v>0</v>
      </c>
      <c r="H725">
        <v>1</v>
      </c>
      <c r="I725">
        <v>0</v>
      </c>
      <c r="J725">
        <v>0</v>
      </c>
      <c r="K725">
        <v>0</v>
      </c>
      <c r="L725">
        <v>0</v>
      </c>
      <c r="M725">
        <v>0</v>
      </c>
      <c r="N725">
        <v>0</v>
      </c>
      <c r="O725">
        <v>1</v>
      </c>
      <c r="P725">
        <v>0</v>
      </c>
      <c r="Q725">
        <v>1</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v>0</v>
      </c>
      <c r="AN725">
        <v>0</v>
      </c>
      <c r="AO725">
        <v>0</v>
      </c>
      <c r="AP725">
        <v>0</v>
      </c>
      <c r="AQ725">
        <v>0</v>
      </c>
      <c r="AR725">
        <v>0</v>
      </c>
      <c r="AS725">
        <v>0</v>
      </c>
      <c r="AT725">
        <v>0</v>
      </c>
      <c r="AU725">
        <v>0</v>
      </c>
      <c r="AV725">
        <v>0</v>
      </c>
      <c r="AW725">
        <v>0</v>
      </c>
      <c r="AX725">
        <v>0</v>
      </c>
      <c r="AY725">
        <v>0</v>
      </c>
      <c r="AZ725">
        <v>0</v>
      </c>
      <c r="BA725">
        <v>0</v>
      </c>
      <c r="BB725">
        <v>0</v>
      </c>
      <c r="BC725">
        <v>0</v>
      </c>
      <c r="BD725">
        <v>0</v>
      </c>
      <c r="BE725">
        <v>0</v>
      </c>
      <c r="BF725">
        <v>0</v>
      </c>
      <c r="BG725">
        <v>0</v>
      </c>
      <c r="BH725">
        <v>0</v>
      </c>
      <c r="BI725">
        <v>0</v>
      </c>
      <c r="BJ725">
        <v>0</v>
      </c>
      <c r="BK725">
        <v>0</v>
      </c>
    </row>
    <row r="726" spans="3:63">
      <c r="C726" s="145" t="s">
        <v>28</v>
      </c>
      <c r="D726">
        <v>0</v>
      </c>
      <c r="E726">
        <v>0</v>
      </c>
      <c r="F726">
        <v>0</v>
      </c>
      <c r="G726">
        <v>0</v>
      </c>
      <c r="H726">
        <v>0</v>
      </c>
      <c r="I726">
        <v>0</v>
      </c>
      <c r="J726">
        <v>0</v>
      </c>
      <c r="K726">
        <v>0</v>
      </c>
      <c r="L726">
        <v>0</v>
      </c>
      <c r="M726">
        <v>0</v>
      </c>
      <c r="N726">
        <v>0</v>
      </c>
      <c r="O726">
        <v>0</v>
      </c>
      <c r="P726">
        <v>0</v>
      </c>
      <c r="Q726">
        <v>1</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v>0</v>
      </c>
      <c r="AN726">
        <v>0</v>
      </c>
      <c r="AO726">
        <v>0</v>
      </c>
      <c r="AP726">
        <v>0</v>
      </c>
      <c r="AQ726">
        <v>0</v>
      </c>
      <c r="AR726">
        <v>0</v>
      </c>
      <c r="AS726">
        <v>0</v>
      </c>
      <c r="AT726">
        <v>0</v>
      </c>
      <c r="AU726">
        <v>0</v>
      </c>
      <c r="AV726">
        <v>0</v>
      </c>
      <c r="AW726">
        <v>0</v>
      </c>
      <c r="AX726">
        <v>0</v>
      </c>
      <c r="AY726">
        <v>0</v>
      </c>
      <c r="AZ726">
        <v>0</v>
      </c>
      <c r="BA726">
        <v>0</v>
      </c>
      <c r="BB726">
        <v>0</v>
      </c>
      <c r="BC726">
        <v>0</v>
      </c>
      <c r="BD726">
        <v>0</v>
      </c>
      <c r="BE726">
        <v>0</v>
      </c>
      <c r="BF726">
        <v>0</v>
      </c>
      <c r="BG726">
        <v>0</v>
      </c>
      <c r="BH726">
        <v>0</v>
      </c>
      <c r="BI726">
        <v>0</v>
      </c>
      <c r="BJ726">
        <v>0</v>
      </c>
      <c r="BK726">
        <v>0</v>
      </c>
    </row>
    <row r="727" spans="3:63">
      <c r="C727" s="145" t="s">
        <v>909</v>
      </c>
      <c r="D727">
        <v>0</v>
      </c>
      <c r="E727">
        <v>0</v>
      </c>
      <c r="F727">
        <v>0</v>
      </c>
      <c r="G727">
        <v>0</v>
      </c>
      <c r="H727">
        <v>0</v>
      </c>
      <c r="I727">
        <v>1</v>
      </c>
      <c r="J727">
        <v>0</v>
      </c>
      <c r="K727">
        <v>0</v>
      </c>
      <c r="L727">
        <v>0</v>
      </c>
      <c r="M727">
        <v>0</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v>0</v>
      </c>
      <c r="AN727">
        <v>0</v>
      </c>
      <c r="AO727">
        <v>0</v>
      </c>
      <c r="AP727">
        <v>0</v>
      </c>
      <c r="AQ727">
        <v>0</v>
      </c>
      <c r="AR727">
        <v>0</v>
      </c>
      <c r="AS727">
        <v>0</v>
      </c>
      <c r="AT727">
        <v>0</v>
      </c>
      <c r="AU727">
        <v>0</v>
      </c>
      <c r="AV727">
        <v>0</v>
      </c>
      <c r="AW727">
        <v>0</v>
      </c>
      <c r="AX727">
        <v>0</v>
      </c>
      <c r="AY727">
        <v>0</v>
      </c>
      <c r="AZ727">
        <v>0</v>
      </c>
      <c r="BA727">
        <v>0</v>
      </c>
      <c r="BB727">
        <v>0</v>
      </c>
      <c r="BC727">
        <v>0</v>
      </c>
      <c r="BD727">
        <v>0</v>
      </c>
      <c r="BE727">
        <v>0</v>
      </c>
      <c r="BF727">
        <v>0</v>
      </c>
      <c r="BG727">
        <v>0</v>
      </c>
      <c r="BH727">
        <v>0</v>
      </c>
      <c r="BI727">
        <v>0</v>
      </c>
      <c r="BJ727">
        <v>0</v>
      </c>
      <c r="BK727">
        <v>0</v>
      </c>
    </row>
    <row r="728" spans="3:63">
      <c r="C728" s="145" t="s">
        <v>981</v>
      </c>
      <c r="D728">
        <v>0</v>
      </c>
      <c r="E728">
        <v>0</v>
      </c>
      <c r="F728">
        <v>0</v>
      </c>
      <c r="G728">
        <v>0</v>
      </c>
      <c r="H728">
        <v>0</v>
      </c>
      <c r="I728">
        <v>0</v>
      </c>
      <c r="J728">
        <v>0</v>
      </c>
      <c r="K728">
        <v>0</v>
      </c>
      <c r="L728">
        <v>0</v>
      </c>
      <c r="M728">
        <v>1</v>
      </c>
      <c r="N728">
        <v>0</v>
      </c>
      <c r="O728">
        <v>0</v>
      </c>
      <c r="P728">
        <v>0</v>
      </c>
      <c r="Q728">
        <v>1</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v>0</v>
      </c>
      <c r="AN728">
        <v>0</v>
      </c>
      <c r="AO728">
        <v>0</v>
      </c>
      <c r="AP728">
        <v>0</v>
      </c>
      <c r="AQ728">
        <v>0</v>
      </c>
      <c r="AR728">
        <v>0</v>
      </c>
      <c r="AS728">
        <v>0</v>
      </c>
      <c r="AT728">
        <v>0</v>
      </c>
      <c r="AU728">
        <v>0</v>
      </c>
      <c r="AV728">
        <v>0</v>
      </c>
      <c r="AW728">
        <v>0</v>
      </c>
      <c r="AX728">
        <v>0</v>
      </c>
      <c r="AY728">
        <v>0</v>
      </c>
      <c r="AZ728">
        <v>0</v>
      </c>
      <c r="BA728">
        <v>0</v>
      </c>
      <c r="BB728">
        <v>0</v>
      </c>
      <c r="BC728">
        <v>0</v>
      </c>
      <c r="BD728">
        <v>0</v>
      </c>
      <c r="BE728">
        <v>0</v>
      </c>
      <c r="BF728">
        <v>0</v>
      </c>
      <c r="BG728">
        <v>0</v>
      </c>
      <c r="BH728">
        <v>0</v>
      </c>
      <c r="BI728">
        <v>0</v>
      </c>
      <c r="BJ728">
        <v>0</v>
      </c>
      <c r="BK728">
        <v>0</v>
      </c>
    </row>
    <row r="729" spans="3:63">
      <c r="C729" s="145" t="s">
        <v>36</v>
      </c>
      <c r="D729">
        <v>0</v>
      </c>
      <c r="E729">
        <v>0</v>
      </c>
      <c r="F729">
        <v>0</v>
      </c>
      <c r="G729">
        <v>0</v>
      </c>
      <c r="H729">
        <v>1</v>
      </c>
      <c r="I729">
        <v>0</v>
      </c>
      <c r="J729">
        <v>0</v>
      </c>
      <c r="K729">
        <v>0</v>
      </c>
      <c r="L729">
        <v>0</v>
      </c>
      <c r="M729">
        <v>0</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v>0</v>
      </c>
      <c r="AN729">
        <v>0</v>
      </c>
      <c r="AO729">
        <v>0</v>
      </c>
      <c r="AP729">
        <v>0</v>
      </c>
      <c r="AQ729">
        <v>0</v>
      </c>
      <c r="AR729">
        <v>0</v>
      </c>
      <c r="AS729">
        <v>0</v>
      </c>
      <c r="AT729">
        <v>0</v>
      </c>
      <c r="AU729">
        <v>0</v>
      </c>
      <c r="AV729">
        <v>0</v>
      </c>
      <c r="AW729">
        <v>0</v>
      </c>
      <c r="AX729">
        <v>0</v>
      </c>
      <c r="AY729">
        <v>0</v>
      </c>
      <c r="AZ729">
        <v>0</v>
      </c>
      <c r="BA729">
        <v>0</v>
      </c>
      <c r="BB729">
        <v>0</v>
      </c>
      <c r="BC729">
        <v>0</v>
      </c>
      <c r="BD729">
        <v>0</v>
      </c>
      <c r="BE729">
        <v>0</v>
      </c>
      <c r="BF729">
        <v>0</v>
      </c>
      <c r="BG729">
        <v>0</v>
      </c>
      <c r="BH729">
        <v>0</v>
      </c>
      <c r="BI729">
        <v>0</v>
      </c>
      <c r="BJ729">
        <v>0</v>
      </c>
      <c r="BK729">
        <v>0</v>
      </c>
    </row>
    <row r="730" spans="3:63">
      <c r="C730" s="145" t="s">
        <v>982</v>
      </c>
      <c r="D730">
        <v>0</v>
      </c>
      <c r="E730">
        <v>0</v>
      </c>
      <c r="F730">
        <v>0</v>
      </c>
      <c r="G730">
        <v>0</v>
      </c>
      <c r="H730">
        <v>0</v>
      </c>
      <c r="I730">
        <v>0</v>
      </c>
      <c r="J730">
        <v>0</v>
      </c>
      <c r="K730">
        <v>1</v>
      </c>
      <c r="L730">
        <v>0</v>
      </c>
      <c r="M730">
        <v>0</v>
      </c>
      <c r="N730">
        <v>0</v>
      </c>
      <c r="O730">
        <v>0</v>
      </c>
      <c r="P730">
        <v>0</v>
      </c>
      <c r="Q730">
        <v>1</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v>0</v>
      </c>
      <c r="AN730">
        <v>0</v>
      </c>
      <c r="AO730">
        <v>0</v>
      </c>
      <c r="AP730">
        <v>0</v>
      </c>
      <c r="AQ730">
        <v>0</v>
      </c>
      <c r="AR730">
        <v>0</v>
      </c>
      <c r="AS730">
        <v>0</v>
      </c>
      <c r="AT730">
        <v>0</v>
      </c>
      <c r="AU730">
        <v>0</v>
      </c>
      <c r="AV730">
        <v>0</v>
      </c>
      <c r="AW730">
        <v>0</v>
      </c>
      <c r="AX730">
        <v>0</v>
      </c>
      <c r="AY730">
        <v>0</v>
      </c>
      <c r="AZ730">
        <v>0</v>
      </c>
      <c r="BA730">
        <v>0</v>
      </c>
      <c r="BB730">
        <v>0</v>
      </c>
      <c r="BC730">
        <v>0</v>
      </c>
      <c r="BD730">
        <v>0</v>
      </c>
      <c r="BE730">
        <v>0</v>
      </c>
      <c r="BF730">
        <v>0</v>
      </c>
      <c r="BG730">
        <v>0</v>
      </c>
      <c r="BH730">
        <v>0</v>
      </c>
      <c r="BI730">
        <v>0</v>
      </c>
      <c r="BJ730">
        <v>0</v>
      </c>
      <c r="BK730">
        <v>0</v>
      </c>
    </row>
    <row r="731" spans="3:63">
      <c r="C731" s="145" t="s">
        <v>36</v>
      </c>
      <c r="D731">
        <v>0</v>
      </c>
      <c r="E731">
        <v>0</v>
      </c>
      <c r="F731">
        <v>0</v>
      </c>
      <c r="G731">
        <v>0</v>
      </c>
      <c r="H731">
        <v>1</v>
      </c>
      <c r="I731">
        <v>0</v>
      </c>
      <c r="J731">
        <v>0</v>
      </c>
      <c r="K731">
        <v>0</v>
      </c>
      <c r="L731">
        <v>0</v>
      </c>
      <c r="M731">
        <v>0</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v>0</v>
      </c>
      <c r="AN731">
        <v>0</v>
      </c>
      <c r="AO731">
        <v>0</v>
      </c>
      <c r="AP731">
        <v>0</v>
      </c>
      <c r="AQ731">
        <v>0</v>
      </c>
      <c r="AR731">
        <v>0</v>
      </c>
      <c r="AS731">
        <v>0</v>
      </c>
      <c r="AT731">
        <v>0</v>
      </c>
      <c r="AU731">
        <v>0</v>
      </c>
      <c r="AV731">
        <v>0</v>
      </c>
      <c r="AW731">
        <v>0</v>
      </c>
      <c r="AX731">
        <v>0</v>
      </c>
      <c r="AY731">
        <v>0</v>
      </c>
      <c r="AZ731">
        <v>0</v>
      </c>
      <c r="BA731">
        <v>0</v>
      </c>
      <c r="BB731">
        <v>0</v>
      </c>
      <c r="BC731">
        <v>0</v>
      </c>
      <c r="BD731">
        <v>0</v>
      </c>
      <c r="BE731">
        <v>0</v>
      </c>
      <c r="BF731">
        <v>0</v>
      </c>
      <c r="BG731">
        <v>0</v>
      </c>
      <c r="BH731">
        <v>0</v>
      </c>
      <c r="BI731">
        <v>0</v>
      </c>
      <c r="BJ731">
        <v>0</v>
      </c>
      <c r="BK731">
        <v>0</v>
      </c>
    </row>
    <row r="732" spans="3:63">
      <c r="C732" s="145" t="s">
        <v>26</v>
      </c>
      <c r="D732">
        <v>1</v>
      </c>
      <c r="E732">
        <v>0</v>
      </c>
      <c r="F732">
        <v>0</v>
      </c>
      <c r="G732">
        <v>0</v>
      </c>
      <c r="H732">
        <v>0</v>
      </c>
      <c r="I732">
        <v>0</v>
      </c>
      <c r="J732">
        <v>0</v>
      </c>
      <c r="K732">
        <v>0</v>
      </c>
      <c r="L732">
        <v>0</v>
      </c>
      <c r="M732">
        <v>0</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v>0</v>
      </c>
      <c r="AN732">
        <v>0</v>
      </c>
      <c r="AO732">
        <v>0</v>
      </c>
      <c r="AP732">
        <v>0</v>
      </c>
      <c r="AQ732">
        <v>0</v>
      </c>
      <c r="AR732">
        <v>0</v>
      </c>
      <c r="AS732">
        <v>0</v>
      </c>
      <c r="AT732">
        <v>0</v>
      </c>
      <c r="AU732">
        <v>0</v>
      </c>
      <c r="AV732">
        <v>0</v>
      </c>
      <c r="AW732">
        <v>0</v>
      </c>
      <c r="AX732">
        <v>0</v>
      </c>
      <c r="AY732">
        <v>0</v>
      </c>
      <c r="AZ732">
        <v>0</v>
      </c>
      <c r="BA732">
        <v>0</v>
      </c>
      <c r="BB732">
        <v>0</v>
      </c>
      <c r="BC732">
        <v>0</v>
      </c>
      <c r="BD732">
        <v>0</v>
      </c>
      <c r="BE732">
        <v>0</v>
      </c>
      <c r="BF732">
        <v>0</v>
      </c>
      <c r="BG732">
        <v>0</v>
      </c>
      <c r="BH732">
        <v>0</v>
      </c>
      <c r="BI732">
        <v>0</v>
      </c>
      <c r="BJ732">
        <v>0</v>
      </c>
      <c r="BK732">
        <v>0</v>
      </c>
    </row>
    <row r="733" spans="3:63">
      <c r="C733" s="145" t="s">
        <v>26</v>
      </c>
      <c r="D733">
        <v>1</v>
      </c>
      <c r="E733">
        <v>0</v>
      </c>
      <c r="F733">
        <v>0</v>
      </c>
      <c r="G733">
        <v>0</v>
      </c>
      <c r="H733">
        <v>0</v>
      </c>
      <c r="I733">
        <v>0</v>
      </c>
      <c r="J733">
        <v>0</v>
      </c>
      <c r="K733">
        <v>0</v>
      </c>
      <c r="L733">
        <v>0</v>
      </c>
      <c r="M733">
        <v>0</v>
      </c>
      <c r="N733">
        <v>0</v>
      </c>
      <c r="O733">
        <v>0</v>
      </c>
      <c r="P733">
        <v>0</v>
      </c>
      <c r="Q733">
        <v>0</v>
      </c>
      <c r="R733">
        <v>0</v>
      </c>
      <c r="S733">
        <v>0</v>
      </c>
      <c r="T733">
        <v>0</v>
      </c>
      <c r="U733">
        <v>0</v>
      </c>
      <c r="V733">
        <v>0</v>
      </c>
      <c r="W733">
        <v>0</v>
      </c>
      <c r="X733">
        <v>0</v>
      </c>
      <c r="Y733">
        <v>0</v>
      </c>
      <c r="Z733">
        <v>0</v>
      </c>
      <c r="AA733">
        <v>0</v>
      </c>
      <c r="AB733">
        <v>0</v>
      </c>
      <c r="AC733">
        <v>0</v>
      </c>
      <c r="AD733">
        <v>0</v>
      </c>
      <c r="AE733">
        <v>0</v>
      </c>
      <c r="AF733">
        <v>0</v>
      </c>
      <c r="AG733">
        <v>0</v>
      </c>
      <c r="AH733">
        <v>0</v>
      </c>
      <c r="AI733">
        <v>0</v>
      </c>
      <c r="AJ733">
        <v>0</v>
      </c>
      <c r="AK733">
        <v>0</v>
      </c>
      <c r="AL733">
        <v>0</v>
      </c>
      <c r="AM733">
        <v>0</v>
      </c>
      <c r="AN733">
        <v>0</v>
      </c>
      <c r="AO733">
        <v>0</v>
      </c>
      <c r="AP733">
        <v>0</v>
      </c>
      <c r="AQ733">
        <v>0</v>
      </c>
      <c r="AR733">
        <v>0</v>
      </c>
      <c r="AS733">
        <v>0</v>
      </c>
      <c r="AT733">
        <v>0</v>
      </c>
      <c r="AU733">
        <v>0</v>
      </c>
      <c r="AV733">
        <v>0</v>
      </c>
      <c r="AW733">
        <v>0</v>
      </c>
      <c r="AX733">
        <v>0</v>
      </c>
      <c r="AY733">
        <v>0</v>
      </c>
      <c r="AZ733">
        <v>0</v>
      </c>
      <c r="BA733">
        <v>0</v>
      </c>
      <c r="BB733">
        <v>0</v>
      </c>
      <c r="BC733">
        <v>0</v>
      </c>
      <c r="BD733">
        <v>0</v>
      </c>
      <c r="BE733">
        <v>0</v>
      </c>
      <c r="BF733">
        <v>0</v>
      </c>
      <c r="BG733">
        <v>0</v>
      </c>
      <c r="BH733">
        <v>0</v>
      </c>
      <c r="BI733">
        <v>0</v>
      </c>
      <c r="BJ733">
        <v>0</v>
      </c>
      <c r="BK733">
        <v>0</v>
      </c>
    </row>
    <row r="734" spans="3:63">
      <c r="C734" s="145" t="s">
        <v>43</v>
      </c>
      <c r="D734">
        <v>1</v>
      </c>
      <c r="E734">
        <v>0</v>
      </c>
      <c r="F734">
        <v>1</v>
      </c>
      <c r="G734">
        <v>0</v>
      </c>
      <c r="H734">
        <v>0</v>
      </c>
      <c r="I734">
        <v>0</v>
      </c>
      <c r="J734">
        <v>0</v>
      </c>
      <c r="K734">
        <v>0</v>
      </c>
      <c r="L734">
        <v>0</v>
      </c>
      <c r="M734">
        <v>0</v>
      </c>
      <c r="N734">
        <v>0</v>
      </c>
      <c r="O734">
        <v>0</v>
      </c>
      <c r="P734">
        <v>0</v>
      </c>
      <c r="Q734">
        <v>0</v>
      </c>
      <c r="R734">
        <v>0</v>
      </c>
      <c r="S734">
        <v>0</v>
      </c>
      <c r="T734">
        <v>0</v>
      </c>
      <c r="U734">
        <v>0</v>
      </c>
      <c r="V734">
        <v>0</v>
      </c>
      <c r="W734">
        <v>0</v>
      </c>
      <c r="X734">
        <v>0</v>
      </c>
      <c r="Y734">
        <v>0</v>
      </c>
      <c r="Z734">
        <v>0</v>
      </c>
      <c r="AA734">
        <v>0</v>
      </c>
      <c r="AB734">
        <v>0</v>
      </c>
      <c r="AC734">
        <v>0</v>
      </c>
      <c r="AD734">
        <v>0</v>
      </c>
      <c r="AE734">
        <v>0</v>
      </c>
      <c r="AF734">
        <v>0</v>
      </c>
      <c r="AG734">
        <v>0</v>
      </c>
      <c r="AH734">
        <v>0</v>
      </c>
      <c r="AI734">
        <v>0</v>
      </c>
      <c r="AJ734">
        <v>0</v>
      </c>
      <c r="AK734">
        <v>0</v>
      </c>
      <c r="AL734">
        <v>0</v>
      </c>
      <c r="AM734">
        <v>0</v>
      </c>
      <c r="AN734">
        <v>0</v>
      </c>
      <c r="AO734">
        <v>0</v>
      </c>
      <c r="AP734">
        <v>0</v>
      </c>
      <c r="AQ734">
        <v>0</v>
      </c>
      <c r="AR734">
        <v>0</v>
      </c>
      <c r="AS734">
        <v>0</v>
      </c>
      <c r="AT734">
        <v>0</v>
      </c>
      <c r="AU734">
        <v>0</v>
      </c>
      <c r="AV734">
        <v>0</v>
      </c>
      <c r="AW734">
        <v>0</v>
      </c>
      <c r="AX734">
        <v>0</v>
      </c>
      <c r="AY734">
        <v>0</v>
      </c>
      <c r="AZ734">
        <v>0</v>
      </c>
      <c r="BA734">
        <v>0</v>
      </c>
      <c r="BB734">
        <v>0</v>
      </c>
      <c r="BC734">
        <v>0</v>
      </c>
      <c r="BD734">
        <v>0</v>
      </c>
      <c r="BE734">
        <v>0</v>
      </c>
      <c r="BF734">
        <v>0</v>
      </c>
      <c r="BG734">
        <v>0</v>
      </c>
      <c r="BH734">
        <v>0</v>
      </c>
      <c r="BI734">
        <v>0</v>
      </c>
      <c r="BJ734">
        <v>0</v>
      </c>
      <c r="BK734">
        <v>0</v>
      </c>
    </row>
    <row r="735" spans="3:63">
      <c r="C735" s="145" t="s">
        <v>909</v>
      </c>
      <c r="D735">
        <v>0</v>
      </c>
      <c r="E735">
        <v>0</v>
      </c>
      <c r="F735">
        <v>0</v>
      </c>
      <c r="G735">
        <v>0</v>
      </c>
      <c r="H735">
        <v>0</v>
      </c>
      <c r="I735">
        <v>1</v>
      </c>
      <c r="J735">
        <v>0</v>
      </c>
      <c r="K735">
        <v>0</v>
      </c>
      <c r="L735">
        <v>0</v>
      </c>
      <c r="M735">
        <v>0</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v>0</v>
      </c>
      <c r="AN735">
        <v>0</v>
      </c>
      <c r="AO735">
        <v>0</v>
      </c>
      <c r="AP735">
        <v>0</v>
      </c>
      <c r="AQ735">
        <v>0</v>
      </c>
      <c r="AR735">
        <v>0</v>
      </c>
      <c r="AS735">
        <v>0</v>
      </c>
      <c r="AT735">
        <v>0</v>
      </c>
      <c r="AU735">
        <v>0</v>
      </c>
      <c r="AV735">
        <v>0</v>
      </c>
      <c r="AW735">
        <v>0</v>
      </c>
      <c r="AX735">
        <v>0</v>
      </c>
      <c r="AY735">
        <v>0</v>
      </c>
      <c r="AZ735">
        <v>0</v>
      </c>
      <c r="BA735">
        <v>0</v>
      </c>
      <c r="BB735">
        <v>0</v>
      </c>
      <c r="BC735">
        <v>0</v>
      </c>
      <c r="BD735">
        <v>0</v>
      </c>
      <c r="BE735">
        <v>0</v>
      </c>
      <c r="BF735">
        <v>0</v>
      </c>
      <c r="BG735">
        <v>0</v>
      </c>
      <c r="BH735">
        <v>0</v>
      </c>
      <c r="BI735">
        <v>0</v>
      </c>
      <c r="BJ735">
        <v>0</v>
      </c>
      <c r="BK735">
        <v>0</v>
      </c>
    </row>
    <row r="736" spans="3:63">
      <c r="C736" s="145" t="s">
        <v>30</v>
      </c>
      <c r="D736">
        <v>1</v>
      </c>
      <c r="E736">
        <v>1</v>
      </c>
      <c r="F736">
        <v>0</v>
      </c>
      <c r="G736">
        <v>0</v>
      </c>
      <c r="H736">
        <v>0</v>
      </c>
      <c r="I736">
        <v>0</v>
      </c>
      <c r="J736">
        <v>0</v>
      </c>
      <c r="K736">
        <v>0</v>
      </c>
      <c r="L736">
        <v>0</v>
      </c>
      <c r="M736">
        <v>0</v>
      </c>
      <c r="N736">
        <v>0</v>
      </c>
      <c r="O736">
        <v>0</v>
      </c>
      <c r="P736">
        <v>0</v>
      </c>
      <c r="Q736">
        <v>0</v>
      </c>
      <c r="R736">
        <v>0</v>
      </c>
      <c r="S736">
        <v>0</v>
      </c>
      <c r="T736">
        <v>0</v>
      </c>
      <c r="U736">
        <v>0</v>
      </c>
      <c r="V736">
        <v>0</v>
      </c>
      <c r="W736">
        <v>0</v>
      </c>
      <c r="X736">
        <v>0</v>
      </c>
      <c r="Y736">
        <v>0</v>
      </c>
      <c r="Z736">
        <v>0</v>
      </c>
      <c r="AA736">
        <v>0</v>
      </c>
      <c r="AB736">
        <v>0</v>
      </c>
      <c r="AC736">
        <v>0</v>
      </c>
      <c r="AD736">
        <v>0</v>
      </c>
      <c r="AE736">
        <v>0</v>
      </c>
      <c r="AF736">
        <v>0</v>
      </c>
      <c r="AG736">
        <v>0</v>
      </c>
      <c r="AH736">
        <v>0</v>
      </c>
      <c r="AI736">
        <v>0</v>
      </c>
      <c r="AJ736">
        <v>0</v>
      </c>
      <c r="AK736">
        <v>0</v>
      </c>
      <c r="AL736">
        <v>0</v>
      </c>
      <c r="AM736">
        <v>0</v>
      </c>
      <c r="AN736">
        <v>0</v>
      </c>
      <c r="AO736">
        <v>0</v>
      </c>
      <c r="AP736">
        <v>0</v>
      </c>
      <c r="AQ736">
        <v>0</v>
      </c>
      <c r="AR736">
        <v>0</v>
      </c>
      <c r="AS736">
        <v>0</v>
      </c>
      <c r="AT736">
        <v>0</v>
      </c>
      <c r="AU736">
        <v>0</v>
      </c>
      <c r="AV736">
        <v>0</v>
      </c>
      <c r="AW736">
        <v>0</v>
      </c>
      <c r="AX736">
        <v>0</v>
      </c>
      <c r="AY736">
        <v>0</v>
      </c>
      <c r="AZ736">
        <v>0</v>
      </c>
      <c r="BA736">
        <v>0</v>
      </c>
      <c r="BB736">
        <v>0</v>
      </c>
      <c r="BC736">
        <v>0</v>
      </c>
      <c r="BD736">
        <v>0</v>
      </c>
      <c r="BE736">
        <v>0</v>
      </c>
      <c r="BF736">
        <v>0</v>
      </c>
      <c r="BG736">
        <v>0</v>
      </c>
      <c r="BH736">
        <v>0</v>
      </c>
      <c r="BI736">
        <v>0</v>
      </c>
      <c r="BJ736">
        <v>0</v>
      </c>
      <c r="BK736">
        <v>0</v>
      </c>
    </row>
    <row r="737" spans="3:63">
      <c r="C737" s="145" t="s">
        <v>28</v>
      </c>
      <c r="D737">
        <v>0</v>
      </c>
      <c r="E737">
        <v>0</v>
      </c>
      <c r="F737">
        <v>0</v>
      </c>
      <c r="G737">
        <v>0</v>
      </c>
      <c r="H737">
        <v>0</v>
      </c>
      <c r="I737">
        <v>0</v>
      </c>
      <c r="J737">
        <v>0</v>
      </c>
      <c r="K737">
        <v>0</v>
      </c>
      <c r="L737">
        <v>0</v>
      </c>
      <c r="M737">
        <v>0</v>
      </c>
      <c r="N737">
        <v>0</v>
      </c>
      <c r="O737">
        <v>0</v>
      </c>
      <c r="P737">
        <v>0</v>
      </c>
      <c r="Q737">
        <v>1</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v>0</v>
      </c>
      <c r="AN737">
        <v>0</v>
      </c>
      <c r="AO737">
        <v>0</v>
      </c>
      <c r="AP737">
        <v>0</v>
      </c>
      <c r="AQ737">
        <v>0</v>
      </c>
      <c r="AR737">
        <v>0</v>
      </c>
      <c r="AS737">
        <v>0</v>
      </c>
      <c r="AT737">
        <v>0</v>
      </c>
      <c r="AU737">
        <v>0</v>
      </c>
      <c r="AV737">
        <v>0</v>
      </c>
      <c r="AW737">
        <v>0</v>
      </c>
      <c r="AX737">
        <v>0</v>
      </c>
      <c r="AY737">
        <v>0</v>
      </c>
      <c r="AZ737">
        <v>0</v>
      </c>
      <c r="BA737">
        <v>0</v>
      </c>
      <c r="BB737">
        <v>0</v>
      </c>
      <c r="BC737">
        <v>0</v>
      </c>
      <c r="BD737">
        <v>0</v>
      </c>
      <c r="BE737">
        <v>0</v>
      </c>
      <c r="BF737">
        <v>0</v>
      </c>
      <c r="BG737">
        <v>0</v>
      </c>
      <c r="BH737">
        <v>0</v>
      </c>
      <c r="BI737">
        <v>0</v>
      </c>
      <c r="BJ737">
        <v>0</v>
      </c>
      <c r="BK737">
        <v>0</v>
      </c>
    </row>
    <row r="738" spans="3:63">
      <c r="C738" s="145" t="s">
        <v>26</v>
      </c>
      <c r="D738">
        <v>1</v>
      </c>
      <c r="E738">
        <v>0</v>
      </c>
      <c r="F738">
        <v>0</v>
      </c>
      <c r="G738">
        <v>0</v>
      </c>
      <c r="H738">
        <v>0</v>
      </c>
      <c r="I738">
        <v>0</v>
      </c>
      <c r="J738">
        <v>0</v>
      </c>
      <c r="K738">
        <v>0</v>
      </c>
      <c r="L738">
        <v>0</v>
      </c>
      <c r="M738">
        <v>0</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v>0</v>
      </c>
      <c r="AN738">
        <v>0</v>
      </c>
      <c r="AO738">
        <v>0</v>
      </c>
      <c r="AP738">
        <v>0</v>
      </c>
      <c r="AQ738">
        <v>0</v>
      </c>
      <c r="AR738">
        <v>0</v>
      </c>
      <c r="AS738">
        <v>0</v>
      </c>
      <c r="AT738">
        <v>0</v>
      </c>
      <c r="AU738">
        <v>0</v>
      </c>
      <c r="AV738">
        <v>0</v>
      </c>
      <c r="AW738">
        <v>0</v>
      </c>
      <c r="AX738">
        <v>0</v>
      </c>
      <c r="AY738">
        <v>0</v>
      </c>
      <c r="AZ738">
        <v>0</v>
      </c>
      <c r="BA738">
        <v>0</v>
      </c>
      <c r="BB738">
        <v>0</v>
      </c>
      <c r="BC738">
        <v>0</v>
      </c>
      <c r="BD738">
        <v>0</v>
      </c>
      <c r="BE738">
        <v>0</v>
      </c>
      <c r="BF738">
        <v>0</v>
      </c>
      <c r="BG738">
        <v>0</v>
      </c>
      <c r="BH738">
        <v>0</v>
      </c>
      <c r="BI738">
        <v>0</v>
      </c>
      <c r="BJ738">
        <v>0</v>
      </c>
      <c r="BK738">
        <v>0</v>
      </c>
    </row>
    <row r="739" spans="3:63">
      <c r="C739" s="145" t="s">
        <v>26</v>
      </c>
      <c r="D739">
        <v>1</v>
      </c>
      <c r="E739">
        <v>0</v>
      </c>
      <c r="F739">
        <v>0</v>
      </c>
      <c r="G739">
        <v>0</v>
      </c>
      <c r="H739">
        <v>0</v>
      </c>
      <c r="I739">
        <v>0</v>
      </c>
      <c r="J739">
        <v>0</v>
      </c>
      <c r="K739">
        <v>0</v>
      </c>
      <c r="L739">
        <v>0</v>
      </c>
      <c r="M739">
        <v>0</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v>0</v>
      </c>
      <c r="AZ739">
        <v>0</v>
      </c>
      <c r="BA739">
        <v>0</v>
      </c>
      <c r="BB739">
        <v>0</v>
      </c>
      <c r="BC739">
        <v>0</v>
      </c>
      <c r="BD739">
        <v>0</v>
      </c>
      <c r="BE739">
        <v>0</v>
      </c>
      <c r="BF739">
        <v>0</v>
      </c>
      <c r="BG739">
        <v>0</v>
      </c>
      <c r="BH739">
        <v>0</v>
      </c>
      <c r="BI739">
        <v>0</v>
      </c>
      <c r="BJ739">
        <v>0</v>
      </c>
      <c r="BK739">
        <v>0</v>
      </c>
    </row>
    <row r="740" spans="3:63">
      <c r="C740" s="145" t="s">
        <v>909</v>
      </c>
      <c r="D740">
        <v>0</v>
      </c>
      <c r="E740">
        <v>0</v>
      </c>
      <c r="F740">
        <v>0</v>
      </c>
      <c r="G740">
        <v>0</v>
      </c>
      <c r="H740">
        <v>0</v>
      </c>
      <c r="I740">
        <v>1</v>
      </c>
      <c r="J740">
        <v>0</v>
      </c>
      <c r="K740">
        <v>0</v>
      </c>
      <c r="L740">
        <v>0</v>
      </c>
      <c r="M740">
        <v>0</v>
      </c>
      <c r="N740">
        <v>0</v>
      </c>
      <c r="O740">
        <v>0</v>
      </c>
      <c r="P740">
        <v>0</v>
      </c>
      <c r="Q740">
        <v>0</v>
      </c>
      <c r="R740">
        <v>0</v>
      </c>
      <c r="S740">
        <v>0</v>
      </c>
      <c r="T740">
        <v>0</v>
      </c>
      <c r="U740">
        <v>0</v>
      </c>
      <c r="V740">
        <v>0</v>
      </c>
      <c r="W740">
        <v>0</v>
      </c>
      <c r="X740">
        <v>0</v>
      </c>
      <c r="Y740">
        <v>0</v>
      </c>
      <c r="Z740">
        <v>0</v>
      </c>
      <c r="AA740">
        <v>0</v>
      </c>
      <c r="AB740">
        <v>0</v>
      </c>
      <c r="AC740">
        <v>0</v>
      </c>
      <c r="AD740">
        <v>0</v>
      </c>
      <c r="AE740">
        <v>0</v>
      </c>
      <c r="AF740">
        <v>0</v>
      </c>
      <c r="AG740">
        <v>0</v>
      </c>
      <c r="AH740">
        <v>0</v>
      </c>
      <c r="AI740">
        <v>0</v>
      </c>
      <c r="AJ740">
        <v>0</v>
      </c>
      <c r="AK740">
        <v>0</v>
      </c>
      <c r="AL740">
        <v>0</v>
      </c>
      <c r="AM740">
        <v>0</v>
      </c>
      <c r="AN740">
        <v>0</v>
      </c>
      <c r="AO740">
        <v>0</v>
      </c>
      <c r="AP740">
        <v>0</v>
      </c>
      <c r="AQ740">
        <v>0</v>
      </c>
      <c r="AR740">
        <v>0</v>
      </c>
      <c r="AS740">
        <v>0</v>
      </c>
      <c r="AT740">
        <v>0</v>
      </c>
      <c r="AU740">
        <v>0</v>
      </c>
      <c r="AV740">
        <v>0</v>
      </c>
      <c r="AW740">
        <v>0</v>
      </c>
      <c r="AX740">
        <v>0</v>
      </c>
      <c r="AY740">
        <v>0</v>
      </c>
      <c r="AZ740">
        <v>0</v>
      </c>
      <c r="BA740">
        <v>0</v>
      </c>
      <c r="BB740">
        <v>0</v>
      </c>
      <c r="BC740">
        <v>0</v>
      </c>
      <c r="BD740">
        <v>0</v>
      </c>
      <c r="BE740">
        <v>0</v>
      </c>
      <c r="BF740">
        <v>0</v>
      </c>
      <c r="BG740">
        <v>0</v>
      </c>
      <c r="BH740">
        <v>0</v>
      </c>
      <c r="BI740">
        <v>0</v>
      </c>
      <c r="BJ740">
        <v>0</v>
      </c>
      <c r="BK740">
        <v>0</v>
      </c>
    </row>
    <row r="741" spans="3:63">
      <c r="C741" s="145" t="s">
        <v>923</v>
      </c>
      <c r="D741">
        <v>1</v>
      </c>
      <c r="E741">
        <v>0</v>
      </c>
      <c r="F741">
        <v>0</v>
      </c>
      <c r="G741">
        <v>0</v>
      </c>
      <c r="H741">
        <v>1</v>
      </c>
      <c r="I741">
        <v>0</v>
      </c>
      <c r="J741">
        <v>0</v>
      </c>
      <c r="K741">
        <v>0</v>
      </c>
      <c r="L741">
        <v>0</v>
      </c>
      <c r="M741">
        <v>0</v>
      </c>
      <c r="N741">
        <v>0</v>
      </c>
      <c r="O741">
        <v>0</v>
      </c>
      <c r="P741">
        <v>0</v>
      </c>
      <c r="Q741">
        <v>0</v>
      </c>
      <c r="R741">
        <v>0</v>
      </c>
      <c r="S741">
        <v>0</v>
      </c>
      <c r="T741">
        <v>0</v>
      </c>
      <c r="U741">
        <v>0</v>
      </c>
      <c r="V741">
        <v>0</v>
      </c>
      <c r="W741">
        <v>0</v>
      </c>
      <c r="X741">
        <v>0</v>
      </c>
      <c r="Y741">
        <v>0</v>
      </c>
      <c r="Z741">
        <v>0</v>
      </c>
      <c r="AA741">
        <v>0</v>
      </c>
      <c r="AB741">
        <v>0</v>
      </c>
      <c r="AC741">
        <v>0</v>
      </c>
      <c r="AD741">
        <v>0</v>
      </c>
      <c r="AE741">
        <v>0</v>
      </c>
      <c r="AF741">
        <v>0</v>
      </c>
      <c r="AG741">
        <v>0</v>
      </c>
      <c r="AH741">
        <v>0</v>
      </c>
      <c r="AI741">
        <v>0</v>
      </c>
      <c r="AJ741">
        <v>0</v>
      </c>
      <c r="AK741">
        <v>0</v>
      </c>
      <c r="AL741">
        <v>0</v>
      </c>
      <c r="AM741">
        <v>0</v>
      </c>
      <c r="AN741">
        <v>0</v>
      </c>
      <c r="AO741">
        <v>0</v>
      </c>
      <c r="AP741">
        <v>0</v>
      </c>
      <c r="AQ741">
        <v>0</v>
      </c>
      <c r="AR741">
        <v>0</v>
      </c>
      <c r="AS741">
        <v>0</v>
      </c>
      <c r="AT741">
        <v>0</v>
      </c>
      <c r="AU741">
        <v>0</v>
      </c>
      <c r="AV741">
        <v>0</v>
      </c>
      <c r="AW741">
        <v>0</v>
      </c>
      <c r="AX741">
        <v>0</v>
      </c>
      <c r="AY741">
        <v>0</v>
      </c>
      <c r="AZ741">
        <v>0</v>
      </c>
      <c r="BA741">
        <v>0</v>
      </c>
      <c r="BB741">
        <v>0</v>
      </c>
      <c r="BC741">
        <v>0</v>
      </c>
      <c r="BD741">
        <v>0</v>
      </c>
      <c r="BE741">
        <v>0</v>
      </c>
      <c r="BF741">
        <v>0</v>
      </c>
      <c r="BG741">
        <v>0</v>
      </c>
      <c r="BH741">
        <v>0</v>
      </c>
      <c r="BI741">
        <v>0</v>
      </c>
      <c r="BJ741">
        <v>0</v>
      </c>
      <c r="BK741">
        <v>0</v>
      </c>
    </row>
    <row r="742" spans="3:63">
      <c r="C742" s="145" t="s">
        <v>30</v>
      </c>
      <c r="D742">
        <v>1</v>
      </c>
      <c r="E742">
        <v>1</v>
      </c>
      <c r="F742">
        <v>0</v>
      </c>
      <c r="G742">
        <v>0</v>
      </c>
      <c r="H742">
        <v>0</v>
      </c>
      <c r="I742">
        <v>0</v>
      </c>
      <c r="J742">
        <v>0</v>
      </c>
      <c r="K742">
        <v>0</v>
      </c>
      <c r="L742">
        <v>0</v>
      </c>
      <c r="M742">
        <v>0</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v>0</v>
      </c>
      <c r="AZ742">
        <v>0</v>
      </c>
      <c r="BA742">
        <v>0</v>
      </c>
      <c r="BB742">
        <v>0</v>
      </c>
      <c r="BC742">
        <v>0</v>
      </c>
      <c r="BD742">
        <v>0</v>
      </c>
      <c r="BE742">
        <v>0</v>
      </c>
      <c r="BF742">
        <v>0</v>
      </c>
      <c r="BG742">
        <v>0</v>
      </c>
      <c r="BH742">
        <v>0</v>
      </c>
      <c r="BI742">
        <v>0</v>
      </c>
      <c r="BJ742">
        <v>0</v>
      </c>
      <c r="BK742">
        <v>0</v>
      </c>
    </row>
    <row r="743" spans="3:63">
      <c r="C743" s="145" t="s">
        <v>916</v>
      </c>
      <c r="D743">
        <v>1</v>
      </c>
      <c r="E743">
        <v>0</v>
      </c>
      <c r="F743">
        <v>0</v>
      </c>
      <c r="G743">
        <v>0</v>
      </c>
      <c r="H743">
        <v>1</v>
      </c>
      <c r="I743">
        <v>1</v>
      </c>
      <c r="J743">
        <v>0</v>
      </c>
      <c r="K743">
        <v>0</v>
      </c>
      <c r="L743">
        <v>0</v>
      </c>
      <c r="M743">
        <v>0</v>
      </c>
      <c r="N743">
        <v>0</v>
      </c>
      <c r="O743">
        <v>0</v>
      </c>
      <c r="P743">
        <v>0</v>
      </c>
      <c r="Q743">
        <v>0</v>
      </c>
      <c r="R743">
        <v>0</v>
      </c>
      <c r="S743">
        <v>0</v>
      </c>
      <c r="T743">
        <v>0</v>
      </c>
      <c r="U743">
        <v>0</v>
      </c>
      <c r="V743">
        <v>0</v>
      </c>
      <c r="W743">
        <v>0</v>
      </c>
      <c r="X743">
        <v>0</v>
      </c>
      <c r="Y743">
        <v>0</v>
      </c>
      <c r="Z743">
        <v>0</v>
      </c>
      <c r="AA743">
        <v>0</v>
      </c>
      <c r="AB743">
        <v>0</v>
      </c>
      <c r="AC743">
        <v>0</v>
      </c>
      <c r="AD743">
        <v>0</v>
      </c>
      <c r="AE743">
        <v>0</v>
      </c>
      <c r="AF743">
        <v>0</v>
      </c>
      <c r="AG743">
        <v>0</v>
      </c>
      <c r="AH743">
        <v>0</v>
      </c>
      <c r="AI743">
        <v>0</v>
      </c>
      <c r="AJ743">
        <v>0</v>
      </c>
      <c r="AK743">
        <v>0</v>
      </c>
      <c r="AL743">
        <v>0</v>
      </c>
      <c r="AM743">
        <v>0</v>
      </c>
      <c r="AN743">
        <v>0</v>
      </c>
      <c r="AO743">
        <v>0</v>
      </c>
      <c r="AP743">
        <v>0</v>
      </c>
      <c r="AQ743">
        <v>0</v>
      </c>
      <c r="AR743">
        <v>0</v>
      </c>
      <c r="AS743">
        <v>0</v>
      </c>
      <c r="AT743">
        <v>0</v>
      </c>
      <c r="AU743">
        <v>0</v>
      </c>
      <c r="AV743">
        <v>0</v>
      </c>
      <c r="AW743">
        <v>0</v>
      </c>
      <c r="AX743">
        <v>0</v>
      </c>
      <c r="AY743">
        <v>0</v>
      </c>
      <c r="AZ743">
        <v>0</v>
      </c>
      <c r="BA743">
        <v>0</v>
      </c>
      <c r="BB743">
        <v>0</v>
      </c>
      <c r="BC743">
        <v>0</v>
      </c>
      <c r="BD743">
        <v>0</v>
      </c>
      <c r="BE743">
        <v>0</v>
      </c>
      <c r="BF743">
        <v>0</v>
      </c>
      <c r="BG743">
        <v>0</v>
      </c>
      <c r="BH743">
        <v>0</v>
      </c>
      <c r="BI743">
        <v>0</v>
      </c>
      <c r="BJ743">
        <v>0</v>
      </c>
      <c r="BK743">
        <v>0</v>
      </c>
    </row>
    <row r="744" spans="3:63">
      <c r="C744" s="145" t="s">
        <v>26</v>
      </c>
      <c r="D744">
        <v>1</v>
      </c>
      <c r="E744">
        <v>0</v>
      </c>
      <c r="F744">
        <v>0</v>
      </c>
      <c r="G744">
        <v>0</v>
      </c>
      <c r="H744">
        <v>0</v>
      </c>
      <c r="I744">
        <v>0</v>
      </c>
      <c r="J744">
        <v>0</v>
      </c>
      <c r="K744">
        <v>0</v>
      </c>
      <c r="L744">
        <v>0</v>
      </c>
      <c r="M744">
        <v>0</v>
      </c>
      <c r="N744">
        <v>0</v>
      </c>
      <c r="O744">
        <v>0</v>
      </c>
      <c r="P744">
        <v>0</v>
      </c>
      <c r="Q744">
        <v>0</v>
      </c>
      <c r="R744">
        <v>0</v>
      </c>
      <c r="S744">
        <v>0</v>
      </c>
      <c r="T744">
        <v>0</v>
      </c>
      <c r="U744">
        <v>0</v>
      </c>
      <c r="V744">
        <v>0</v>
      </c>
      <c r="W744">
        <v>0</v>
      </c>
      <c r="X744">
        <v>0</v>
      </c>
      <c r="Y744">
        <v>0</v>
      </c>
      <c r="Z744">
        <v>0</v>
      </c>
      <c r="AA744">
        <v>0</v>
      </c>
      <c r="AB744">
        <v>0</v>
      </c>
      <c r="AC744">
        <v>0</v>
      </c>
      <c r="AD744">
        <v>0</v>
      </c>
      <c r="AE744">
        <v>0</v>
      </c>
      <c r="AF744">
        <v>0</v>
      </c>
      <c r="AG744">
        <v>0</v>
      </c>
      <c r="AH744">
        <v>0</v>
      </c>
      <c r="AI744">
        <v>0</v>
      </c>
      <c r="AJ744">
        <v>0</v>
      </c>
      <c r="AK744">
        <v>0</v>
      </c>
      <c r="AL744">
        <v>0</v>
      </c>
      <c r="AM744">
        <v>0</v>
      </c>
      <c r="AN744">
        <v>0</v>
      </c>
      <c r="AO744">
        <v>0</v>
      </c>
      <c r="AP744">
        <v>0</v>
      </c>
      <c r="AQ744">
        <v>0</v>
      </c>
      <c r="AR744">
        <v>0</v>
      </c>
      <c r="AS744">
        <v>0</v>
      </c>
      <c r="AT744">
        <v>0</v>
      </c>
      <c r="AU744">
        <v>0</v>
      </c>
      <c r="AV744">
        <v>0</v>
      </c>
      <c r="AW744">
        <v>0</v>
      </c>
      <c r="AX744">
        <v>0</v>
      </c>
      <c r="AY744">
        <v>0</v>
      </c>
      <c r="AZ744">
        <v>0</v>
      </c>
      <c r="BA744">
        <v>0</v>
      </c>
      <c r="BB744">
        <v>0</v>
      </c>
      <c r="BC744">
        <v>0</v>
      </c>
      <c r="BD744">
        <v>0</v>
      </c>
      <c r="BE744">
        <v>0</v>
      </c>
      <c r="BF744">
        <v>0</v>
      </c>
      <c r="BG744">
        <v>0</v>
      </c>
      <c r="BH744">
        <v>0</v>
      </c>
      <c r="BI744">
        <v>0</v>
      </c>
      <c r="BJ744">
        <v>0</v>
      </c>
      <c r="BK744">
        <v>0</v>
      </c>
    </row>
    <row r="745" spans="3:63">
      <c r="C745" s="145" t="s">
        <v>933</v>
      </c>
      <c r="D745">
        <v>0</v>
      </c>
      <c r="E745">
        <v>0</v>
      </c>
      <c r="F745">
        <v>0</v>
      </c>
      <c r="G745">
        <v>0</v>
      </c>
      <c r="H745">
        <v>1</v>
      </c>
      <c r="I745">
        <v>1</v>
      </c>
      <c r="J745">
        <v>0</v>
      </c>
      <c r="K745">
        <v>0</v>
      </c>
      <c r="L745">
        <v>0</v>
      </c>
      <c r="M745">
        <v>0</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0</v>
      </c>
      <c r="AH745">
        <v>0</v>
      </c>
      <c r="AI745">
        <v>0</v>
      </c>
      <c r="AJ745">
        <v>0</v>
      </c>
      <c r="AK745">
        <v>0</v>
      </c>
      <c r="AL745">
        <v>0</v>
      </c>
      <c r="AM745">
        <v>0</v>
      </c>
      <c r="AN745">
        <v>0</v>
      </c>
      <c r="AO745">
        <v>0</v>
      </c>
      <c r="AP745">
        <v>0</v>
      </c>
      <c r="AQ745">
        <v>0</v>
      </c>
      <c r="AR745">
        <v>0</v>
      </c>
      <c r="AS745">
        <v>0</v>
      </c>
      <c r="AT745">
        <v>0</v>
      </c>
      <c r="AU745">
        <v>0</v>
      </c>
      <c r="AV745">
        <v>0</v>
      </c>
      <c r="AW745">
        <v>0</v>
      </c>
      <c r="AX745">
        <v>0</v>
      </c>
      <c r="AY745">
        <v>0</v>
      </c>
      <c r="AZ745">
        <v>0</v>
      </c>
      <c r="BA745">
        <v>0</v>
      </c>
      <c r="BB745">
        <v>0</v>
      </c>
      <c r="BC745">
        <v>0</v>
      </c>
      <c r="BD745">
        <v>0</v>
      </c>
      <c r="BE745">
        <v>0</v>
      </c>
      <c r="BF745">
        <v>0</v>
      </c>
      <c r="BG745">
        <v>0</v>
      </c>
      <c r="BH745">
        <v>0</v>
      </c>
      <c r="BI745">
        <v>0</v>
      </c>
      <c r="BJ745">
        <v>0</v>
      </c>
      <c r="BK745">
        <v>0</v>
      </c>
    </row>
    <row r="746" spans="3:63">
      <c r="C746" s="145" t="s">
        <v>51</v>
      </c>
      <c r="D746">
        <v>0</v>
      </c>
      <c r="E746">
        <v>0</v>
      </c>
      <c r="F746">
        <v>0</v>
      </c>
      <c r="G746">
        <v>0</v>
      </c>
      <c r="H746">
        <v>0</v>
      </c>
      <c r="I746">
        <v>0</v>
      </c>
      <c r="J746">
        <v>0</v>
      </c>
      <c r="K746">
        <v>1</v>
      </c>
      <c r="L746">
        <v>0</v>
      </c>
      <c r="M746">
        <v>0</v>
      </c>
      <c r="N746">
        <v>0</v>
      </c>
      <c r="O746">
        <v>0</v>
      </c>
      <c r="P746">
        <v>0</v>
      </c>
      <c r="Q746">
        <v>0</v>
      </c>
      <c r="R746">
        <v>0</v>
      </c>
      <c r="S746">
        <v>0</v>
      </c>
      <c r="T746">
        <v>0</v>
      </c>
      <c r="U746">
        <v>0</v>
      </c>
      <c r="V746">
        <v>0</v>
      </c>
      <c r="W746">
        <v>0</v>
      </c>
      <c r="X746">
        <v>0</v>
      </c>
      <c r="Y746">
        <v>0</v>
      </c>
      <c r="Z746">
        <v>0</v>
      </c>
      <c r="AA746">
        <v>0</v>
      </c>
      <c r="AB746">
        <v>0</v>
      </c>
      <c r="AC746">
        <v>0</v>
      </c>
      <c r="AD746">
        <v>0</v>
      </c>
      <c r="AE746">
        <v>0</v>
      </c>
      <c r="AF746">
        <v>0</v>
      </c>
      <c r="AG746">
        <v>0</v>
      </c>
      <c r="AH746">
        <v>0</v>
      </c>
      <c r="AI746">
        <v>0</v>
      </c>
      <c r="AJ746">
        <v>0</v>
      </c>
      <c r="AK746">
        <v>0</v>
      </c>
      <c r="AL746">
        <v>0</v>
      </c>
      <c r="AM746">
        <v>0</v>
      </c>
      <c r="AN746">
        <v>0</v>
      </c>
      <c r="AO746">
        <v>0</v>
      </c>
      <c r="AP746">
        <v>0</v>
      </c>
      <c r="AQ746">
        <v>0</v>
      </c>
      <c r="AR746">
        <v>0</v>
      </c>
      <c r="AS746">
        <v>0</v>
      </c>
      <c r="AT746">
        <v>0</v>
      </c>
      <c r="AU746">
        <v>0</v>
      </c>
      <c r="AV746">
        <v>0</v>
      </c>
      <c r="AW746">
        <v>0</v>
      </c>
      <c r="AX746">
        <v>0</v>
      </c>
      <c r="AY746">
        <v>0</v>
      </c>
      <c r="AZ746">
        <v>0</v>
      </c>
      <c r="BA746">
        <v>0</v>
      </c>
      <c r="BB746">
        <v>0</v>
      </c>
      <c r="BC746">
        <v>0</v>
      </c>
      <c r="BD746">
        <v>0</v>
      </c>
      <c r="BE746">
        <v>0</v>
      </c>
      <c r="BF746">
        <v>0</v>
      </c>
      <c r="BG746">
        <v>0</v>
      </c>
      <c r="BH746">
        <v>0</v>
      </c>
      <c r="BI746">
        <v>0</v>
      </c>
      <c r="BJ746">
        <v>0</v>
      </c>
      <c r="BK746">
        <v>0</v>
      </c>
    </row>
    <row r="747" spans="3:63">
      <c r="C747" s="145" t="s">
        <v>36</v>
      </c>
      <c r="D747">
        <v>0</v>
      </c>
      <c r="E747">
        <v>0</v>
      </c>
      <c r="F747">
        <v>0</v>
      </c>
      <c r="G747">
        <v>0</v>
      </c>
      <c r="H747">
        <v>1</v>
      </c>
      <c r="I747">
        <v>0</v>
      </c>
      <c r="J747">
        <v>0</v>
      </c>
      <c r="K747">
        <v>0</v>
      </c>
      <c r="L747">
        <v>0</v>
      </c>
      <c r="M747">
        <v>0</v>
      </c>
      <c r="N747">
        <v>0</v>
      </c>
      <c r="O747">
        <v>0</v>
      </c>
      <c r="P747">
        <v>0</v>
      </c>
      <c r="Q747">
        <v>0</v>
      </c>
      <c r="R747">
        <v>0</v>
      </c>
      <c r="S747">
        <v>0</v>
      </c>
      <c r="T747">
        <v>0</v>
      </c>
      <c r="U747">
        <v>0</v>
      </c>
      <c r="V747">
        <v>0</v>
      </c>
      <c r="W747">
        <v>0</v>
      </c>
      <c r="X747">
        <v>0</v>
      </c>
      <c r="Y747">
        <v>0</v>
      </c>
      <c r="Z747">
        <v>0</v>
      </c>
      <c r="AA747">
        <v>0</v>
      </c>
      <c r="AB747">
        <v>0</v>
      </c>
      <c r="AC747">
        <v>0</v>
      </c>
      <c r="AD747">
        <v>0</v>
      </c>
      <c r="AE747">
        <v>0</v>
      </c>
      <c r="AF747">
        <v>0</v>
      </c>
      <c r="AG747">
        <v>0</v>
      </c>
      <c r="AH747">
        <v>0</v>
      </c>
      <c r="AI747">
        <v>0</v>
      </c>
      <c r="AJ747">
        <v>0</v>
      </c>
      <c r="AK747">
        <v>0</v>
      </c>
      <c r="AL747">
        <v>0</v>
      </c>
      <c r="AM747">
        <v>0</v>
      </c>
      <c r="AN747">
        <v>0</v>
      </c>
      <c r="AO747">
        <v>0</v>
      </c>
      <c r="AP747">
        <v>0</v>
      </c>
      <c r="AQ747">
        <v>0</v>
      </c>
      <c r="AR747">
        <v>0</v>
      </c>
      <c r="AS747">
        <v>0</v>
      </c>
      <c r="AT747">
        <v>0</v>
      </c>
      <c r="AU747">
        <v>0</v>
      </c>
      <c r="AV747">
        <v>0</v>
      </c>
      <c r="AW747">
        <v>0</v>
      </c>
      <c r="AX747">
        <v>0</v>
      </c>
      <c r="AY747">
        <v>0</v>
      </c>
      <c r="AZ747">
        <v>0</v>
      </c>
      <c r="BA747">
        <v>0</v>
      </c>
      <c r="BB747">
        <v>0</v>
      </c>
      <c r="BC747">
        <v>0</v>
      </c>
      <c r="BD747">
        <v>0</v>
      </c>
      <c r="BE747">
        <v>0</v>
      </c>
      <c r="BF747">
        <v>0</v>
      </c>
      <c r="BG747">
        <v>0</v>
      </c>
      <c r="BH747">
        <v>0</v>
      </c>
      <c r="BI747">
        <v>0</v>
      </c>
      <c r="BJ747">
        <v>0</v>
      </c>
      <c r="BK747">
        <v>0</v>
      </c>
    </row>
    <row r="748" spans="3:63">
      <c r="C748" s="145" t="s">
        <v>25</v>
      </c>
      <c r="D748">
        <v>0</v>
      </c>
      <c r="E748">
        <v>0</v>
      </c>
      <c r="F748">
        <v>0</v>
      </c>
      <c r="G748">
        <v>0</v>
      </c>
      <c r="H748">
        <v>0</v>
      </c>
      <c r="I748">
        <v>0</v>
      </c>
      <c r="J748">
        <v>0</v>
      </c>
      <c r="K748">
        <v>0</v>
      </c>
      <c r="L748">
        <v>0</v>
      </c>
      <c r="M748">
        <v>1</v>
      </c>
      <c r="N748">
        <v>0</v>
      </c>
      <c r="O748">
        <v>0</v>
      </c>
      <c r="P748">
        <v>0</v>
      </c>
      <c r="Q748">
        <v>0</v>
      </c>
      <c r="R748">
        <v>0</v>
      </c>
      <c r="S748">
        <v>0</v>
      </c>
      <c r="T748">
        <v>0</v>
      </c>
      <c r="U748">
        <v>0</v>
      </c>
      <c r="V748">
        <v>0</v>
      </c>
      <c r="W748">
        <v>0</v>
      </c>
      <c r="X748">
        <v>0</v>
      </c>
      <c r="Y748">
        <v>0</v>
      </c>
      <c r="Z748">
        <v>0</v>
      </c>
      <c r="AA748">
        <v>0</v>
      </c>
      <c r="AB748">
        <v>0</v>
      </c>
      <c r="AC748">
        <v>0</v>
      </c>
      <c r="AD748">
        <v>0</v>
      </c>
      <c r="AE748">
        <v>0</v>
      </c>
      <c r="AF748">
        <v>0</v>
      </c>
      <c r="AG748">
        <v>0</v>
      </c>
      <c r="AH748">
        <v>0</v>
      </c>
      <c r="AI748">
        <v>0</v>
      </c>
      <c r="AJ748">
        <v>0</v>
      </c>
      <c r="AK748">
        <v>0</v>
      </c>
      <c r="AL748">
        <v>0</v>
      </c>
      <c r="AM748">
        <v>0</v>
      </c>
      <c r="AN748">
        <v>0</v>
      </c>
      <c r="AO748">
        <v>0</v>
      </c>
      <c r="AP748">
        <v>0</v>
      </c>
      <c r="AQ748">
        <v>0</v>
      </c>
      <c r="AR748">
        <v>0</v>
      </c>
      <c r="AS748">
        <v>0</v>
      </c>
      <c r="AT748">
        <v>0</v>
      </c>
      <c r="AU748">
        <v>0</v>
      </c>
      <c r="AV748">
        <v>0</v>
      </c>
      <c r="AW748">
        <v>0</v>
      </c>
      <c r="AX748">
        <v>0</v>
      </c>
      <c r="AY748">
        <v>0</v>
      </c>
      <c r="AZ748">
        <v>0</v>
      </c>
      <c r="BA748">
        <v>0</v>
      </c>
      <c r="BB748">
        <v>0</v>
      </c>
      <c r="BC748">
        <v>0</v>
      </c>
      <c r="BD748">
        <v>0</v>
      </c>
      <c r="BE748">
        <v>0</v>
      </c>
      <c r="BF748">
        <v>0</v>
      </c>
      <c r="BG748">
        <v>0</v>
      </c>
      <c r="BH748">
        <v>0</v>
      </c>
      <c r="BI748">
        <v>0</v>
      </c>
      <c r="BJ748">
        <v>0</v>
      </c>
      <c r="BK748">
        <v>0</v>
      </c>
    </row>
    <row r="749" spans="3:63">
      <c r="C749" s="145" t="s">
        <v>909</v>
      </c>
      <c r="D749">
        <v>0</v>
      </c>
      <c r="E749">
        <v>0</v>
      </c>
      <c r="F749">
        <v>0</v>
      </c>
      <c r="G749">
        <v>0</v>
      </c>
      <c r="H749">
        <v>0</v>
      </c>
      <c r="I749">
        <v>1</v>
      </c>
      <c r="J749">
        <v>0</v>
      </c>
      <c r="K749">
        <v>0</v>
      </c>
      <c r="L749">
        <v>0</v>
      </c>
      <c r="M749">
        <v>0</v>
      </c>
      <c r="N749">
        <v>0</v>
      </c>
      <c r="O749">
        <v>0</v>
      </c>
      <c r="P749">
        <v>0</v>
      </c>
      <c r="Q749">
        <v>0</v>
      </c>
      <c r="R749">
        <v>0</v>
      </c>
      <c r="S749">
        <v>0</v>
      </c>
      <c r="T749">
        <v>0</v>
      </c>
      <c r="U749">
        <v>0</v>
      </c>
      <c r="V749">
        <v>0</v>
      </c>
      <c r="W749">
        <v>0</v>
      </c>
      <c r="X749">
        <v>0</v>
      </c>
      <c r="Y749">
        <v>0</v>
      </c>
      <c r="Z749">
        <v>0</v>
      </c>
      <c r="AA749">
        <v>0</v>
      </c>
      <c r="AB749">
        <v>0</v>
      </c>
      <c r="AC749">
        <v>0</v>
      </c>
      <c r="AD749">
        <v>0</v>
      </c>
      <c r="AE749">
        <v>0</v>
      </c>
      <c r="AF749">
        <v>0</v>
      </c>
      <c r="AG749">
        <v>0</v>
      </c>
      <c r="AH749">
        <v>0</v>
      </c>
      <c r="AI749">
        <v>0</v>
      </c>
      <c r="AJ749">
        <v>0</v>
      </c>
      <c r="AK749">
        <v>0</v>
      </c>
      <c r="AL749">
        <v>0</v>
      </c>
      <c r="AM749">
        <v>0</v>
      </c>
      <c r="AN749">
        <v>0</v>
      </c>
      <c r="AO749">
        <v>0</v>
      </c>
      <c r="AP749">
        <v>0</v>
      </c>
      <c r="AQ749">
        <v>0</v>
      </c>
      <c r="AR749">
        <v>0</v>
      </c>
      <c r="AS749">
        <v>0</v>
      </c>
      <c r="AT749">
        <v>0</v>
      </c>
      <c r="AU749">
        <v>0</v>
      </c>
      <c r="AV749">
        <v>0</v>
      </c>
      <c r="AW749">
        <v>0</v>
      </c>
      <c r="AX749">
        <v>0</v>
      </c>
      <c r="AY749">
        <v>0</v>
      </c>
      <c r="AZ749">
        <v>0</v>
      </c>
      <c r="BA749">
        <v>0</v>
      </c>
      <c r="BB749">
        <v>0</v>
      </c>
      <c r="BC749">
        <v>0</v>
      </c>
      <c r="BD749">
        <v>0</v>
      </c>
      <c r="BE749">
        <v>0</v>
      </c>
      <c r="BF749">
        <v>0</v>
      </c>
      <c r="BG749">
        <v>0</v>
      </c>
      <c r="BH749">
        <v>0</v>
      </c>
      <c r="BI749">
        <v>0</v>
      </c>
      <c r="BJ749">
        <v>0</v>
      </c>
      <c r="BK749">
        <v>0</v>
      </c>
    </row>
    <row r="750" spans="3:63">
      <c r="C750" s="145" t="s">
        <v>26</v>
      </c>
      <c r="D750">
        <v>1</v>
      </c>
      <c r="E750">
        <v>0</v>
      </c>
      <c r="F750">
        <v>0</v>
      </c>
      <c r="G750">
        <v>0</v>
      </c>
      <c r="H750">
        <v>0</v>
      </c>
      <c r="I750">
        <v>0</v>
      </c>
      <c r="J750">
        <v>0</v>
      </c>
      <c r="K750">
        <v>0</v>
      </c>
      <c r="L750">
        <v>0</v>
      </c>
      <c r="M750">
        <v>0</v>
      </c>
      <c r="N750">
        <v>0</v>
      </c>
      <c r="O750">
        <v>0</v>
      </c>
      <c r="P750">
        <v>0</v>
      </c>
      <c r="Q750">
        <v>0</v>
      </c>
      <c r="R750">
        <v>0</v>
      </c>
      <c r="S750">
        <v>0</v>
      </c>
      <c r="T750">
        <v>0</v>
      </c>
      <c r="U750">
        <v>0</v>
      </c>
      <c r="V750">
        <v>0</v>
      </c>
      <c r="W750">
        <v>0</v>
      </c>
      <c r="X750">
        <v>0</v>
      </c>
      <c r="Y750">
        <v>0</v>
      </c>
      <c r="Z750">
        <v>0</v>
      </c>
      <c r="AA750">
        <v>0</v>
      </c>
      <c r="AB750">
        <v>0</v>
      </c>
      <c r="AC750">
        <v>0</v>
      </c>
      <c r="AD750">
        <v>0</v>
      </c>
      <c r="AE750">
        <v>0</v>
      </c>
      <c r="AF750">
        <v>0</v>
      </c>
      <c r="AG750">
        <v>0</v>
      </c>
      <c r="AH750">
        <v>0</v>
      </c>
      <c r="AI750">
        <v>0</v>
      </c>
      <c r="AJ750">
        <v>0</v>
      </c>
      <c r="AK750">
        <v>0</v>
      </c>
      <c r="AL750">
        <v>0</v>
      </c>
      <c r="AM750">
        <v>0</v>
      </c>
      <c r="AN750">
        <v>0</v>
      </c>
      <c r="AO750">
        <v>0</v>
      </c>
      <c r="AP750">
        <v>0</v>
      </c>
      <c r="AQ750">
        <v>0</v>
      </c>
      <c r="AR750">
        <v>0</v>
      </c>
      <c r="AS750">
        <v>0</v>
      </c>
      <c r="AT750">
        <v>0</v>
      </c>
      <c r="AU750">
        <v>0</v>
      </c>
      <c r="AV750">
        <v>0</v>
      </c>
      <c r="AW750">
        <v>0</v>
      </c>
      <c r="AX750">
        <v>0</v>
      </c>
      <c r="AY750">
        <v>0</v>
      </c>
      <c r="AZ750">
        <v>0</v>
      </c>
      <c r="BA750">
        <v>0</v>
      </c>
      <c r="BB750">
        <v>0</v>
      </c>
      <c r="BC750">
        <v>0</v>
      </c>
      <c r="BD750">
        <v>0</v>
      </c>
      <c r="BE750">
        <v>0</v>
      </c>
      <c r="BF750">
        <v>0</v>
      </c>
      <c r="BG750">
        <v>0</v>
      </c>
      <c r="BH750">
        <v>0</v>
      </c>
      <c r="BI750">
        <v>0</v>
      </c>
      <c r="BJ750">
        <v>0</v>
      </c>
      <c r="BK750">
        <v>0</v>
      </c>
    </row>
    <row r="751" spans="3:63">
      <c r="C751" s="145" t="s">
        <v>906</v>
      </c>
      <c r="D751">
        <v>1</v>
      </c>
      <c r="E751">
        <v>0</v>
      </c>
      <c r="F751">
        <v>0</v>
      </c>
      <c r="G751">
        <v>0</v>
      </c>
      <c r="H751">
        <v>0</v>
      </c>
      <c r="I751">
        <v>1</v>
      </c>
      <c r="J751">
        <v>0</v>
      </c>
      <c r="K751">
        <v>0</v>
      </c>
      <c r="L751">
        <v>0</v>
      </c>
      <c r="M751">
        <v>0</v>
      </c>
      <c r="N751">
        <v>1</v>
      </c>
      <c r="O751">
        <v>0</v>
      </c>
      <c r="P751">
        <v>0</v>
      </c>
      <c r="Q751">
        <v>0</v>
      </c>
      <c r="R751">
        <v>0</v>
      </c>
      <c r="S751">
        <v>0</v>
      </c>
      <c r="T751">
        <v>0</v>
      </c>
      <c r="U751">
        <v>0</v>
      </c>
      <c r="V751">
        <v>0</v>
      </c>
      <c r="W751">
        <v>0</v>
      </c>
      <c r="X751">
        <v>0</v>
      </c>
      <c r="Y751">
        <v>0</v>
      </c>
      <c r="Z751">
        <v>0</v>
      </c>
      <c r="AA751">
        <v>0</v>
      </c>
      <c r="AB751">
        <v>0</v>
      </c>
      <c r="AC751">
        <v>0</v>
      </c>
      <c r="AD751">
        <v>0</v>
      </c>
      <c r="AE751">
        <v>0</v>
      </c>
      <c r="AF751">
        <v>0</v>
      </c>
      <c r="AG751">
        <v>0</v>
      </c>
      <c r="AH751">
        <v>0</v>
      </c>
      <c r="AI751">
        <v>0</v>
      </c>
      <c r="AJ751">
        <v>0</v>
      </c>
      <c r="AK751">
        <v>0</v>
      </c>
      <c r="AL751">
        <v>0</v>
      </c>
      <c r="AM751">
        <v>0</v>
      </c>
      <c r="AN751">
        <v>0</v>
      </c>
      <c r="AO751">
        <v>0</v>
      </c>
      <c r="AP751">
        <v>0</v>
      </c>
      <c r="AQ751">
        <v>0</v>
      </c>
      <c r="AR751">
        <v>0</v>
      </c>
      <c r="AS751">
        <v>0</v>
      </c>
      <c r="AT751">
        <v>0</v>
      </c>
      <c r="AU751">
        <v>0</v>
      </c>
      <c r="AV751">
        <v>0</v>
      </c>
      <c r="AW751">
        <v>0</v>
      </c>
      <c r="AX751">
        <v>0</v>
      </c>
      <c r="AY751">
        <v>0</v>
      </c>
      <c r="AZ751">
        <v>0</v>
      </c>
      <c r="BA751">
        <v>0</v>
      </c>
      <c r="BB751">
        <v>0</v>
      </c>
      <c r="BC751">
        <v>0</v>
      </c>
      <c r="BD751">
        <v>0</v>
      </c>
      <c r="BE751">
        <v>0</v>
      </c>
      <c r="BF751">
        <v>0</v>
      </c>
      <c r="BG751">
        <v>0</v>
      </c>
      <c r="BH751">
        <v>0</v>
      </c>
      <c r="BI751">
        <v>0</v>
      </c>
      <c r="BJ751">
        <v>0</v>
      </c>
      <c r="BK751">
        <v>0</v>
      </c>
    </row>
    <row r="752" spans="3:63">
      <c r="C752" s="145" t="s">
        <v>26</v>
      </c>
      <c r="D752">
        <v>1</v>
      </c>
      <c r="E752">
        <v>0</v>
      </c>
      <c r="F752">
        <v>0</v>
      </c>
      <c r="G752">
        <v>0</v>
      </c>
      <c r="H752">
        <v>0</v>
      </c>
      <c r="I752">
        <v>0</v>
      </c>
      <c r="J752">
        <v>0</v>
      </c>
      <c r="K752">
        <v>0</v>
      </c>
      <c r="L752">
        <v>0</v>
      </c>
      <c r="M752">
        <v>0</v>
      </c>
      <c r="N752">
        <v>0</v>
      </c>
      <c r="O752">
        <v>0</v>
      </c>
      <c r="P752">
        <v>0</v>
      </c>
      <c r="Q752">
        <v>0</v>
      </c>
      <c r="R752">
        <v>0</v>
      </c>
      <c r="S752">
        <v>0</v>
      </c>
      <c r="T752">
        <v>0</v>
      </c>
      <c r="U752">
        <v>0</v>
      </c>
      <c r="V752">
        <v>0</v>
      </c>
      <c r="W752">
        <v>0</v>
      </c>
      <c r="X752">
        <v>0</v>
      </c>
      <c r="Y752">
        <v>0</v>
      </c>
      <c r="Z752">
        <v>0</v>
      </c>
      <c r="AA752">
        <v>0</v>
      </c>
      <c r="AB752">
        <v>0</v>
      </c>
      <c r="AC752">
        <v>0</v>
      </c>
      <c r="AD752">
        <v>0</v>
      </c>
      <c r="AE752">
        <v>0</v>
      </c>
      <c r="AF752">
        <v>0</v>
      </c>
      <c r="AG752">
        <v>0</v>
      </c>
      <c r="AH752">
        <v>0</v>
      </c>
      <c r="AI752">
        <v>0</v>
      </c>
      <c r="AJ752">
        <v>0</v>
      </c>
      <c r="AK752">
        <v>0</v>
      </c>
      <c r="AL752">
        <v>0</v>
      </c>
      <c r="AM752">
        <v>0</v>
      </c>
      <c r="AN752">
        <v>0</v>
      </c>
      <c r="AO752">
        <v>0</v>
      </c>
      <c r="AP752">
        <v>0</v>
      </c>
      <c r="AQ752">
        <v>0</v>
      </c>
      <c r="AR752">
        <v>0</v>
      </c>
      <c r="AS752">
        <v>0</v>
      </c>
      <c r="AT752">
        <v>0</v>
      </c>
      <c r="AU752">
        <v>0</v>
      </c>
      <c r="AV752">
        <v>0</v>
      </c>
      <c r="AW752">
        <v>0</v>
      </c>
      <c r="AX752">
        <v>0</v>
      </c>
      <c r="AY752">
        <v>0</v>
      </c>
      <c r="AZ752">
        <v>0</v>
      </c>
      <c r="BA752">
        <v>0</v>
      </c>
      <c r="BB752">
        <v>0</v>
      </c>
      <c r="BC752">
        <v>0</v>
      </c>
      <c r="BD752">
        <v>0</v>
      </c>
      <c r="BE752">
        <v>0</v>
      </c>
      <c r="BF752">
        <v>0</v>
      </c>
      <c r="BG752">
        <v>0</v>
      </c>
      <c r="BH752">
        <v>0</v>
      </c>
      <c r="BI752">
        <v>0</v>
      </c>
      <c r="BJ752">
        <v>0</v>
      </c>
      <c r="BK752">
        <v>0</v>
      </c>
    </row>
    <row r="753" spans="3:63">
      <c r="C753" s="145" t="s">
        <v>28</v>
      </c>
      <c r="D753">
        <v>0</v>
      </c>
      <c r="E753">
        <v>0</v>
      </c>
      <c r="F753">
        <v>0</v>
      </c>
      <c r="G753">
        <v>0</v>
      </c>
      <c r="H753">
        <v>0</v>
      </c>
      <c r="I753">
        <v>0</v>
      </c>
      <c r="J753">
        <v>0</v>
      </c>
      <c r="K753">
        <v>0</v>
      </c>
      <c r="L753">
        <v>0</v>
      </c>
      <c r="M753">
        <v>0</v>
      </c>
      <c r="N753">
        <v>0</v>
      </c>
      <c r="O753">
        <v>0</v>
      </c>
      <c r="P753">
        <v>0</v>
      </c>
      <c r="Q753">
        <v>1</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v>0</v>
      </c>
      <c r="AN753">
        <v>0</v>
      </c>
      <c r="AO753">
        <v>0</v>
      </c>
      <c r="AP753">
        <v>0</v>
      </c>
      <c r="AQ753">
        <v>0</v>
      </c>
      <c r="AR753">
        <v>0</v>
      </c>
      <c r="AS753">
        <v>0</v>
      </c>
      <c r="AT753">
        <v>0</v>
      </c>
      <c r="AU753">
        <v>0</v>
      </c>
      <c r="AV753">
        <v>0</v>
      </c>
      <c r="AW753">
        <v>0</v>
      </c>
      <c r="AX753">
        <v>0</v>
      </c>
      <c r="AY753">
        <v>0</v>
      </c>
      <c r="AZ753">
        <v>0</v>
      </c>
      <c r="BA753">
        <v>0</v>
      </c>
      <c r="BB753">
        <v>0</v>
      </c>
      <c r="BC753">
        <v>0</v>
      </c>
      <c r="BD753">
        <v>0</v>
      </c>
      <c r="BE753">
        <v>0</v>
      </c>
      <c r="BF753">
        <v>0</v>
      </c>
      <c r="BG753">
        <v>0</v>
      </c>
      <c r="BH753">
        <v>0</v>
      </c>
      <c r="BI753">
        <v>0</v>
      </c>
      <c r="BJ753">
        <v>0</v>
      </c>
      <c r="BK753">
        <v>0</v>
      </c>
    </row>
    <row r="754" spans="3:63">
      <c r="C754" s="145" t="s">
        <v>983</v>
      </c>
      <c r="D754">
        <v>0</v>
      </c>
      <c r="E754">
        <v>0</v>
      </c>
      <c r="F754">
        <v>1</v>
      </c>
      <c r="G754">
        <v>1</v>
      </c>
      <c r="H754">
        <v>0</v>
      </c>
      <c r="I754">
        <v>0</v>
      </c>
      <c r="J754">
        <v>0</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v>0</v>
      </c>
      <c r="AZ754">
        <v>0</v>
      </c>
      <c r="BA754">
        <v>0</v>
      </c>
      <c r="BB754">
        <v>0</v>
      </c>
      <c r="BC754">
        <v>0</v>
      </c>
      <c r="BD754">
        <v>0</v>
      </c>
      <c r="BE754">
        <v>0</v>
      </c>
      <c r="BF754">
        <v>0</v>
      </c>
      <c r="BG754">
        <v>0</v>
      </c>
      <c r="BH754">
        <v>0</v>
      </c>
      <c r="BI754">
        <v>0</v>
      </c>
      <c r="BJ754">
        <v>0</v>
      </c>
      <c r="BK754">
        <v>0</v>
      </c>
    </row>
    <row r="755" spans="3:63">
      <c r="C755" s="145" t="s">
        <v>48</v>
      </c>
      <c r="D755">
        <v>0</v>
      </c>
      <c r="E755">
        <v>0</v>
      </c>
      <c r="F755">
        <v>1</v>
      </c>
      <c r="G755">
        <v>0</v>
      </c>
      <c r="H755">
        <v>0</v>
      </c>
      <c r="I755">
        <v>0</v>
      </c>
      <c r="J755">
        <v>0</v>
      </c>
      <c r="K755">
        <v>0</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v>0</v>
      </c>
      <c r="AZ755">
        <v>0</v>
      </c>
      <c r="BA755">
        <v>0</v>
      </c>
      <c r="BB755">
        <v>0</v>
      </c>
      <c r="BC755">
        <v>0</v>
      </c>
      <c r="BD755">
        <v>0</v>
      </c>
      <c r="BE755">
        <v>0</v>
      </c>
      <c r="BF755">
        <v>0</v>
      </c>
      <c r="BG755">
        <v>0</v>
      </c>
      <c r="BH755">
        <v>0</v>
      </c>
      <c r="BI755">
        <v>0</v>
      </c>
      <c r="BJ755">
        <v>0</v>
      </c>
      <c r="BK755">
        <v>0</v>
      </c>
    </row>
    <row r="756" spans="3:63">
      <c r="C756" s="145" t="s">
        <v>48</v>
      </c>
      <c r="D756">
        <v>0</v>
      </c>
      <c r="E756">
        <v>0</v>
      </c>
      <c r="F756">
        <v>1</v>
      </c>
      <c r="G756">
        <v>0</v>
      </c>
      <c r="H756">
        <v>0</v>
      </c>
      <c r="I756">
        <v>0</v>
      </c>
      <c r="J756">
        <v>0</v>
      </c>
      <c r="K756">
        <v>0</v>
      </c>
      <c r="L756">
        <v>0</v>
      </c>
      <c r="M756">
        <v>0</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v>0</v>
      </c>
      <c r="AZ756">
        <v>0</v>
      </c>
      <c r="BA756">
        <v>0</v>
      </c>
      <c r="BB756">
        <v>0</v>
      </c>
      <c r="BC756">
        <v>0</v>
      </c>
      <c r="BD756">
        <v>0</v>
      </c>
      <c r="BE756">
        <v>0</v>
      </c>
      <c r="BF756">
        <v>0</v>
      </c>
      <c r="BG756">
        <v>0</v>
      </c>
      <c r="BH756">
        <v>0</v>
      </c>
      <c r="BI756">
        <v>0</v>
      </c>
      <c r="BJ756">
        <v>0</v>
      </c>
      <c r="BK756">
        <v>0</v>
      </c>
    </row>
    <row r="757" spans="3:63">
      <c r="C757" s="145" t="s">
        <v>48</v>
      </c>
      <c r="D757">
        <v>0</v>
      </c>
      <c r="E757">
        <v>0</v>
      </c>
      <c r="F757">
        <v>1</v>
      </c>
      <c r="G757">
        <v>0</v>
      </c>
      <c r="H757">
        <v>0</v>
      </c>
      <c r="I757">
        <v>0</v>
      </c>
      <c r="J757">
        <v>0</v>
      </c>
      <c r="K757">
        <v>0</v>
      </c>
      <c r="L757">
        <v>0</v>
      </c>
      <c r="M757">
        <v>0</v>
      </c>
      <c r="N757">
        <v>0</v>
      </c>
      <c r="O757">
        <v>0</v>
      </c>
      <c r="P757">
        <v>0</v>
      </c>
      <c r="Q757">
        <v>0</v>
      </c>
      <c r="R757">
        <v>0</v>
      </c>
      <c r="S757">
        <v>0</v>
      </c>
      <c r="T757">
        <v>0</v>
      </c>
      <c r="U757">
        <v>0</v>
      </c>
      <c r="V757">
        <v>0</v>
      </c>
      <c r="W757">
        <v>0</v>
      </c>
      <c r="X757">
        <v>0</v>
      </c>
      <c r="Y757">
        <v>0</v>
      </c>
      <c r="Z757">
        <v>0</v>
      </c>
      <c r="AA757">
        <v>0</v>
      </c>
      <c r="AB757">
        <v>0</v>
      </c>
      <c r="AC757">
        <v>0</v>
      </c>
      <c r="AD757">
        <v>0</v>
      </c>
      <c r="AE757">
        <v>0</v>
      </c>
      <c r="AF757">
        <v>0</v>
      </c>
      <c r="AG757">
        <v>0</v>
      </c>
      <c r="AH757">
        <v>0</v>
      </c>
      <c r="AI757">
        <v>0</v>
      </c>
      <c r="AJ757">
        <v>0</v>
      </c>
      <c r="AK757">
        <v>0</v>
      </c>
      <c r="AL757">
        <v>0</v>
      </c>
      <c r="AM757">
        <v>0</v>
      </c>
      <c r="AN757">
        <v>0</v>
      </c>
      <c r="AO757">
        <v>0</v>
      </c>
      <c r="AP757">
        <v>0</v>
      </c>
      <c r="AQ757">
        <v>0</v>
      </c>
      <c r="AR757">
        <v>0</v>
      </c>
      <c r="AS757">
        <v>0</v>
      </c>
      <c r="AT757">
        <v>0</v>
      </c>
      <c r="AU757">
        <v>0</v>
      </c>
      <c r="AV757">
        <v>0</v>
      </c>
      <c r="AW757">
        <v>0</v>
      </c>
      <c r="AX757">
        <v>0</v>
      </c>
      <c r="AY757">
        <v>0</v>
      </c>
      <c r="AZ757">
        <v>0</v>
      </c>
      <c r="BA757">
        <v>0</v>
      </c>
      <c r="BB757">
        <v>0</v>
      </c>
      <c r="BC757">
        <v>0</v>
      </c>
      <c r="BD757">
        <v>0</v>
      </c>
      <c r="BE757">
        <v>0</v>
      </c>
      <c r="BF757">
        <v>0</v>
      </c>
      <c r="BG757">
        <v>0</v>
      </c>
      <c r="BH757">
        <v>0</v>
      </c>
      <c r="BI757">
        <v>0</v>
      </c>
      <c r="BJ757">
        <v>0</v>
      </c>
      <c r="BK757">
        <v>0</v>
      </c>
    </row>
    <row r="758" spans="3:63">
      <c r="C758" s="145" t="s">
        <v>48</v>
      </c>
      <c r="D758">
        <v>0</v>
      </c>
      <c r="E758">
        <v>0</v>
      </c>
      <c r="F758">
        <v>1</v>
      </c>
      <c r="G758">
        <v>0</v>
      </c>
      <c r="H758">
        <v>0</v>
      </c>
      <c r="I758">
        <v>0</v>
      </c>
      <c r="J758">
        <v>0</v>
      </c>
      <c r="K758">
        <v>0</v>
      </c>
      <c r="L758">
        <v>0</v>
      </c>
      <c r="M758">
        <v>0</v>
      </c>
      <c r="N758">
        <v>0</v>
      </c>
      <c r="O758">
        <v>0</v>
      </c>
      <c r="P758">
        <v>0</v>
      </c>
      <c r="Q758">
        <v>0</v>
      </c>
      <c r="R758">
        <v>0</v>
      </c>
      <c r="S758">
        <v>0</v>
      </c>
      <c r="T758">
        <v>0</v>
      </c>
      <c r="U758">
        <v>0</v>
      </c>
      <c r="V758">
        <v>0</v>
      </c>
      <c r="W758">
        <v>0</v>
      </c>
      <c r="X758">
        <v>0</v>
      </c>
      <c r="Y758">
        <v>0</v>
      </c>
      <c r="Z758">
        <v>0</v>
      </c>
      <c r="AA758">
        <v>0</v>
      </c>
      <c r="AB758">
        <v>0</v>
      </c>
      <c r="AC758">
        <v>0</v>
      </c>
      <c r="AD758">
        <v>0</v>
      </c>
      <c r="AE758">
        <v>0</v>
      </c>
      <c r="AF758">
        <v>0</v>
      </c>
      <c r="AG758">
        <v>0</v>
      </c>
      <c r="AH758">
        <v>0</v>
      </c>
      <c r="AI758">
        <v>0</v>
      </c>
      <c r="AJ758">
        <v>0</v>
      </c>
      <c r="AK758">
        <v>0</v>
      </c>
      <c r="AL758">
        <v>0</v>
      </c>
      <c r="AM758">
        <v>0</v>
      </c>
      <c r="AN758">
        <v>0</v>
      </c>
      <c r="AO758">
        <v>0</v>
      </c>
      <c r="AP758">
        <v>0</v>
      </c>
      <c r="AQ758">
        <v>0</v>
      </c>
      <c r="AR758">
        <v>0</v>
      </c>
      <c r="AS758">
        <v>0</v>
      </c>
      <c r="AT758">
        <v>0</v>
      </c>
      <c r="AU758">
        <v>0</v>
      </c>
      <c r="AV758">
        <v>0</v>
      </c>
      <c r="AW758">
        <v>0</v>
      </c>
      <c r="AX758">
        <v>0</v>
      </c>
      <c r="AY758">
        <v>0</v>
      </c>
      <c r="AZ758">
        <v>0</v>
      </c>
      <c r="BA758">
        <v>0</v>
      </c>
      <c r="BB758">
        <v>0</v>
      </c>
      <c r="BC758">
        <v>0</v>
      </c>
      <c r="BD758">
        <v>0</v>
      </c>
      <c r="BE758">
        <v>0</v>
      </c>
      <c r="BF758">
        <v>0</v>
      </c>
      <c r="BG758">
        <v>0</v>
      </c>
      <c r="BH758">
        <v>0</v>
      </c>
      <c r="BI758">
        <v>0</v>
      </c>
      <c r="BJ758">
        <v>0</v>
      </c>
      <c r="BK758">
        <v>0</v>
      </c>
    </row>
    <row r="759" spans="3:63">
      <c r="C759" s="145" t="s">
        <v>48</v>
      </c>
      <c r="D759">
        <v>0</v>
      </c>
      <c r="E759">
        <v>0</v>
      </c>
      <c r="F759">
        <v>1</v>
      </c>
      <c r="G759">
        <v>0</v>
      </c>
      <c r="H759">
        <v>0</v>
      </c>
      <c r="I759">
        <v>0</v>
      </c>
      <c r="J759">
        <v>0</v>
      </c>
      <c r="K759">
        <v>0</v>
      </c>
      <c r="L759">
        <v>0</v>
      </c>
      <c r="M759">
        <v>0</v>
      </c>
      <c r="N759">
        <v>0</v>
      </c>
      <c r="O759">
        <v>0</v>
      </c>
      <c r="P759">
        <v>0</v>
      </c>
      <c r="Q759">
        <v>0</v>
      </c>
      <c r="R759">
        <v>0</v>
      </c>
      <c r="S759">
        <v>0</v>
      </c>
      <c r="T759">
        <v>0</v>
      </c>
      <c r="U759">
        <v>0</v>
      </c>
      <c r="V759">
        <v>0</v>
      </c>
      <c r="W759">
        <v>0</v>
      </c>
      <c r="X759">
        <v>0</v>
      </c>
      <c r="Y759">
        <v>0</v>
      </c>
      <c r="Z759">
        <v>0</v>
      </c>
      <c r="AA759">
        <v>0</v>
      </c>
      <c r="AB759">
        <v>0</v>
      </c>
      <c r="AC759">
        <v>0</v>
      </c>
      <c r="AD759">
        <v>0</v>
      </c>
      <c r="AE759">
        <v>0</v>
      </c>
      <c r="AF759">
        <v>0</v>
      </c>
      <c r="AG759">
        <v>0</v>
      </c>
      <c r="AH759">
        <v>0</v>
      </c>
      <c r="AI759">
        <v>0</v>
      </c>
      <c r="AJ759">
        <v>0</v>
      </c>
      <c r="AK759">
        <v>0</v>
      </c>
      <c r="AL759">
        <v>0</v>
      </c>
      <c r="AM759">
        <v>0</v>
      </c>
      <c r="AN759">
        <v>0</v>
      </c>
      <c r="AO759">
        <v>0</v>
      </c>
      <c r="AP759">
        <v>0</v>
      </c>
      <c r="AQ759">
        <v>0</v>
      </c>
      <c r="AR759">
        <v>0</v>
      </c>
      <c r="AS759">
        <v>0</v>
      </c>
      <c r="AT759">
        <v>0</v>
      </c>
      <c r="AU759">
        <v>0</v>
      </c>
      <c r="AV759">
        <v>0</v>
      </c>
      <c r="AW759">
        <v>0</v>
      </c>
      <c r="AX759">
        <v>0</v>
      </c>
      <c r="AY759">
        <v>0</v>
      </c>
      <c r="AZ759">
        <v>0</v>
      </c>
      <c r="BA759">
        <v>0</v>
      </c>
      <c r="BB759">
        <v>0</v>
      </c>
      <c r="BC759">
        <v>0</v>
      </c>
      <c r="BD759">
        <v>0</v>
      </c>
      <c r="BE759">
        <v>0</v>
      </c>
      <c r="BF759">
        <v>0</v>
      </c>
      <c r="BG759">
        <v>0</v>
      </c>
      <c r="BH759">
        <v>0</v>
      </c>
      <c r="BI759">
        <v>0</v>
      </c>
      <c r="BJ759">
        <v>0</v>
      </c>
      <c r="BK759">
        <v>0</v>
      </c>
    </row>
    <row r="760" spans="3:63">
      <c r="C760" s="145" t="s">
        <v>48</v>
      </c>
      <c r="D760">
        <v>0</v>
      </c>
      <c r="E760">
        <v>0</v>
      </c>
      <c r="F760">
        <v>1</v>
      </c>
      <c r="G760">
        <v>0</v>
      </c>
      <c r="H760">
        <v>0</v>
      </c>
      <c r="I760">
        <v>0</v>
      </c>
      <c r="J760">
        <v>0</v>
      </c>
      <c r="K760">
        <v>0</v>
      </c>
      <c r="L760">
        <v>0</v>
      </c>
      <c r="M760">
        <v>0</v>
      </c>
      <c r="N760">
        <v>0</v>
      </c>
      <c r="O760">
        <v>0</v>
      </c>
      <c r="P760">
        <v>0</v>
      </c>
      <c r="Q760">
        <v>0</v>
      </c>
      <c r="R760">
        <v>0</v>
      </c>
      <c r="S760">
        <v>0</v>
      </c>
      <c r="T760">
        <v>0</v>
      </c>
      <c r="U760">
        <v>0</v>
      </c>
      <c r="V760">
        <v>0</v>
      </c>
      <c r="W760">
        <v>0</v>
      </c>
      <c r="X760">
        <v>0</v>
      </c>
      <c r="Y760">
        <v>0</v>
      </c>
      <c r="Z760">
        <v>0</v>
      </c>
      <c r="AA760">
        <v>0</v>
      </c>
      <c r="AB760">
        <v>0</v>
      </c>
      <c r="AC760">
        <v>0</v>
      </c>
      <c r="AD760">
        <v>0</v>
      </c>
      <c r="AE760">
        <v>0</v>
      </c>
      <c r="AF760">
        <v>0</v>
      </c>
      <c r="AG760">
        <v>0</v>
      </c>
      <c r="AH760">
        <v>0</v>
      </c>
      <c r="AI760">
        <v>0</v>
      </c>
      <c r="AJ760">
        <v>0</v>
      </c>
      <c r="AK760">
        <v>0</v>
      </c>
      <c r="AL760">
        <v>0</v>
      </c>
      <c r="AM760">
        <v>0</v>
      </c>
      <c r="AN760">
        <v>0</v>
      </c>
      <c r="AO760">
        <v>0</v>
      </c>
      <c r="AP760">
        <v>0</v>
      </c>
      <c r="AQ760">
        <v>0</v>
      </c>
      <c r="AR760">
        <v>0</v>
      </c>
      <c r="AS760">
        <v>0</v>
      </c>
      <c r="AT760">
        <v>0</v>
      </c>
      <c r="AU760">
        <v>0</v>
      </c>
      <c r="AV760">
        <v>0</v>
      </c>
      <c r="AW760">
        <v>0</v>
      </c>
      <c r="AX760">
        <v>0</v>
      </c>
      <c r="AY760">
        <v>0</v>
      </c>
      <c r="AZ760">
        <v>0</v>
      </c>
      <c r="BA760">
        <v>0</v>
      </c>
      <c r="BB760">
        <v>0</v>
      </c>
      <c r="BC760">
        <v>0</v>
      </c>
      <c r="BD760">
        <v>0</v>
      </c>
      <c r="BE760">
        <v>0</v>
      </c>
      <c r="BF760">
        <v>0</v>
      </c>
      <c r="BG760">
        <v>0</v>
      </c>
      <c r="BH760">
        <v>0</v>
      </c>
      <c r="BI760">
        <v>0</v>
      </c>
      <c r="BJ760">
        <v>0</v>
      </c>
      <c r="BK760">
        <v>0</v>
      </c>
    </row>
    <row r="761" spans="3:63">
      <c r="C761" s="145" t="s">
        <v>26</v>
      </c>
      <c r="D761">
        <v>1</v>
      </c>
      <c r="E761">
        <v>0</v>
      </c>
      <c r="F761">
        <v>0</v>
      </c>
      <c r="G761">
        <v>0</v>
      </c>
      <c r="H761">
        <v>0</v>
      </c>
      <c r="I761">
        <v>0</v>
      </c>
      <c r="J761">
        <v>0</v>
      </c>
      <c r="K761">
        <v>0</v>
      </c>
      <c r="L761">
        <v>0</v>
      </c>
      <c r="M761">
        <v>0</v>
      </c>
      <c r="N761">
        <v>0</v>
      </c>
      <c r="O761">
        <v>0</v>
      </c>
      <c r="P761">
        <v>0</v>
      </c>
      <c r="Q761">
        <v>0</v>
      </c>
      <c r="R761">
        <v>0</v>
      </c>
      <c r="S761">
        <v>0</v>
      </c>
      <c r="T761">
        <v>0</v>
      </c>
      <c r="U761">
        <v>0</v>
      </c>
      <c r="V761">
        <v>0</v>
      </c>
      <c r="W761">
        <v>0</v>
      </c>
      <c r="X761">
        <v>0</v>
      </c>
      <c r="Y761">
        <v>0</v>
      </c>
      <c r="Z761">
        <v>0</v>
      </c>
      <c r="AA761">
        <v>0</v>
      </c>
      <c r="AB761">
        <v>0</v>
      </c>
      <c r="AC761">
        <v>0</v>
      </c>
      <c r="AD761">
        <v>0</v>
      </c>
      <c r="AE761">
        <v>0</v>
      </c>
      <c r="AF761">
        <v>0</v>
      </c>
      <c r="AG761">
        <v>0</v>
      </c>
      <c r="AH761">
        <v>0</v>
      </c>
      <c r="AI761">
        <v>0</v>
      </c>
      <c r="AJ761">
        <v>0</v>
      </c>
      <c r="AK761">
        <v>0</v>
      </c>
      <c r="AL761">
        <v>0</v>
      </c>
      <c r="AM761">
        <v>0</v>
      </c>
      <c r="AN761">
        <v>0</v>
      </c>
      <c r="AO761">
        <v>0</v>
      </c>
      <c r="AP761">
        <v>0</v>
      </c>
      <c r="AQ761">
        <v>0</v>
      </c>
      <c r="AR761">
        <v>0</v>
      </c>
      <c r="AS761">
        <v>0</v>
      </c>
      <c r="AT761">
        <v>0</v>
      </c>
      <c r="AU761">
        <v>0</v>
      </c>
      <c r="AV761">
        <v>0</v>
      </c>
      <c r="AW761">
        <v>0</v>
      </c>
      <c r="AX761">
        <v>0</v>
      </c>
      <c r="AY761">
        <v>0</v>
      </c>
      <c r="AZ761">
        <v>0</v>
      </c>
      <c r="BA761">
        <v>0</v>
      </c>
      <c r="BB761">
        <v>0</v>
      </c>
      <c r="BC761">
        <v>0</v>
      </c>
      <c r="BD761">
        <v>0</v>
      </c>
      <c r="BE761">
        <v>0</v>
      </c>
      <c r="BF761">
        <v>0</v>
      </c>
      <c r="BG761">
        <v>0</v>
      </c>
      <c r="BH761">
        <v>0</v>
      </c>
      <c r="BI761">
        <v>0</v>
      </c>
      <c r="BJ761">
        <v>0</v>
      </c>
      <c r="BK761">
        <v>0</v>
      </c>
    </row>
    <row r="762" spans="3:63">
      <c r="C762" s="145" t="s">
        <v>984</v>
      </c>
      <c r="D762">
        <v>0</v>
      </c>
      <c r="E762">
        <v>0</v>
      </c>
      <c r="F762">
        <v>0</v>
      </c>
      <c r="G762">
        <v>1</v>
      </c>
      <c r="H762">
        <v>1</v>
      </c>
      <c r="I762">
        <v>1</v>
      </c>
      <c r="J762">
        <v>0</v>
      </c>
      <c r="K762">
        <v>0</v>
      </c>
      <c r="L762">
        <v>0</v>
      </c>
      <c r="M762">
        <v>0</v>
      </c>
      <c r="N762">
        <v>0</v>
      </c>
      <c r="O762">
        <v>0</v>
      </c>
      <c r="P762">
        <v>0</v>
      </c>
      <c r="Q762">
        <v>0</v>
      </c>
      <c r="R762">
        <v>0</v>
      </c>
      <c r="S762">
        <v>0</v>
      </c>
      <c r="T762">
        <v>0</v>
      </c>
      <c r="U762">
        <v>0</v>
      </c>
      <c r="V762">
        <v>0</v>
      </c>
      <c r="W762">
        <v>0</v>
      </c>
      <c r="X762">
        <v>0</v>
      </c>
      <c r="Y762">
        <v>0</v>
      </c>
      <c r="Z762">
        <v>0</v>
      </c>
      <c r="AA762">
        <v>0</v>
      </c>
      <c r="AB762">
        <v>0</v>
      </c>
      <c r="AC762">
        <v>0</v>
      </c>
      <c r="AD762">
        <v>0</v>
      </c>
      <c r="AE762">
        <v>0</v>
      </c>
      <c r="AF762">
        <v>0</v>
      </c>
      <c r="AG762">
        <v>0</v>
      </c>
      <c r="AH762">
        <v>0</v>
      </c>
      <c r="AI762">
        <v>0</v>
      </c>
      <c r="AJ762">
        <v>0</v>
      </c>
      <c r="AK762">
        <v>0</v>
      </c>
      <c r="AL762">
        <v>0</v>
      </c>
      <c r="AM762">
        <v>0</v>
      </c>
      <c r="AN762">
        <v>0</v>
      </c>
      <c r="AO762">
        <v>0</v>
      </c>
      <c r="AP762">
        <v>0</v>
      </c>
      <c r="AQ762">
        <v>0</v>
      </c>
      <c r="AR762">
        <v>0</v>
      </c>
      <c r="AS762">
        <v>0</v>
      </c>
      <c r="AT762">
        <v>0</v>
      </c>
      <c r="AU762">
        <v>0</v>
      </c>
      <c r="AV762">
        <v>0</v>
      </c>
      <c r="AW762">
        <v>0</v>
      </c>
      <c r="AX762">
        <v>0</v>
      </c>
      <c r="AY762">
        <v>0</v>
      </c>
      <c r="AZ762">
        <v>0</v>
      </c>
      <c r="BA762">
        <v>0</v>
      </c>
      <c r="BB762">
        <v>0</v>
      </c>
      <c r="BC762">
        <v>0</v>
      </c>
      <c r="BD762">
        <v>0</v>
      </c>
      <c r="BE762">
        <v>0</v>
      </c>
      <c r="BF762">
        <v>0</v>
      </c>
      <c r="BG762">
        <v>0</v>
      </c>
      <c r="BH762">
        <v>0</v>
      </c>
      <c r="BI762">
        <v>0</v>
      </c>
      <c r="BJ762">
        <v>0</v>
      </c>
      <c r="BK762">
        <v>0</v>
      </c>
    </row>
    <row r="763" spans="3:63">
      <c r="C763" s="145" t="s">
        <v>909</v>
      </c>
      <c r="D763">
        <v>0</v>
      </c>
      <c r="E763">
        <v>0</v>
      </c>
      <c r="F763">
        <v>0</v>
      </c>
      <c r="G763">
        <v>0</v>
      </c>
      <c r="H763">
        <v>0</v>
      </c>
      <c r="I763">
        <v>1</v>
      </c>
      <c r="J763">
        <v>0</v>
      </c>
      <c r="K763">
        <v>0</v>
      </c>
      <c r="L763">
        <v>0</v>
      </c>
      <c r="M763">
        <v>0</v>
      </c>
      <c r="N763">
        <v>0</v>
      </c>
      <c r="O763">
        <v>0</v>
      </c>
      <c r="P763">
        <v>0</v>
      </c>
      <c r="Q763">
        <v>0</v>
      </c>
      <c r="R763">
        <v>0</v>
      </c>
      <c r="S763">
        <v>0</v>
      </c>
      <c r="T763">
        <v>0</v>
      </c>
      <c r="U763">
        <v>0</v>
      </c>
      <c r="V763">
        <v>0</v>
      </c>
      <c r="W763">
        <v>0</v>
      </c>
      <c r="X763">
        <v>0</v>
      </c>
      <c r="Y763">
        <v>0</v>
      </c>
      <c r="Z763">
        <v>0</v>
      </c>
      <c r="AA763">
        <v>0</v>
      </c>
      <c r="AB763">
        <v>0</v>
      </c>
      <c r="AC763">
        <v>0</v>
      </c>
      <c r="AD763">
        <v>0</v>
      </c>
      <c r="AE763">
        <v>0</v>
      </c>
      <c r="AF763">
        <v>0</v>
      </c>
      <c r="AG763">
        <v>0</v>
      </c>
      <c r="AH763">
        <v>0</v>
      </c>
      <c r="AI763">
        <v>0</v>
      </c>
      <c r="AJ763">
        <v>0</v>
      </c>
      <c r="AK763">
        <v>0</v>
      </c>
      <c r="AL763">
        <v>0</v>
      </c>
      <c r="AM763">
        <v>0</v>
      </c>
      <c r="AN763">
        <v>0</v>
      </c>
      <c r="AO763">
        <v>0</v>
      </c>
      <c r="AP763">
        <v>0</v>
      </c>
      <c r="AQ763">
        <v>0</v>
      </c>
      <c r="AR763">
        <v>0</v>
      </c>
      <c r="AS763">
        <v>0</v>
      </c>
      <c r="AT763">
        <v>0</v>
      </c>
      <c r="AU763">
        <v>0</v>
      </c>
      <c r="AV763">
        <v>0</v>
      </c>
      <c r="AW763">
        <v>0</v>
      </c>
      <c r="AX763">
        <v>0</v>
      </c>
      <c r="AY763">
        <v>0</v>
      </c>
      <c r="AZ763">
        <v>0</v>
      </c>
      <c r="BA763">
        <v>0</v>
      </c>
      <c r="BB763">
        <v>0</v>
      </c>
      <c r="BC763">
        <v>0</v>
      </c>
      <c r="BD763">
        <v>0</v>
      </c>
      <c r="BE763">
        <v>0</v>
      </c>
      <c r="BF763">
        <v>0</v>
      </c>
      <c r="BG763">
        <v>0</v>
      </c>
      <c r="BH763">
        <v>0</v>
      </c>
      <c r="BI763">
        <v>0</v>
      </c>
      <c r="BJ763">
        <v>0</v>
      </c>
      <c r="BK763">
        <v>0</v>
      </c>
    </row>
    <row r="764" spans="3:63">
      <c r="C764" s="145" t="s">
        <v>909</v>
      </c>
      <c r="D764">
        <v>0</v>
      </c>
      <c r="E764">
        <v>0</v>
      </c>
      <c r="F764">
        <v>0</v>
      </c>
      <c r="G764">
        <v>0</v>
      </c>
      <c r="H764">
        <v>0</v>
      </c>
      <c r="I764">
        <v>1</v>
      </c>
      <c r="J764">
        <v>0</v>
      </c>
      <c r="K764">
        <v>0</v>
      </c>
      <c r="L764">
        <v>0</v>
      </c>
      <c r="M764">
        <v>0</v>
      </c>
      <c r="N764">
        <v>0</v>
      </c>
      <c r="O764">
        <v>0</v>
      </c>
      <c r="P764">
        <v>0</v>
      </c>
      <c r="Q764">
        <v>0</v>
      </c>
      <c r="R764">
        <v>0</v>
      </c>
      <c r="S764">
        <v>0</v>
      </c>
      <c r="T764">
        <v>0</v>
      </c>
      <c r="U764">
        <v>0</v>
      </c>
      <c r="V764">
        <v>0</v>
      </c>
      <c r="W764">
        <v>0</v>
      </c>
      <c r="X764">
        <v>0</v>
      </c>
      <c r="Y764">
        <v>0</v>
      </c>
      <c r="Z764">
        <v>0</v>
      </c>
      <c r="AA764">
        <v>0</v>
      </c>
      <c r="AB764">
        <v>0</v>
      </c>
      <c r="AC764">
        <v>0</v>
      </c>
      <c r="AD764">
        <v>0</v>
      </c>
      <c r="AE764">
        <v>0</v>
      </c>
      <c r="AF764">
        <v>0</v>
      </c>
      <c r="AG764">
        <v>0</v>
      </c>
      <c r="AH764">
        <v>0</v>
      </c>
      <c r="AI764">
        <v>0</v>
      </c>
      <c r="AJ764">
        <v>0</v>
      </c>
      <c r="AK764">
        <v>0</v>
      </c>
      <c r="AL764">
        <v>0</v>
      </c>
      <c r="AM764">
        <v>0</v>
      </c>
      <c r="AN764">
        <v>0</v>
      </c>
      <c r="AO764">
        <v>0</v>
      </c>
      <c r="AP764">
        <v>0</v>
      </c>
      <c r="AQ764">
        <v>0</v>
      </c>
      <c r="AR764">
        <v>0</v>
      </c>
      <c r="AS764">
        <v>0</v>
      </c>
      <c r="AT764">
        <v>0</v>
      </c>
      <c r="AU764">
        <v>0</v>
      </c>
      <c r="AV764">
        <v>0</v>
      </c>
      <c r="AW764">
        <v>0</v>
      </c>
      <c r="AX764">
        <v>0</v>
      </c>
      <c r="AY764">
        <v>0</v>
      </c>
      <c r="AZ764">
        <v>0</v>
      </c>
      <c r="BA764">
        <v>0</v>
      </c>
      <c r="BB764">
        <v>0</v>
      </c>
      <c r="BC764">
        <v>0</v>
      </c>
      <c r="BD764">
        <v>0</v>
      </c>
      <c r="BE764">
        <v>0</v>
      </c>
      <c r="BF764">
        <v>0</v>
      </c>
      <c r="BG764">
        <v>0</v>
      </c>
      <c r="BH764">
        <v>0</v>
      </c>
      <c r="BI764">
        <v>0</v>
      </c>
      <c r="BJ764">
        <v>0</v>
      </c>
      <c r="BK764">
        <v>0</v>
      </c>
    </row>
    <row r="765" spans="3:63">
      <c r="C765" s="145" t="s">
        <v>26</v>
      </c>
      <c r="D765">
        <v>1</v>
      </c>
      <c r="E765">
        <v>0</v>
      </c>
      <c r="F765">
        <v>0</v>
      </c>
      <c r="G765">
        <v>0</v>
      </c>
      <c r="H765">
        <v>0</v>
      </c>
      <c r="I765">
        <v>0</v>
      </c>
      <c r="J765">
        <v>0</v>
      </c>
      <c r="K765">
        <v>0</v>
      </c>
      <c r="L765">
        <v>0</v>
      </c>
      <c r="M765">
        <v>0</v>
      </c>
      <c r="N765">
        <v>0</v>
      </c>
      <c r="O765">
        <v>0</v>
      </c>
      <c r="P765">
        <v>0</v>
      </c>
      <c r="Q765">
        <v>0</v>
      </c>
      <c r="R765">
        <v>0</v>
      </c>
      <c r="S765">
        <v>0</v>
      </c>
      <c r="T765">
        <v>0</v>
      </c>
      <c r="U765">
        <v>0</v>
      </c>
      <c r="V765">
        <v>0</v>
      </c>
      <c r="W765">
        <v>0</v>
      </c>
      <c r="X765">
        <v>0</v>
      </c>
      <c r="Y765">
        <v>0</v>
      </c>
      <c r="Z765">
        <v>0</v>
      </c>
      <c r="AA765">
        <v>0</v>
      </c>
      <c r="AB765">
        <v>0</v>
      </c>
      <c r="AC765">
        <v>0</v>
      </c>
      <c r="AD765">
        <v>0</v>
      </c>
      <c r="AE765">
        <v>0</v>
      </c>
      <c r="AF765">
        <v>0</v>
      </c>
      <c r="AG765">
        <v>0</v>
      </c>
      <c r="AH765">
        <v>0</v>
      </c>
      <c r="AI765">
        <v>0</v>
      </c>
      <c r="AJ765">
        <v>0</v>
      </c>
      <c r="AK765">
        <v>0</v>
      </c>
      <c r="AL765">
        <v>0</v>
      </c>
      <c r="AM765">
        <v>0</v>
      </c>
      <c r="AN765">
        <v>0</v>
      </c>
      <c r="AO765">
        <v>0</v>
      </c>
      <c r="AP765">
        <v>0</v>
      </c>
      <c r="AQ765">
        <v>0</v>
      </c>
      <c r="AR765">
        <v>0</v>
      </c>
      <c r="AS765">
        <v>0</v>
      </c>
      <c r="AT765">
        <v>0</v>
      </c>
      <c r="AU765">
        <v>0</v>
      </c>
      <c r="AV765">
        <v>0</v>
      </c>
      <c r="AW765">
        <v>0</v>
      </c>
      <c r="AX765">
        <v>0</v>
      </c>
      <c r="AY765">
        <v>0</v>
      </c>
      <c r="AZ765">
        <v>0</v>
      </c>
      <c r="BA765">
        <v>0</v>
      </c>
      <c r="BB765">
        <v>0</v>
      </c>
      <c r="BC765">
        <v>0</v>
      </c>
      <c r="BD765">
        <v>0</v>
      </c>
      <c r="BE765">
        <v>0</v>
      </c>
      <c r="BF765">
        <v>0</v>
      </c>
      <c r="BG765">
        <v>0</v>
      </c>
      <c r="BH765">
        <v>0</v>
      </c>
      <c r="BI765">
        <v>0</v>
      </c>
      <c r="BJ765">
        <v>0</v>
      </c>
      <c r="BK765">
        <v>0</v>
      </c>
    </row>
    <row r="766" spans="3:63">
      <c r="C766" s="145" t="s">
        <v>909</v>
      </c>
      <c r="D766">
        <v>0</v>
      </c>
      <c r="E766">
        <v>0</v>
      </c>
      <c r="F766">
        <v>0</v>
      </c>
      <c r="G766">
        <v>0</v>
      </c>
      <c r="H766">
        <v>0</v>
      </c>
      <c r="I766">
        <v>1</v>
      </c>
      <c r="J766">
        <v>0</v>
      </c>
      <c r="K766">
        <v>0</v>
      </c>
      <c r="L766">
        <v>0</v>
      </c>
      <c r="M766">
        <v>0</v>
      </c>
      <c r="N766">
        <v>0</v>
      </c>
      <c r="O766">
        <v>0</v>
      </c>
      <c r="P766">
        <v>0</v>
      </c>
      <c r="Q766">
        <v>0</v>
      </c>
      <c r="R766">
        <v>0</v>
      </c>
      <c r="S766">
        <v>0</v>
      </c>
      <c r="T766">
        <v>0</v>
      </c>
      <c r="U766">
        <v>0</v>
      </c>
      <c r="V766">
        <v>0</v>
      </c>
      <c r="W766">
        <v>0</v>
      </c>
      <c r="X766">
        <v>0</v>
      </c>
      <c r="Y766">
        <v>0</v>
      </c>
      <c r="Z766">
        <v>0</v>
      </c>
      <c r="AA766">
        <v>0</v>
      </c>
      <c r="AB766">
        <v>0</v>
      </c>
      <c r="AC766">
        <v>0</v>
      </c>
      <c r="AD766">
        <v>0</v>
      </c>
      <c r="AE766">
        <v>0</v>
      </c>
      <c r="AF766">
        <v>0</v>
      </c>
      <c r="AG766">
        <v>0</v>
      </c>
      <c r="AH766">
        <v>0</v>
      </c>
      <c r="AI766">
        <v>0</v>
      </c>
      <c r="AJ766">
        <v>0</v>
      </c>
      <c r="AK766">
        <v>0</v>
      </c>
      <c r="AL766">
        <v>0</v>
      </c>
      <c r="AM766">
        <v>0</v>
      </c>
      <c r="AN766">
        <v>0</v>
      </c>
      <c r="AO766">
        <v>0</v>
      </c>
      <c r="AP766">
        <v>0</v>
      </c>
      <c r="AQ766">
        <v>0</v>
      </c>
      <c r="AR766">
        <v>0</v>
      </c>
      <c r="AS766">
        <v>0</v>
      </c>
      <c r="AT766">
        <v>0</v>
      </c>
      <c r="AU766">
        <v>0</v>
      </c>
      <c r="AV766">
        <v>0</v>
      </c>
      <c r="AW766">
        <v>0</v>
      </c>
      <c r="AX766">
        <v>0</v>
      </c>
      <c r="AY766">
        <v>0</v>
      </c>
      <c r="AZ766">
        <v>0</v>
      </c>
      <c r="BA766">
        <v>0</v>
      </c>
      <c r="BB766">
        <v>0</v>
      </c>
      <c r="BC766">
        <v>0</v>
      </c>
      <c r="BD766">
        <v>0</v>
      </c>
      <c r="BE766">
        <v>0</v>
      </c>
      <c r="BF766">
        <v>0</v>
      </c>
      <c r="BG766">
        <v>0</v>
      </c>
      <c r="BH766">
        <v>0</v>
      </c>
      <c r="BI766">
        <v>0</v>
      </c>
      <c r="BJ766">
        <v>0</v>
      </c>
      <c r="BK766">
        <v>0</v>
      </c>
    </row>
    <row r="767" spans="3:63">
      <c r="C767" s="145" t="s">
        <v>909</v>
      </c>
      <c r="D767">
        <v>0</v>
      </c>
      <c r="E767">
        <v>0</v>
      </c>
      <c r="F767">
        <v>0</v>
      </c>
      <c r="G767">
        <v>0</v>
      </c>
      <c r="H767">
        <v>0</v>
      </c>
      <c r="I767">
        <v>1</v>
      </c>
      <c r="J767">
        <v>0</v>
      </c>
      <c r="K767">
        <v>0</v>
      </c>
      <c r="L767">
        <v>0</v>
      </c>
      <c r="M767">
        <v>0</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v>0</v>
      </c>
      <c r="AN767">
        <v>0</v>
      </c>
      <c r="AO767">
        <v>0</v>
      </c>
      <c r="AP767">
        <v>0</v>
      </c>
      <c r="AQ767">
        <v>0</v>
      </c>
      <c r="AR767">
        <v>0</v>
      </c>
      <c r="AS767">
        <v>0</v>
      </c>
      <c r="AT767">
        <v>0</v>
      </c>
      <c r="AU767">
        <v>0</v>
      </c>
      <c r="AV767">
        <v>0</v>
      </c>
      <c r="AW767">
        <v>0</v>
      </c>
      <c r="AX767">
        <v>0</v>
      </c>
      <c r="AY767">
        <v>0</v>
      </c>
      <c r="AZ767">
        <v>0</v>
      </c>
      <c r="BA767">
        <v>0</v>
      </c>
      <c r="BB767">
        <v>0</v>
      </c>
      <c r="BC767">
        <v>0</v>
      </c>
      <c r="BD767">
        <v>0</v>
      </c>
      <c r="BE767">
        <v>0</v>
      </c>
      <c r="BF767">
        <v>0</v>
      </c>
      <c r="BG767">
        <v>0</v>
      </c>
      <c r="BH767">
        <v>0</v>
      </c>
      <c r="BI767">
        <v>0</v>
      </c>
      <c r="BJ767">
        <v>0</v>
      </c>
      <c r="BK767">
        <v>0</v>
      </c>
    </row>
    <row r="768" spans="3:63">
      <c r="C768" s="145" t="s">
        <v>26</v>
      </c>
      <c r="D768">
        <v>1</v>
      </c>
      <c r="E768">
        <v>0</v>
      </c>
      <c r="F768">
        <v>0</v>
      </c>
      <c r="G768">
        <v>0</v>
      </c>
      <c r="H768">
        <v>0</v>
      </c>
      <c r="I768">
        <v>0</v>
      </c>
      <c r="J768">
        <v>0</v>
      </c>
      <c r="K768">
        <v>0</v>
      </c>
      <c r="L768">
        <v>0</v>
      </c>
      <c r="M768">
        <v>0</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v>0</v>
      </c>
      <c r="AN768">
        <v>0</v>
      </c>
      <c r="AO768">
        <v>0</v>
      </c>
      <c r="AP768">
        <v>0</v>
      </c>
      <c r="AQ768">
        <v>0</v>
      </c>
      <c r="AR768">
        <v>0</v>
      </c>
      <c r="AS768">
        <v>0</v>
      </c>
      <c r="AT768">
        <v>0</v>
      </c>
      <c r="AU768">
        <v>0</v>
      </c>
      <c r="AV768">
        <v>0</v>
      </c>
      <c r="AW768">
        <v>0</v>
      </c>
      <c r="AX768">
        <v>0</v>
      </c>
      <c r="AY768">
        <v>0</v>
      </c>
      <c r="AZ768">
        <v>0</v>
      </c>
      <c r="BA768">
        <v>0</v>
      </c>
      <c r="BB768">
        <v>0</v>
      </c>
      <c r="BC768">
        <v>0</v>
      </c>
      <c r="BD768">
        <v>0</v>
      </c>
      <c r="BE768">
        <v>0</v>
      </c>
      <c r="BF768">
        <v>0</v>
      </c>
      <c r="BG768">
        <v>0</v>
      </c>
      <c r="BH768">
        <v>0</v>
      </c>
      <c r="BI768">
        <v>0</v>
      </c>
      <c r="BJ768">
        <v>0</v>
      </c>
      <c r="BK768">
        <v>0</v>
      </c>
    </row>
    <row r="769" spans="3:63">
      <c r="C769" s="145" t="s">
        <v>39</v>
      </c>
      <c r="D769">
        <v>0</v>
      </c>
      <c r="E769">
        <v>0</v>
      </c>
      <c r="F769">
        <v>0</v>
      </c>
      <c r="G769">
        <v>1</v>
      </c>
      <c r="H769">
        <v>0</v>
      </c>
      <c r="I769">
        <v>0</v>
      </c>
      <c r="J769">
        <v>0</v>
      </c>
      <c r="K769">
        <v>0</v>
      </c>
      <c r="L769">
        <v>0</v>
      </c>
      <c r="M769">
        <v>0</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v>0</v>
      </c>
      <c r="AN769">
        <v>0</v>
      </c>
      <c r="AO769">
        <v>0</v>
      </c>
      <c r="AP769">
        <v>0</v>
      </c>
      <c r="AQ769">
        <v>0</v>
      </c>
      <c r="AR769">
        <v>0</v>
      </c>
      <c r="AS769">
        <v>0</v>
      </c>
      <c r="AT769">
        <v>0</v>
      </c>
      <c r="AU769">
        <v>0</v>
      </c>
      <c r="AV769">
        <v>0</v>
      </c>
      <c r="AW769">
        <v>0</v>
      </c>
      <c r="AX769">
        <v>0</v>
      </c>
      <c r="AY769">
        <v>0</v>
      </c>
      <c r="AZ769">
        <v>0</v>
      </c>
      <c r="BA769">
        <v>0</v>
      </c>
      <c r="BB769">
        <v>0</v>
      </c>
      <c r="BC769">
        <v>0</v>
      </c>
      <c r="BD769">
        <v>0</v>
      </c>
      <c r="BE769">
        <v>0</v>
      </c>
      <c r="BF769">
        <v>0</v>
      </c>
      <c r="BG769">
        <v>0</v>
      </c>
      <c r="BH769">
        <v>0</v>
      </c>
      <c r="BI769">
        <v>0</v>
      </c>
      <c r="BJ769">
        <v>0</v>
      </c>
      <c r="BK769">
        <v>0</v>
      </c>
    </row>
    <row r="770" spans="3:63">
      <c r="C770" s="145" t="s">
        <v>909</v>
      </c>
      <c r="D770">
        <v>0</v>
      </c>
      <c r="E770">
        <v>0</v>
      </c>
      <c r="F770">
        <v>0</v>
      </c>
      <c r="G770">
        <v>0</v>
      </c>
      <c r="H770">
        <v>0</v>
      </c>
      <c r="I770">
        <v>1</v>
      </c>
      <c r="J770">
        <v>0</v>
      </c>
      <c r="K770">
        <v>0</v>
      </c>
      <c r="L770">
        <v>0</v>
      </c>
      <c r="M770">
        <v>0</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v>0</v>
      </c>
      <c r="AN770">
        <v>0</v>
      </c>
      <c r="AO770">
        <v>0</v>
      </c>
      <c r="AP770">
        <v>0</v>
      </c>
      <c r="AQ770">
        <v>0</v>
      </c>
      <c r="AR770">
        <v>0</v>
      </c>
      <c r="AS770">
        <v>0</v>
      </c>
      <c r="AT770">
        <v>0</v>
      </c>
      <c r="AU770">
        <v>0</v>
      </c>
      <c r="AV770">
        <v>0</v>
      </c>
      <c r="AW770">
        <v>0</v>
      </c>
      <c r="AX770">
        <v>0</v>
      </c>
      <c r="AY770">
        <v>0</v>
      </c>
      <c r="AZ770">
        <v>0</v>
      </c>
      <c r="BA770">
        <v>0</v>
      </c>
      <c r="BB770">
        <v>0</v>
      </c>
      <c r="BC770">
        <v>0</v>
      </c>
      <c r="BD770">
        <v>0</v>
      </c>
      <c r="BE770">
        <v>0</v>
      </c>
      <c r="BF770">
        <v>0</v>
      </c>
      <c r="BG770">
        <v>0</v>
      </c>
      <c r="BH770">
        <v>0</v>
      </c>
      <c r="BI770">
        <v>0</v>
      </c>
      <c r="BJ770">
        <v>0</v>
      </c>
      <c r="BK770">
        <v>0</v>
      </c>
    </row>
    <row r="771" spans="3:63">
      <c r="C771" s="145" t="s">
        <v>26</v>
      </c>
      <c r="D771">
        <v>1</v>
      </c>
      <c r="E771">
        <v>0</v>
      </c>
      <c r="F771">
        <v>0</v>
      </c>
      <c r="G771">
        <v>0</v>
      </c>
      <c r="H771">
        <v>0</v>
      </c>
      <c r="I771">
        <v>0</v>
      </c>
      <c r="J771">
        <v>0</v>
      </c>
      <c r="K771">
        <v>0</v>
      </c>
      <c r="L771">
        <v>0</v>
      </c>
      <c r="M771">
        <v>0</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v>0</v>
      </c>
      <c r="AN771">
        <v>0</v>
      </c>
      <c r="AO771">
        <v>0</v>
      </c>
      <c r="AP771">
        <v>0</v>
      </c>
      <c r="AQ771">
        <v>0</v>
      </c>
      <c r="AR771">
        <v>0</v>
      </c>
      <c r="AS771">
        <v>0</v>
      </c>
      <c r="AT771">
        <v>0</v>
      </c>
      <c r="AU771">
        <v>0</v>
      </c>
      <c r="AV771">
        <v>0</v>
      </c>
      <c r="AW771">
        <v>0</v>
      </c>
      <c r="AX771">
        <v>0</v>
      </c>
      <c r="AY771">
        <v>0</v>
      </c>
      <c r="AZ771">
        <v>0</v>
      </c>
      <c r="BA771">
        <v>0</v>
      </c>
      <c r="BB771">
        <v>0</v>
      </c>
      <c r="BC771">
        <v>0</v>
      </c>
      <c r="BD771">
        <v>0</v>
      </c>
      <c r="BE771">
        <v>0</v>
      </c>
      <c r="BF771">
        <v>0</v>
      </c>
      <c r="BG771">
        <v>0</v>
      </c>
      <c r="BH771">
        <v>0</v>
      </c>
      <c r="BI771">
        <v>0</v>
      </c>
      <c r="BJ771">
        <v>0</v>
      </c>
      <c r="BK771">
        <v>0</v>
      </c>
    </row>
    <row r="772" spans="3:63">
      <c r="C772" s="145" t="s">
        <v>48</v>
      </c>
      <c r="D772">
        <v>0</v>
      </c>
      <c r="E772">
        <v>0</v>
      </c>
      <c r="F772">
        <v>1</v>
      </c>
      <c r="G772">
        <v>0</v>
      </c>
      <c r="H772">
        <v>0</v>
      </c>
      <c r="I772">
        <v>0</v>
      </c>
      <c r="J772">
        <v>0</v>
      </c>
      <c r="K772">
        <v>0</v>
      </c>
      <c r="L772">
        <v>0</v>
      </c>
      <c r="M772">
        <v>0</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v>0</v>
      </c>
      <c r="AN772">
        <v>0</v>
      </c>
      <c r="AO772">
        <v>0</v>
      </c>
      <c r="AP772">
        <v>0</v>
      </c>
      <c r="AQ772">
        <v>0</v>
      </c>
      <c r="AR772">
        <v>0</v>
      </c>
      <c r="AS772">
        <v>0</v>
      </c>
      <c r="AT772">
        <v>0</v>
      </c>
      <c r="AU772">
        <v>0</v>
      </c>
      <c r="AV772">
        <v>0</v>
      </c>
      <c r="AW772">
        <v>0</v>
      </c>
      <c r="AX772">
        <v>0</v>
      </c>
      <c r="AY772">
        <v>0</v>
      </c>
      <c r="AZ772">
        <v>0</v>
      </c>
      <c r="BA772">
        <v>0</v>
      </c>
      <c r="BB772">
        <v>0</v>
      </c>
      <c r="BC772">
        <v>0</v>
      </c>
      <c r="BD772">
        <v>0</v>
      </c>
      <c r="BE772">
        <v>0</v>
      </c>
      <c r="BF772">
        <v>0</v>
      </c>
      <c r="BG772">
        <v>0</v>
      </c>
      <c r="BH772">
        <v>0</v>
      </c>
      <c r="BI772">
        <v>0</v>
      </c>
      <c r="BJ772">
        <v>0</v>
      </c>
      <c r="BK772">
        <v>0</v>
      </c>
    </row>
    <row r="773" spans="3:63">
      <c r="C773" s="145" t="s">
        <v>39</v>
      </c>
      <c r="D773">
        <v>0</v>
      </c>
      <c r="E773">
        <v>0</v>
      </c>
      <c r="F773">
        <v>0</v>
      </c>
      <c r="G773">
        <v>1</v>
      </c>
      <c r="H773">
        <v>0</v>
      </c>
      <c r="I773">
        <v>0</v>
      </c>
      <c r="J773">
        <v>0</v>
      </c>
      <c r="K773">
        <v>0</v>
      </c>
      <c r="L773">
        <v>0</v>
      </c>
      <c r="M773">
        <v>0</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v>0</v>
      </c>
      <c r="AN773">
        <v>0</v>
      </c>
      <c r="AO773">
        <v>0</v>
      </c>
      <c r="AP773">
        <v>0</v>
      </c>
      <c r="AQ773">
        <v>0</v>
      </c>
      <c r="AR773">
        <v>0</v>
      </c>
      <c r="AS773">
        <v>0</v>
      </c>
      <c r="AT773">
        <v>0</v>
      </c>
      <c r="AU773">
        <v>0</v>
      </c>
      <c r="AV773">
        <v>0</v>
      </c>
      <c r="AW773">
        <v>0</v>
      </c>
      <c r="AX773">
        <v>0</v>
      </c>
      <c r="AY773">
        <v>0</v>
      </c>
      <c r="AZ773">
        <v>0</v>
      </c>
      <c r="BA773">
        <v>0</v>
      </c>
      <c r="BB773">
        <v>0</v>
      </c>
      <c r="BC773">
        <v>0</v>
      </c>
      <c r="BD773">
        <v>0</v>
      </c>
      <c r="BE773">
        <v>0</v>
      </c>
      <c r="BF773">
        <v>0</v>
      </c>
      <c r="BG773">
        <v>0</v>
      </c>
      <c r="BH773">
        <v>0</v>
      </c>
      <c r="BI773">
        <v>0</v>
      </c>
      <c r="BJ773">
        <v>0</v>
      </c>
      <c r="BK773">
        <v>0</v>
      </c>
    </row>
    <row r="774" spans="3:63">
      <c r="C774" s="145" t="s">
        <v>48</v>
      </c>
      <c r="D774">
        <v>0</v>
      </c>
      <c r="E774">
        <v>0</v>
      </c>
      <c r="F774">
        <v>1</v>
      </c>
      <c r="G774">
        <v>0</v>
      </c>
      <c r="H774">
        <v>0</v>
      </c>
      <c r="I774">
        <v>0</v>
      </c>
      <c r="J774">
        <v>0</v>
      </c>
      <c r="K774">
        <v>0</v>
      </c>
      <c r="L774">
        <v>0</v>
      </c>
      <c r="M774">
        <v>0</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v>0</v>
      </c>
      <c r="AN774">
        <v>0</v>
      </c>
      <c r="AO774">
        <v>0</v>
      </c>
      <c r="AP774">
        <v>0</v>
      </c>
      <c r="AQ774">
        <v>0</v>
      </c>
      <c r="AR774">
        <v>0</v>
      </c>
      <c r="AS774">
        <v>0</v>
      </c>
      <c r="AT774">
        <v>0</v>
      </c>
      <c r="AU774">
        <v>0</v>
      </c>
      <c r="AV774">
        <v>0</v>
      </c>
      <c r="AW774">
        <v>0</v>
      </c>
      <c r="AX774">
        <v>0</v>
      </c>
      <c r="AY774">
        <v>0</v>
      </c>
      <c r="AZ774">
        <v>0</v>
      </c>
      <c r="BA774">
        <v>0</v>
      </c>
      <c r="BB774">
        <v>0</v>
      </c>
      <c r="BC774">
        <v>0</v>
      </c>
      <c r="BD774">
        <v>0</v>
      </c>
      <c r="BE774">
        <v>0</v>
      </c>
      <c r="BF774">
        <v>0</v>
      </c>
      <c r="BG774">
        <v>0</v>
      </c>
      <c r="BH774">
        <v>0</v>
      </c>
      <c r="BI774">
        <v>0</v>
      </c>
      <c r="BJ774">
        <v>0</v>
      </c>
      <c r="BK774">
        <v>0</v>
      </c>
    </row>
    <row r="775" spans="3:63">
      <c r="C775" s="145" t="s">
        <v>48</v>
      </c>
      <c r="D775">
        <v>0</v>
      </c>
      <c r="E775">
        <v>0</v>
      </c>
      <c r="F775">
        <v>1</v>
      </c>
      <c r="G775">
        <v>0</v>
      </c>
      <c r="H775">
        <v>0</v>
      </c>
      <c r="I775">
        <v>0</v>
      </c>
      <c r="J775">
        <v>0</v>
      </c>
      <c r="K775">
        <v>0</v>
      </c>
      <c r="L775">
        <v>0</v>
      </c>
      <c r="M775">
        <v>0</v>
      </c>
      <c r="N775">
        <v>0</v>
      </c>
      <c r="O775">
        <v>0</v>
      </c>
      <c r="P775">
        <v>0</v>
      </c>
      <c r="Q775">
        <v>0</v>
      </c>
      <c r="R775">
        <v>0</v>
      </c>
      <c r="S775">
        <v>0</v>
      </c>
      <c r="T775">
        <v>0</v>
      </c>
      <c r="U775">
        <v>0</v>
      </c>
      <c r="V775">
        <v>0</v>
      </c>
      <c r="W775">
        <v>0</v>
      </c>
      <c r="X775">
        <v>0</v>
      </c>
      <c r="Y775">
        <v>0</v>
      </c>
      <c r="Z775">
        <v>0</v>
      </c>
      <c r="AA775">
        <v>0</v>
      </c>
      <c r="AB775">
        <v>0</v>
      </c>
      <c r="AC775">
        <v>0</v>
      </c>
      <c r="AD775">
        <v>0</v>
      </c>
      <c r="AE775">
        <v>0</v>
      </c>
      <c r="AF775">
        <v>0</v>
      </c>
      <c r="AG775">
        <v>0</v>
      </c>
      <c r="AH775">
        <v>0</v>
      </c>
      <c r="AI775">
        <v>0</v>
      </c>
      <c r="AJ775">
        <v>0</v>
      </c>
      <c r="AK775">
        <v>0</v>
      </c>
      <c r="AL775">
        <v>0</v>
      </c>
      <c r="AM775">
        <v>0</v>
      </c>
      <c r="AN775">
        <v>0</v>
      </c>
      <c r="AO775">
        <v>0</v>
      </c>
      <c r="AP775">
        <v>0</v>
      </c>
      <c r="AQ775">
        <v>0</v>
      </c>
      <c r="AR775">
        <v>0</v>
      </c>
      <c r="AS775">
        <v>0</v>
      </c>
      <c r="AT775">
        <v>0</v>
      </c>
      <c r="AU775">
        <v>0</v>
      </c>
      <c r="AV775">
        <v>0</v>
      </c>
      <c r="AW775">
        <v>0</v>
      </c>
      <c r="AX775">
        <v>0</v>
      </c>
      <c r="AY775">
        <v>0</v>
      </c>
      <c r="AZ775">
        <v>0</v>
      </c>
      <c r="BA775">
        <v>0</v>
      </c>
      <c r="BB775">
        <v>0</v>
      </c>
      <c r="BC775">
        <v>0</v>
      </c>
      <c r="BD775">
        <v>0</v>
      </c>
      <c r="BE775">
        <v>0</v>
      </c>
      <c r="BF775">
        <v>0</v>
      </c>
      <c r="BG775">
        <v>0</v>
      </c>
      <c r="BH775">
        <v>0</v>
      </c>
      <c r="BI775">
        <v>0</v>
      </c>
      <c r="BJ775">
        <v>0</v>
      </c>
      <c r="BK775">
        <v>0</v>
      </c>
    </row>
    <row r="776" spans="3:63">
      <c r="C776" s="145" t="s">
        <v>48</v>
      </c>
      <c r="D776">
        <v>0</v>
      </c>
      <c r="E776">
        <v>0</v>
      </c>
      <c r="F776">
        <v>1</v>
      </c>
      <c r="G776">
        <v>0</v>
      </c>
      <c r="H776">
        <v>0</v>
      </c>
      <c r="I776">
        <v>0</v>
      </c>
      <c r="J776">
        <v>0</v>
      </c>
      <c r="K776">
        <v>0</v>
      </c>
      <c r="L776">
        <v>0</v>
      </c>
      <c r="M776">
        <v>0</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v>0</v>
      </c>
      <c r="AN776">
        <v>0</v>
      </c>
      <c r="AO776">
        <v>0</v>
      </c>
      <c r="AP776">
        <v>0</v>
      </c>
      <c r="AQ776">
        <v>0</v>
      </c>
      <c r="AR776">
        <v>0</v>
      </c>
      <c r="AS776">
        <v>0</v>
      </c>
      <c r="AT776">
        <v>0</v>
      </c>
      <c r="AU776">
        <v>0</v>
      </c>
      <c r="AV776">
        <v>0</v>
      </c>
      <c r="AW776">
        <v>0</v>
      </c>
      <c r="AX776">
        <v>0</v>
      </c>
      <c r="AY776">
        <v>0</v>
      </c>
      <c r="AZ776">
        <v>0</v>
      </c>
      <c r="BA776">
        <v>0</v>
      </c>
      <c r="BB776">
        <v>0</v>
      </c>
      <c r="BC776">
        <v>0</v>
      </c>
      <c r="BD776">
        <v>0</v>
      </c>
      <c r="BE776">
        <v>0</v>
      </c>
      <c r="BF776">
        <v>0</v>
      </c>
      <c r="BG776">
        <v>0</v>
      </c>
      <c r="BH776">
        <v>0</v>
      </c>
      <c r="BI776">
        <v>0</v>
      </c>
      <c r="BJ776">
        <v>0</v>
      </c>
      <c r="BK776">
        <v>0</v>
      </c>
    </row>
    <row r="777" spans="3:63">
      <c r="C777" s="145" t="s">
        <v>48</v>
      </c>
      <c r="D777">
        <v>0</v>
      </c>
      <c r="E777">
        <v>0</v>
      </c>
      <c r="F777">
        <v>1</v>
      </c>
      <c r="G777">
        <v>0</v>
      </c>
      <c r="H777">
        <v>0</v>
      </c>
      <c r="I777">
        <v>0</v>
      </c>
      <c r="J777">
        <v>0</v>
      </c>
      <c r="K777">
        <v>0</v>
      </c>
      <c r="L777">
        <v>0</v>
      </c>
      <c r="M777">
        <v>0</v>
      </c>
      <c r="N777">
        <v>0</v>
      </c>
      <c r="O777">
        <v>0</v>
      </c>
      <c r="P777">
        <v>0</v>
      </c>
      <c r="Q777">
        <v>0</v>
      </c>
      <c r="R777">
        <v>0</v>
      </c>
      <c r="S777">
        <v>0</v>
      </c>
      <c r="T777">
        <v>0</v>
      </c>
      <c r="U777">
        <v>0</v>
      </c>
      <c r="V777">
        <v>0</v>
      </c>
      <c r="W777">
        <v>0</v>
      </c>
      <c r="X777">
        <v>0</v>
      </c>
      <c r="Y777">
        <v>0</v>
      </c>
      <c r="Z777">
        <v>0</v>
      </c>
      <c r="AA777">
        <v>0</v>
      </c>
      <c r="AB777">
        <v>0</v>
      </c>
      <c r="AC777">
        <v>0</v>
      </c>
      <c r="AD777">
        <v>0</v>
      </c>
      <c r="AE777">
        <v>0</v>
      </c>
      <c r="AF777">
        <v>0</v>
      </c>
      <c r="AG777">
        <v>0</v>
      </c>
      <c r="AH777">
        <v>0</v>
      </c>
      <c r="AI777">
        <v>0</v>
      </c>
      <c r="AJ777">
        <v>0</v>
      </c>
      <c r="AK777">
        <v>0</v>
      </c>
      <c r="AL777">
        <v>0</v>
      </c>
      <c r="AM777">
        <v>0</v>
      </c>
      <c r="AN777">
        <v>0</v>
      </c>
      <c r="AO777">
        <v>0</v>
      </c>
      <c r="AP777">
        <v>0</v>
      </c>
      <c r="AQ777">
        <v>0</v>
      </c>
      <c r="AR777">
        <v>0</v>
      </c>
      <c r="AS777">
        <v>0</v>
      </c>
      <c r="AT777">
        <v>0</v>
      </c>
      <c r="AU777">
        <v>0</v>
      </c>
      <c r="AV777">
        <v>0</v>
      </c>
      <c r="AW777">
        <v>0</v>
      </c>
      <c r="AX777">
        <v>0</v>
      </c>
      <c r="AY777">
        <v>0</v>
      </c>
      <c r="AZ777">
        <v>0</v>
      </c>
      <c r="BA777">
        <v>0</v>
      </c>
      <c r="BB777">
        <v>0</v>
      </c>
      <c r="BC777">
        <v>0</v>
      </c>
      <c r="BD777">
        <v>0</v>
      </c>
      <c r="BE777">
        <v>0</v>
      </c>
      <c r="BF777">
        <v>0</v>
      </c>
      <c r="BG777">
        <v>0</v>
      </c>
      <c r="BH777">
        <v>0</v>
      </c>
      <c r="BI777">
        <v>0</v>
      </c>
      <c r="BJ777">
        <v>0</v>
      </c>
      <c r="BK777">
        <v>0</v>
      </c>
    </row>
    <row r="778" spans="3:63">
      <c r="C778" s="145" t="s">
        <v>28</v>
      </c>
      <c r="D778">
        <v>0</v>
      </c>
      <c r="E778">
        <v>0</v>
      </c>
      <c r="F778">
        <v>0</v>
      </c>
      <c r="G778">
        <v>0</v>
      </c>
      <c r="H778">
        <v>0</v>
      </c>
      <c r="I778">
        <v>0</v>
      </c>
      <c r="J778">
        <v>0</v>
      </c>
      <c r="K778">
        <v>0</v>
      </c>
      <c r="L778">
        <v>0</v>
      </c>
      <c r="M778">
        <v>0</v>
      </c>
      <c r="N778">
        <v>0</v>
      </c>
      <c r="O778">
        <v>0</v>
      </c>
      <c r="P778">
        <v>0</v>
      </c>
      <c r="Q778">
        <v>1</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v>0</v>
      </c>
      <c r="AN778">
        <v>0</v>
      </c>
      <c r="AO778">
        <v>0</v>
      </c>
      <c r="AP778">
        <v>0</v>
      </c>
      <c r="AQ778">
        <v>0</v>
      </c>
      <c r="AR778">
        <v>0</v>
      </c>
      <c r="AS778">
        <v>0</v>
      </c>
      <c r="AT778">
        <v>0</v>
      </c>
      <c r="AU778">
        <v>0</v>
      </c>
      <c r="AV778">
        <v>0</v>
      </c>
      <c r="AW778">
        <v>0</v>
      </c>
      <c r="AX778">
        <v>0</v>
      </c>
      <c r="AY778">
        <v>0</v>
      </c>
      <c r="AZ778">
        <v>0</v>
      </c>
      <c r="BA778">
        <v>0</v>
      </c>
      <c r="BB778">
        <v>0</v>
      </c>
      <c r="BC778">
        <v>0</v>
      </c>
      <c r="BD778">
        <v>0</v>
      </c>
      <c r="BE778">
        <v>0</v>
      </c>
      <c r="BF778">
        <v>0</v>
      </c>
      <c r="BG778">
        <v>0</v>
      </c>
      <c r="BH778">
        <v>0</v>
      </c>
      <c r="BI778">
        <v>0</v>
      </c>
      <c r="BJ778">
        <v>0</v>
      </c>
      <c r="BK778">
        <v>0</v>
      </c>
    </row>
    <row r="779" spans="3:63">
      <c r="C779" s="145" t="s">
        <v>909</v>
      </c>
      <c r="D779">
        <v>0</v>
      </c>
      <c r="E779">
        <v>0</v>
      </c>
      <c r="F779">
        <v>0</v>
      </c>
      <c r="G779">
        <v>0</v>
      </c>
      <c r="H779">
        <v>0</v>
      </c>
      <c r="I779">
        <v>1</v>
      </c>
      <c r="J779">
        <v>0</v>
      </c>
      <c r="K779">
        <v>0</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v>0</v>
      </c>
      <c r="AF779">
        <v>0</v>
      </c>
      <c r="AG779">
        <v>0</v>
      </c>
      <c r="AH779">
        <v>0</v>
      </c>
      <c r="AI779">
        <v>0</v>
      </c>
      <c r="AJ779">
        <v>0</v>
      </c>
      <c r="AK779">
        <v>0</v>
      </c>
      <c r="AL779">
        <v>0</v>
      </c>
      <c r="AM779">
        <v>0</v>
      </c>
      <c r="AN779">
        <v>0</v>
      </c>
      <c r="AO779">
        <v>0</v>
      </c>
      <c r="AP779">
        <v>0</v>
      </c>
      <c r="AQ779">
        <v>0</v>
      </c>
      <c r="AR779">
        <v>0</v>
      </c>
      <c r="AS779">
        <v>0</v>
      </c>
      <c r="AT779">
        <v>0</v>
      </c>
      <c r="AU779">
        <v>0</v>
      </c>
      <c r="AV779">
        <v>0</v>
      </c>
      <c r="AW779">
        <v>0</v>
      </c>
      <c r="AX779">
        <v>0</v>
      </c>
      <c r="AY779">
        <v>0</v>
      </c>
      <c r="AZ779">
        <v>0</v>
      </c>
      <c r="BA779">
        <v>0</v>
      </c>
      <c r="BB779">
        <v>0</v>
      </c>
      <c r="BC779">
        <v>0</v>
      </c>
      <c r="BD779">
        <v>0</v>
      </c>
      <c r="BE779">
        <v>0</v>
      </c>
      <c r="BF779">
        <v>0</v>
      </c>
      <c r="BG779">
        <v>0</v>
      </c>
      <c r="BH779">
        <v>0</v>
      </c>
      <c r="BI779">
        <v>0</v>
      </c>
      <c r="BJ779">
        <v>0</v>
      </c>
      <c r="BK779">
        <v>0</v>
      </c>
    </row>
    <row r="780" spans="3:63">
      <c r="C780" s="145" t="s">
        <v>26</v>
      </c>
      <c r="D780">
        <v>1</v>
      </c>
      <c r="E780">
        <v>0</v>
      </c>
      <c r="F780">
        <v>0</v>
      </c>
      <c r="G780">
        <v>0</v>
      </c>
      <c r="H780">
        <v>0</v>
      </c>
      <c r="I780">
        <v>0</v>
      </c>
      <c r="J780">
        <v>0</v>
      </c>
      <c r="K780">
        <v>0</v>
      </c>
      <c r="L780">
        <v>0</v>
      </c>
      <c r="M780">
        <v>0</v>
      </c>
      <c r="N780">
        <v>0</v>
      </c>
      <c r="O780">
        <v>0</v>
      </c>
      <c r="P780">
        <v>0</v>
      </c>
      <c r="Q780">
        <v>0</v>
      </c>
      <c r="R780">
        <v>0</v>
      </c>
      <c r="S780">
        <v>0</v>
      </c>
      <c r="T780">
        <v>0</v>
      </c>
      <c r="U780">
        <v>0</v>
      </c>
      <c r="V780">
        <v>0</v>
      </c>
      <c r="W780">
        <v>0</v>
      </c>
      <c r="X780">
        <v>0</v>
      </c>
      <c r="Y780">
        <v>0</v>
      </c>
      <c r="Z780">
        <v>0</v>
      </c>
      <c r="AA780">
        <v>0</v>
      </c>
      <c r="AB780">
        <v>0</v>
      </c>
      <c r="AC780">
        <v>0</v>
      </c>
      <c r="AD780">
        <v>0</v>
      </c>
      <c r="AE780">
        <v>0</v>
      </c>
      <c r="AF780">
        <v>0</v>
      </c>
      <c r="AG780">
        <v>0</v>
      </c>
      <c r="AH780">
        <v>0</v>
      </c>
      <c r="AI780">
        <v>0</v>
      </c>
      <c r="AJ780">
        <v>0</v>
      </c>
      <c r="AK780">
        <v>0</v>
      </c>
      <c r="AL780">
        <v>0</v>
      </c>
      <c r="AM780">
        <v>0</v>
      </c>
      <c r="AN780">
        <v>0</v>
      </c>
      <c r="AO780">
        <v>0</v>
      </c>
      <c r="AP780">
        <v>0</v>
      </c>
      <c r="AQ780">
        <v>0</v>
      </c>
      <c r="AR780">
        <v>0</v>
      </c>
      <c r="AS780">
        <v>0</v>
      </c>
      <c r="AT780">
        <v>0</v>
      </c>
      <c r="AU780">
        <v>0</v>
      </c>
      <c r="AV780">
        <v>0</v>
      </c>
      <c r="AW780">
        <v>0</v>
      </c>
      <c r="AX780">
        <v>0</v>
      </c>
      <c r="AY780">
        <v>0</v>
      </c>
      <c r="AZ780">
        <v>0</v>
      </c>
      <c r="BA780">
        <v>0</v>
      </c>
      <c r="BB780">
        <v>0</v>
      </c>
      <c r="BC780">
        <v>0</v>
      </c>
      <c r="BD780">
        <v>0</v>
      </c>
      <c r="BE780">
        <v>0</v>
      </c>
      <c r="BF780">
        <v>0</v>
      </c>
      <c r="BG780">
        <v>0</v>
      </c>
      <c r="BH780">
        <v>0</v>
      </c>
      <c r="BI780">
        <v>0</v>
      </c>
      <c r="BJ780">
        <v>0</v>
      </c>
      <c r="BK780">
        <v>0</v>
      </c>
    </row>
    <row r="781" spans="3:63">
      <c r="C781" s="145" t="s">
        <v>48</v>
      </c>
      <c r="D781">
        <v>0</v>
      </c>
      <c r="E781">
        <v>0</v>
      </c>
      <c r="F781">
        <v>1</v>
      </c>
      <c r="G781">
        <v>0</v>
      </c>
      <c r="H781">
        <v>0</v>
      </c>
      <c r="I781">
        <v>0</v>
      </c>
      <c r="J781">
        <v>0</v>
      </c>
      <c r="K781">
        <v>0</v>
      </c>
      <c r="L781">
        <v>0</v>
      </c>
      <c r="M781">
        <v>0</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v>0</v>
      </c>
      <c r="AN781">
        <v>0</v>
      </c>
      <c r="AO781">
        <v>0</v>
      </c>
      <c r="AP781">
        <v>0</v>
      </c>
      <c r="AQ781">
        <v>0</v>
      </c>
      <c r="AR781">
        <v>0</v>
      </c>
      <c r="AS781">
        <v>0</v>
      </c>
      <c r="AT781">
        <v>0</v>
      </c>
      <c r="AU781">
        <v>0</v>
      </c>
      <c r="AV781">
        <v>0</v>
      </c>
      <c r="AW781">
        <v>0</v>
      </c>
      <c r="AX781">
        <v>0</v>
      </c>
      <c r="AY781">
        <v>0</v>
      </c>
      <c r="AZ781">
        <v>0</v>
      </c>
      <c r="BA781">
        <v>0</v>
      </c>
      <c r="BB781">
        <v>0</v>
      </c>
      <c r="BC781">
        <v>0</v>
      </c>
      <c r="BD781">
        <v>0</v>
      </c>
      <c r="BE781">
        <v>0</v>
      </c>
      <c r="BF781">
        <v>0</v>
      </c>
      <c r="BG781">
        <v>0</v>
      </c>
      <c r="BH781">
        <v>0</v>
      </c>
      <c r="BI781">
        <v>0</v>
      </c>
      <c r="BJ781">
        <v>0</v>
      </c>
      <c r="BK781">
        <v>0</v>
      </c>
    </row>
    <row r="782" spans="3:63">
      <c r="C782" s="145" t="s">
        <v>919</v>
      </c>
      <c r="D782">
        <v>1</v>
      </c>
      <c r="E782">
        <v>0</v>
      </c>
      <c r="F782">
        <v>1</v>
      </c>
      <c r="G782">
        <v>0</v>
      </c>
      <c r="H782">
        <v>0</v>
      </c>
      <c r="I782">
        <v>0</v>
      </c>
      <c r="J782">
        <v>0</v>
      </c>
      <c r="K782">
        <v>0</v>
      </c>
      <c r="L782">
        <v>0</v>
      </c>
      <c r="M782">
        <v>0</v>
      </c>
      <c r="N782">
        <v>0</v>
      </c>
      <c r="O782">
        <v>0</v>
      </c>
      <c r="P782">
        <v>0</v>
      </c>
      <c r="Q782">
        <v>1</v>
      </c>
      <c r="R782">
        <v>0</v>
      </c>
      <c r="S782">
        <v>0</v>
      </c>
      <c r="T782">
        <v>0</v>
      </c>
      <c r="U782">
        <v>0</v>
      </c>
      <c r="V782">
        <v>0</v>
      </c>
      <c r="W782">
        <v>0</v>
      </c>
      <c r="X782">
        <v>0</v>
      </c>
      <c r="Y782">
        <v>0</v>
      </c>
      <c r="Z782">
        <v>0</v>
      </c>
      <c r="AA782">
        <v>0</v>
      </c>
      <c r="AB782">
        <v>0</v>
      </c>
      <c r="AC782">
        <v>0</v>
      </c>
      <c r="AD782">
        <v>0</v>
      </c>
      <c r="AE782">
        <v>0</v>
      </c>
      <c r="AF782">
        <v>0</v>
      </c>
      <c r="AG782">
        <v>0</v>
      </c>
      <c r="AH782">
        <v>0</v>
      </c>
      <c r="AI782">
        <v>0</v>
      </c>
      <c r="AJ782">
        <v>0</v>
      </c>
      <c r="AK782">
        <v>0</v>
      </c>
      <c r="AL782">
        <v>0</v>
      </c>
      <c r="AM782">
        <v>0</v>
      </c>
      <c r="AN782">
        <v>0</v>
      </c>
      <c r="AO782">
        <v>0</v>
      </c>
      <c r="AP782">
        <v>0</v>
      </c>
      <c r="AQ782">
        <v>0</v>
      </c>
      <c r="AR782">
        <v>0</v>
      </c>
      <c r="AS782">
        <v>0</v>
      </c>
      <c r="AT782">
        <v>0</v>
      </c>
      <c r="AU782">
        <v>0</v>
      </c>
      <c r="AV782">
        <v>0</v>
      </c>
      <c r="AW782">
        <v>0</v>
      </c>
      <c r="AX782">
        <v>0</v>
      </c>
      <c r="AY782">
        <v>0</v>
      </c>
      <c r="AZ782">
        <v>0</v>
      </c>
      <c r="BA782">
        <v>0</v>
      </c>
      <c r="BB782">
        <v>0</v>
      </c>
      <c r="BC782">
        <v>0</v>
      </c>
      <c r="BD782">
        <v>0</v>
      </c>
      <c r="BE782">
        <v>0</v>
      </c>
      <c r="BF782">
        <v>0</v>
      </c>
      <c r="BG782">
        <v>0</v>
      </c>
      <c r="BH782">
        <v>0</v>
      </c>
      <c r="BI782">
        <v>0</v>
      </c>
      <c r="BJ782">
        <v>0</v>
      </c>
      <c r="BK782">
        <v>0</v>
      </c>
    </row>
    <row r="783" spans="3:63">
      <c r="C783" s="145" t="s">
        <v>48</v>
      </c>
      <c r="D783">
        <v>0</v>
      </c>
      <c r="E783">
        <v>0</v>
      </c>
      <c r="F783">
        <v>1</v>
      </c>
      <c r="G783">
        <v>0</v>
      </c>
      <c r="H783">
        <v>0</v>
      </c>
      <c r="I783">
        <v>0</v>
      </c>
      <c r="J783">
        <v>0</v>
      </c>
      <c r="K783">
        <v>0</v>
      </c>
      <c r="L783">
        <v>0</v>
      </c>
      <c r="M783">
        <v>0</v>
      </c>
      <c r="N783">
        <v>0</v>
      </c>
      <c r="O783">
        <v>0</v>
      </c>
      <c r="P783">
        <v>0</v>
      </c>
      <c r="Q783">
        <v>0</v>
      </c>
      <c r="R783">
        <v>0</v>
      </c>
      <c r="S783">
        <v>0</v>
      </c>
      <c r="T783">
        <v>0</v>
      </c>
      <c r="U783">
        <v>0</v>
      </c>
      <c r="V783">
        <v>0</v>
      </c>
      <c r="W783">
        <v>0</v>
      </c>
      <c r="X783">
        <v>0</v>
      </c>
      <c r="Y783">
        <v>0</v>
      </c>
      <c r="Z783">
        <v>0</v>
      </c>
      <c r="AA783">
        <v>0</v>
      </c>
      <c r="AB783">
        <v>0</v>
      </c>
      <c r="AC783">
        <v>0</v>
      </c>
      <c r="AD783">
        <v>0</v>
      </c>
      <c r="AE783">
        <v>0</v>
      </c>
      <c r="AF783">
        <v>0</v>
      </c>
      <c r="AG783">
        <v>0</v>
      </c>
      <c r="AH783">
        <v>0</v>
      </c>
      <c r="AI783">
        <v>0</v>
      </c>
      <c r="AJ783">
        <v>0</v>
      </c>
      <c r="AK783">
        <v>0</v>
      </c>
      <c r="AL783">
        <v>0</v>
      </c>
      <c r="AM783">
        <v>0</v>
      </c>
      <c r="AN783">
        <v>0</v>
      </c>
      <c r="AO783">
        <v>0</v>
      </c>
      <c r="AP783">
        <v>0</v>
      </c>
      <c r="AQ783">
        <v>0</v>
      </c>
      <c r="AR783">
        <v>0</v>
      </c>
      <c r="AS783">
        <v>0</v>
      </c>
      <c r="AT783">
        <v>0</v>
      </c>
      <c r="AU783">
        <v>0</v>
      </c>
      <c r="AV783">
        <v>0</v>
      </c>
      <c r="AW783">
        <v>0</v>
      </c>
      <c r="AX783">
        <v>0</v>
      </c>
      <c r="AY783">
        <v>0</v>
      </c>
      <c r="AZ783">
        <v>0</v>
      </c>
      <c r="BA783">
        <v>0</v>
      </c>
      <c r="BB783">
        <v>0</v>
      </c>
      <c r="BC783">
        <v>0</v>
      </c>
      <c r="BD783">
        <v>0</v>
      </c>
      <c r="BE783">
        <v>0</v>
      </c>
      <c r="BF783">
        <v>0</v>
      </c>
      <c r="BG783">
        <v>0</v>
      </c>
      <c r="BH783">
        <v>0</v>
      </c>
      <c r="BI783">
        <v>0</v>
      </c>
      <c r="BJ783">
        <v>0</v>
      </c>
      <c r="BK783">
        <v>0</v>
      </c>
    </row>
    <row r="784" spans="3:63">
      <c r="C784" s="145" t="s">
        <v>43</v>
      </c>
      <c r="D784">
        <v>1</v>
      </c>
      <c r="E784">
        <v>0</v>
      </c>
      <c r="F784">
        <v>1</v>
      </c>
      <c r="G784">
        <v>0</v>
      </c>
      <c r="H784">
        <v>0</v>
      </c>
      <c r="I784">
        <v>0</v>
      </c>
      <c r="J784">
        <v>0</v>
      </c>
      <c r="K784">
        <v>0</v>
      </c>
      <c r="L784">
        <v>0</v>
      </c>
      <c r="M784">
        <v>0</v>
      </c>
      <c r="N784">
        <v>0</v>
      </c>
      <c r="O784">
        <v>0</v>
      </c>
      <c r="P784">
        <v>0</v>
      </c>
      <c r="Q784">
        <v>0</v>
      </c>
      <c r="R784">
        <v>0</v>
      </c>
      <c r="S784">
        <v>0</v>
      </c>
      <c r="T784">
        <v>0</v>
      </c>
      <c r="U784">
        <v>0</v>
      </c>
      <c r="V784">
        <v>0</v>
      </c>
      <c r="W784">
        <v>0</v>
      </c>
      <c r="X784">
        <v>0</v>
      </c>
      <c r="Y784">
        <v>0</v>
      </c>
      <c r="Z784">
        <v>0</v>
      </c>
      <c r="AA784">
        <v>0</v>
      </c>
      <c r="AB784">
        <v>0</v>
      </c>
      <c r="AC784">
        <v>0</v>
      </c>
      <c r="AD784">
        <v>0</v>
      </c>
      <c r="AE784">
        <v>0</v>
      </c>
      <c r="AF784">
        <v>0</v>
      </c>
      <c r="AG784">
        <v>0</v>
      </c>
      <c r="AH784">
        <v>0</v>
      </c>
      <c r="AI784">
        <v>0</v>
      </c>
      <c r="AJ784">
        <v>0</v>
      </c>
      <c r="AK784">
        <v>0</v>
      </c>
      <c r="AL784">
        <v>0</v>
      </c>
      <c r="AM784">
        <v>0</v>
      </c>
      <c r="AN784">
        <v>0</v>
      </c>
      <c r="AO784">
        <v>0</v>
      </c>
      <c r="AP784">
        <v>0</v>
      </c>
      <c r="AQ784">
        <v>0</v>
      </c>
      <c r="AR784">
        <v>0</v>
      </c>
      <c r="AS784">
        <v>0</v>
      </c>
      <c r="AT784">
        <v>0</v>
      </c>
      <c r="AU784">
        <v>0</v>
      </c>
      <c r="AV784">
        <v>0</v>
      </c>
      <c r="AW784">
        <v>0</v>
      </c>
      <c r="AX784">
        <v>0</v>
      </c>
      <c r="AY784">
        <v>0</v>
      </c>
      <c r="AZ784">
        <v>0</v>
      </c>
      <c r="BA784">
        <v>0</v>
      </c>
      <c r="BB784">
        <v>0</v>
      </c>
      <c r="BC784">
        <v>0</v>
      </c>
      <c r="BD784">
        <v>0</v>
      </c>
      <c r="BE784">
        <v>0</v>
      </c>
      <c r="BF784">
        <v>0</v>
      </c>
      <c r="BG784">
        <v>0</v>
      </c>
      <c r="BH784">
        <v>0</v>
      </c>
      <c r="BI784">
        <v>0</v>
      </c>
      <c r="BJ784">
        <v>0</v>
      </c>
      <c r="BK784">
        <v>0</v>
      </c>
    </row>
    <row r="785" spans="3:63">
      <c r="C785" s="145" t="s">
        <v>909</v>
      </c>
      <c r="D785">
        <v>0</v>
      </c>
      <c r="E785">
        <v>0</v>
      </c>
      <c r="F785">
        <v>0</v>
      </c>
      <c r="G785">
        <v>0</v>
      </c>
      <c r="H785">
        <v>0</v>
      </c>
      <c r="I785">
        <v>1</v>
      </c>
      <c r="J785">
        <v>0</v>
      </c>
      <c r="K785">
        <v>0</v>
      </c>
      <c r="L785">
        <v>0</v>
      </c>
      <c r="M785">
        <v>0</v>
      </c>
      <c r="N785">
        <v>0</v>
      </c>
      <c r="O785">
        <v>0</v>
      </c>
      <c r="P785">
        <v>0</v>
      </c>
      <c r="Q785">
        <v>0</v>
      </c>
      <c r="R785">
        <v>0</v>
      </c>
      <c r="S785">
        <v>0</v>
      </c>
      <c r="T785">
        <v>0</v>
      </c>
      <c r="U785">
        <v>0</v>
      </c>
      <c r="V785">
        <v>0</v>
      </c>
      <c r="W785">
        <v>0</v>
      </c>
      <c r="X785">
        <v>0</v>
      </c>
      <c r="Y785">
        <v>0</v>
      </c>
      <c r="Z785">
        <v>0</v>
      </c>
      <c r="AA785">
        <v>0</v>
      </c>
      <c r="AB785">
        <v>0</v>
      </c>
      <c r="AC785">
        <v>0</v>
      </c>
      <c r="AD785">
        <v>0</v>
      </c>
      <c r="AE785">
        <v>0</v>
      </c>
      <c r="AF785">
        <v>0</v>
      </c>
      <c r="AG785">
        <v>0</v>
      </c>
      <c r="AH785">
        <v>0</v>
      </c>
      <c r="AI785">
        <v>0</v>
      </c>
      <c r="AJ785">
        <v>0</v>
      </c>
      <c r="AK785">
        <v>0</v>
      </c>
      <c r="AL785">
        <v>0</v>
      </c>
      <c r="AM785">
        <v>0</v>
      </c>
      <c r="AN785">
        <v>0</v>
      </c>
      <c r="AO785">
        <v>0</v>
      </c>
      <c r="AP785">
        <v>0</v>
      </c>
      <c r="AQ785">
        <v>0</v>
      </c>
      <c r="AR785">
        <v>0</v>
      </c>
      <c r="AS785">
        <v>0</v>
      </c>
      <c r="AT785">
        <v>0</v>
      </c>
      <c r="AU785">
        <v>0</v>
      </c>
      <c r="AV785">
        <v>0</v>
      </c>
      <c r="AW785">
        <v>0</v>
      </c>
      <c r="AX785">
        <v>0</v>
      </c>
      <c r="AY785">
        <v>0</v>
      </c>
      <c r="AZ785">
        <v>0</v>
      </c>
      <c r="BA785">
        <v>0</v>
      </c>
      <c r="BB785">
        <v>0</v>
      </c>
      <c r="BC785">
        <v>0</v>
      </c>
      <c r="BD785">
        <v>0</v>
      </c>
      <c r="BE785">
        <v>0</v>
      </c>
      <c r="BF785">
        <v>0</v>
      </c>
      <c r="BG785">
        <v>0</v>
      </c>
      <c r="BH785">
        <v>0</v>
      </c>
      <c r="BI785">
        <v>0</v>
      </c>
      <c r="BJ785">
        <v>0</v>
      </c>
      <c r="BK785">
        <v>0</v>
      </c>
    </row>
    <row r="786" spans="3:63">
      <c r="C786" s="145" t="s">
        <v>48</v>
      </c>
      <c r="D786">
        <v>0</v>
      </c>
      <c r="E786">
        <v>0</v>
      </c>
      <c r="F786">
        <v>1</v>
      </c>
      <c r="G786">
        <v>0</v>
      </c>
      <c r="H786">
        <v>0</v>
      </c>
      <c r="I786">
        <v>0</v>
      </c>
      <c r="J786">
        <v>0</v>
      </c>
      <c r="K786">
        <v>0</v>
      </c>
      <c r="L786">
        <v>0</v>
      </c>
      <c r="M786">
        <v>0</v>
      </c>
      <c r="N786">
        <v>0</v>
      </c>
      <c r="O786">
        <v>0</v>
      </c>
      <c r="P786">
        <v>0</v>
      </c>
      <c r="Q786">
        <v>0</v>
      </c>
      <c r="R786">
        <v>0</v>
      </c>
      <c r="S786">
        <v>0</v>
      </c>
      <c r="T786">
        <v>0</v>
      </c>
      <c r="U786">
        <v>0</v>
      </c>
      <c r="V786">
        <v>0</v>
      </c>
      <c r="W786">
        <v>0</v>
      </c>
      <c r="X786">
        <v>0</v>
      </c>
      <c r="Y786">
        <v>0</v>
      </c>
      <c r="Z786">
        <v>0</v>
      </c>
      <c r="AA786">
        <v>0</v>
      </c>
      <c r="AB786">
        <v>0</v>
      </c>
      <c r="AC786">
        <v>0</v>
      </c>
      <c r="AD786">
        <v>0</v>
      </c>
      <c r="AE786">
        <v>0</v>
      </c>
      <c r="AF786">
        <v>0</v>
      </c>
      <c r="AG786">
        <v>0</v>
      </c>
      <c r="AH786">
        <v>0</v>
      </c>
      <c r="AI786">
        <v>0</v>
      </c>
      <c r="AJ786">
        <v>0</v>
      </c>
      <c r="AK786">
        <v>0</v>
      </c>
      <c r="AL786">
        <v>0</v>
      </c>
      <c r="AM786">
        <v>0</v>
      </c>
      <c r="AN786">
        <v>0</v>
      </c>
      <c r="AO786">
        <v>0</v>
      </c>
      <c r="AP786">
        <v>0</v>
      </c>
      <c r="AQ786">
        <v>0</v>
      </c>
      <c r="AR786">
        <v>0</v>
      </c>
      <c r="AS786">
        <v>0</v>
      </c>
      <c r="AT786">
        <v>0</v>
      </c>
      <c r="AU786">
        <v>0</v>
      </c>
      <c r="AV786">
        <v>0</v>
      </c>
      <c r="AW786">
        <v>0</v>
      </c>
      <c r="AX786">
        <v>0</v>
      </c>
      <c r="AY786">
        <v>0</v>
      </c>
      <c r="AZ786">
        <v>0</v>
      </c>
      <c r="BA786">
        <v>0</v>
      </c>
      <c r="BB786">
        <v>0</v>
      </c>
      <c r="BC786">
        <v>0</v>
      </c>
      <c r="BD786">
        <v>0</v>
      </c>
      <c r="BE786">
        <v>0</v>
      </c>
      <c r="BF786">
        <v>0</v>
      </c>
      <c r="BG786">
        <v>0</v>
      </c>
      <c r="BH786">
        <v>0</v>
      </c>
      <c r="BI786">
        <v>0</v>
      </c>
      <c r="BJ786">
        <v>0</v>
      </c>
      <c r="BK786">
        <v>0</v>
      </c>
    </row>
    <row r="787" spans="3:63">
      <c r="C787" s="145" t="s">
        <v>43</v>
      </c>
      <c r="D787">
        <v>1</v>
      </c>
      <c r="E787">
        <v>0</v>
      </c>
      <c r="F787">
        <v>1</v>
      </c>
      <c r="G787">
        <v>0</v>
      </c>
      <c r="H787">
        <v>0</v>
      </c>
      <c r="I787">
        <v>0</v>
      </c>
      <c r="J787">
        <v>0</v>
      </c>
      <c r="K787">
        <v>0</v>
      </c>
      <c r="L787">
        <v>0</v>
      </c>
      <c r="M787">
        <v>0</v>
      </c>
      <c r="N787">
        <v>0</v>
      </c>
      <c r="O787">
        <v>0</v>
      </c>
      <c r="P787">
        <v>0</v>
      </c>
      <c r="Q787">
        <v>0</v>
      </c>
      <c r="R787">
        <v>0</v>
      </c>
      <c r="S787">
        <v>0</v>
      </c>
      <c r="T787">
        <v>0</v>
      </c>
      <c r="U787">
        <v>0</v>
      </c>
      <c r="V787">
        <v>0</v>
      </c>
      <c r="W787">
        <v>0</v>
      </c>
      <c r="X787">
        <v>0</v>
      </c>
      <c r="Y787">
        <v>0</v>
      </c>
      <c r="Z787">
        <v>0</v>
      </c>
      <c r="AA787">
        <v>0</v>
      </c>
      <c r="AB787">
        <v>0</v>
      </c>
      <c r="AC787">
        <v>0</v>
      </c>
      <c r="AD787">
        <v>0</v>
      </c>
      <c r="AE787">
        <v>0</v>
      </c>
      <c r="AF787">
        <v>0</v>
      </c>
      <c r="AG787">
        <v>0</v>
      </c>
      <c r="AH787">
        <v>0</v>
      </c>
      <c r="AI787">
        <v>0</v>
      </c>
      <c r="AJ787">
        <v>0</v>
      </c>
      <c r="AK787">
        <v>0</v>
      </c>
      <c r="AL787">
        <v>0</v>
      </c>
      <c r="AM787">
        <v>0</v>
      </c>
      <c r="AN787">
        <v>0</v>
      </c>
      <c r="AO787">
        <v>0</v>
      </c>
      <c r="AP787">
        <v>0</v>
      </c>
      <c r="AQ787">
        <v>0</v>
      </c>
      <c r="AR787">
        <v>0</v>
      </c>
      <c r="AS787">
        <v>0</v>
      </c>
      <c r="AT787">
        <v>0</v>
      </c>
      <c r="AU787">
        <v>0</v>
      </c>
      <c r="AV787">
        <v>0</v>
      </c>
      <c r="AW787">
        <v>0</v>
      </c>
      <c r="AX787">
        <v>0</v>
      </c>
      <c r="AY787">
        <v>0</v>
      </c>
      <c r="AZ787">
        <v>0</v>
      </c>
      <c r="BA787">
        <v>0</v>
      </c>
      <c r="BB787">
        <v>0</v>
      </c>
      <c r="BC787">
        <v>0</v>
      </c>
      <c r="BD787">
        <v>0</v>
      </c>
      <c r="BE787">
        <v>0</v>
      </c>
      <c r="BF787">
        <v>0</v>
      </c>
      <c r="BG787">
        <v>0</v>
      </c>
      <c r="BH787">
        <v>0</v>
      </c>
      <c r="BI787">
        <v>0</v>
      </c>
      <c r="BJ787">
        <v>0</v>
      </c>
      <c r="BK787">
        <v>0</v>
      </c>
    </row>
    <row r="788" spans="3:63">
      <c r="C788" s="145" t="s">
        <v>43</v>
      </c>
      <c r="D788">
        <v>1</v>
      </c>
      <c r="E788">
        <v>0</v>
      </c>
      <c r="F788">
        <v>1</v>
      </c>
      <c r="G788">
        <v>0</v>
      </c>
      <c r="H788">
        <v>0</v>
      </c>
      <c r="I788">
        <v>0</v>
      </c>
      <c r="J788">
        <v>0</v>
      </c>
      <c r="K788">
        <v>0</v>
      </c>
      <c r="L788">
        <v>0</v>
      </c>
      <c r="M788">
        <v>0</v>
      </c>
      <c r="N788">
        <v>0</v>
      </c>
      <c r="O788">
        <v>0</v>
      </c>
      <c r="P788">
        <v>0</v>
      </c>
      <c r="Q788">
        <v>0</v>
      </c>
      <c r="R788">
        <v>0</v>
      </c>
      <c r="S788">
        <v>0</v>
      </c>
      <c r="T788">
        <v>0</v>
      </c>
      <c r="U788">
        <v>0</v>
      </c>
      <c r="V788">
        <v>0</v>
      </c>
      <c r="W788">
        <v>0</v>
      </c>
      <c r="X788">
        <v>0</v>
      </c>
      <c r="Y788">
        <v>0</v>
      </c>
      <c r="Z788">
        <v>0</v>
      </c>
      <c r="AA788">
        <v>0</v>
      </c>
      <c r="AB788">
        <v>0</v>
      </c>
      <c r="AC788">
        <v>0</v>
      </c>
      <c r="AD788">
        <v>0</v>
      </c>
      <c r="AE788">
        <v>0</v>
      </c>
      <c r="AF788">
        <v>0</v>
      </c>
      <c r="AG788">
        <v>0</v>
      </c>
      <c r="AH788">
        <v>0</v>
      </c>
      <c r="AI788">
        <v>0</v>
      </c>
      <c r="AJ788">
        <v>0</v>
      </c>
      <c r="AK788">
        <v>0</v>
      </c>
      <c r="AL788">
        <v>0</v>
      </c>
      <c r="AM788">
        <v>0</v>
      </c>
      <c r="AN788">
        <v>0</v>
      </c>
      <c r="AO788">
        <v>0</v>
      </c>
      <c r="AP788">
        <v>0</v>
      </c>
      <c r="AQ788">
        <v>0</v>
      </c>
      <c r="AR788">
        <v>0</v>
      </c>
      <c r="AS788">
        <v>0</v>
      </c>
      <c r="AT788">
        <v>0</v>
      </c>
      <c r="AU788">
        <v>0</v>
      </c>
      <c r="AV788">
        <v>0</v>
      </c>
      <c r="AW788">
        <v>0</v>
      </c>
      <c r="AX788">
        <v>0</v>
      </c>
      <c r="AY788">
        <v>0</v>
      </c>
      <c r="AZ788">
        <v>0</v>
      </c>
      <c r="BA788">
        <v>0</v>
      </c>
      <c r="BB788">
        <v>0</v>
      </c>
      <c r="BC788">
        <v>0</v>
      </c>
      <c r="BD788">
        <v>0</v>
      </c>
      <c r="BE788">
        <v>0</v>
      </c>
      <c r="BF788">
        <v>0</v>
      </c>
      <c r="BG788">
        <v>0</v>
      </c>
      <c r="BH788">
        <v>0</v>
      </c>
      <c r="BI788">
        <v>0</v>
      </c>
      <c r="BJ788">
        <v>0</v>
      </c>
      <c r="BK788">
        <v>0</v>
      </c>
    </row>
    <row r="789" spans="3:63">
      <c r="C789" s="145" t="s">
        <v>900</v>
      </c>
      <c r="D789">
        <v>1</v>
      </c>
      <c r="E789">
        <v>1</v>
      </c>
      <c r="F789">
        <v>1</v>
      </c>
      <c r="G789">
        <v>0</v>
      </c>
      <c r="H789">
        <v>0</v>
      </c>
      <c r="I789">
        <v>0</v>
      </c>
      <c r="J789">
        <v>0</v>
      </c>
      <c r="K789">
        <v>0</v>
      </c>
      <c r="L789">
        <v>0</v>
      </c>
      <c r="M789">
        <v>0</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v>0</v>
      </c>
      <c r="AN789">
        <v>0</v>
      </c>
      <c r="AO789">
        <v>0</v>
      </c>
      <c r="AP789">
        <v>0</v>
      </c>
      <c r="AQ789">
        <v>0</v>
      </c>
      <c r="AR789">
        <v>0</v>
      </c>
      <c r="AS789">
        <v>0</v>
      </c>
      <c r="AT789">
        <v>0</v>
      </c>
      <c r="AU789">
        <v>0</v>
      </c>
      <c r="AV789">
        <v>0</v>
      </c>
      <c r="AW789">
        <v>0</v>
      </c>
      <c r="AX789">
        <v>0</v>
      </c>
      <c r="AY789">
        <v>0</v>
      </c>
      <c r="AZ789">
        <v>0</v>
      </c>
      <c r="BA789">
        <v>0</v>
      </c>
      <c r="BB789">
        <v>0</v>
      </c>
      <c r="BC789">
        <v>0</v>
      </c>
      <c r="BD789">
        <v>0</v>
      </c>
      <c r="BE789">
        <v>0</v>
      </c>
      <c r="BF789">
        <v>0</v>
      </c>
      <c r="BG789">
        <v>0</v>
      </c>
      <c r="BH789">
        <v>0</v>
      </c>
      <c r="BI789">
        <v>0</v>
      </c>
      <c r="BJ789">
        <v>0</v>
      </c>
      <c r="BK789">
        <v>0</v>
      </c>
    </row>
    <row r="790" spans="3:63">
      <c r="C790" s="145" t="s">
        <v>900</v>
      </c>
      <c r="D790">
        <v>1</v>
      </c>
      <c r="E790">
        <v>1</v>
      </c>
      <c r="F790">
        <v>1</v>
      </c>
      <c r="G790">
        <v>0</v>
      </c>
      <c r="H790">
        <v>0</v>
      </c>
      <c r="I790">
        <v>0</v>
      </c>
      <c r="J790">
        <v>0</v>
      </c>
      <c r="K790">
        <v>0</v>
      </c>
      <c r="L790">
        <v>0</v>
      </c>
      <c r="M790">
        <v>0</v>
      </c>
      <c r="N790">
        <v>0</v>
      </c>
      <c r="O790">
        <v>0</v>
      </c>
      <c r="P790">
        <v>0</v>
      </c>
      <c r="Q790">
        <v>0</v>
      </c>
      <c r="R790">
        <v>0</v>
      </c>
      <c r="S790">
        <v>0</v>
      </c>
      <c r="T790">
        <v>0</v>
      </c>
      <c r="U790">
        <v>0</v>
      </c>
      <c r="V790">
        <v>0</v>
      </c>
      <c r="W790">
        <v>0</v>
      </c>
      <c r="X790">
        <v>0</v>
      </c>
      <c r="Y790">
        <v>0</v>
      </c>
      <c r="Z790">
        <v>0</v>
      </c>
      <c r="AA790">
        <v>0</v>
      </c>
      <c r="AB790">
        <v>0</v>
      </c>
      <c r="AC790">
        <v>0</v>
      </c>
      <c r="AD790">
        <v>0</v>
      </c>
      <c r="AE790">
        <v>0</v>
      </c>
      <c r="AF790">
        <v>0</v>
      </c>
      <c r="AG790">
        <v>0</v>
      </c>
      <c r="AH790">
        <v>0</v>
      </c>
      <c r="AI790">
        <v>0</v>
      </c>
      <c r="AJ790">
        <v>0</v>
      </c>
      <c r="AK790">
        <v>0</v>
      </c>
      <c r="AL790">
        <v>0</v>
      </c>
      <c r="AM790">
        <v>0</v>
      </c>
      <c r="AN790">
        <v>0</v>
      </c>
      <c r="AO790">
        <v>0</v>
      </c>
      <c r="AP790">
        <v>0</v>
      </c>
      <c r="AQ790">
        <v>0</v>
      </c>
      <c r="AR790">
        <v>0</v>
      </c>
      <c r="AS790">
        <v>0</v>
      </c>
      <c r="AT790">
        <v>0</v>
      </c>
      <c r="AU790">
        <v>0</v>
      </c>
      <c r="AV790">
        <v>0</v>
      </c>
      <c r="AW790">
        <v>0</v>
      </c>
      <c r="AX790">
        <v>0</v>
      </c>
      <c r="AY790">
        <v>0</v>
      </c>
      <c r="AZ790">
        <v>0</v>
      </c>
      <c r="BA790">
        <v>0</v>
      </c>
      <c r="BB790">
        <v>0</v>
      </c>
      <c r="BC790">
        <v>0</v>
      </c>
      <c r="BD790">
        <v>0</v>
      </c>
      <c r="BE790">
        <v>0</v>
      </c>
      <c r="BF790">
        <v>0</v>
      </c>
      <c r="BG790">
        <v>0</v>
      </c>
      <c r="BH790">
        <v>0</v>
      </c>
      <c r="BI790">
        <v>0</v>
      </c>
      <c r="BJ790">
        <v>0</v>
      </c>
      <c r="BK790">
        <v>0</v>
      </c>
    </row>
    <row r="791" spans="3:63">
      <c r="C791" s="145" t="s">
        <v>26</v>
      </c>
      <c r="D791">
        <v>1</v>
      </c>
      <c r="E791">
        <v>0</v>
      </c>
      <c r="F791">
        <v>0</v>
      </c>
      <c r="G791">
        <v>0</v>
      </c>
      <c r="H791">
        <v>0</v>
      </c>
      <c r="I791">
        <v>0</v>
      </c>
      <c r="J791">
        <v>0</v>
      </c>
      <c r="K791">
        <v>0</v>
      </c>
      <c r="L791">
        <v>0</v>
      </c>
      <c r="M791">
        <v>0</v>
      </c>
      <c r="N791">
        <v>0</v>
      </c>
      <c r="O791">
        <v>0</v>
      </c>
      <c r="P791">
        <v>0</v>
      </c>
      <c r="Q791">
        <v>0</v>
      </c>
      <c r="R791">
        <v>0</v>
      </c>
      <c r="S791">
        <v>0</v>
      </c>
      <c r="T791">
        <v>0</v>
      </c>
      <c r="U791">
        <v>0</v>
      </c>
      <c r="V791">
        <v>0</v>
      </c>
      <c r="W791">
        <v>0</v>
      </c>
      <c r="X791">
        <v>0</v>
      </c>
      <c r="Y791">
        <v>0</v>
      </c>
      <c r="Z791">
        <v>0</v>
      </c>
      <c r="AA791">
        <v>0</v>
      </c>
      <c r="AB791">
        <v>0</v>
      </c>
      <c r="AC791">
        <v>0</v>
      </c>
      <c r="AD791">
        <v>0</v>
      </c>
      <c r="AE791">
        <v>0</v>
      </c>
      <c r="AF791">
        <v>0</v>
      </c>
      <c r="AG791">
        <v>0</v>
      </c>
      <c r="AH791">
        <v>0</v>
      </c>
      <c r="AI791">
        <v>0</v>
      </c>
      <c r="AJ791">
        <v>0</v>
      </c>
      <c r="AK791">
        <v>0</v>
      </c>
      <c r="AL791">
        <v>0</v>
      </c>
      <c r="AM791">
        <v>0</v>
      </c>
      <c r="AN791">
        <v>0</v>
      </c>
      <c r="AO791">
        <v>0</v>
      </c>
      <c r="AP791">
        <v>0</v>
      </c>
      <c r="AQ791">
        <v>0</v>
      </c>
      <c r="AR791">
        <v>0</v>
      </c>
      <c r="AS791">
        <v>0</v>
      </c>
      <c r="AT791">
        <v>0</v>
      </c>
      <c r="AU791">
        <v>0</v>
      </c>
      <c r="AV791">
        <v>0</v>
      </c>
      <c r="AW791">
        <v>0</v>
      </c>
      <c r="AX791">
        <v>0</v>
      </c>
      <c r="AY791">
        <v>0</v>
      </c>
      <c r="AZ791">
        <v>0</v>
      </c>
      <c r="BA791">
        <v>0</v>
      </c>
      <c r="BB791">
        <v>0</v>
      </c>
      <c r="BC791">
        <v>0</v>
      </c>
      <c r="BD791">
        <v>0</v>
      </c>
      <c r="BE791">
        <v>0</v>
      </c>
      <c r="BF791">
        <v>0</v>
      </c>
      <c r="BG791">
        <v>0</v>
      </c>
      <c r="BH791">
        <v>0</v>
      </c>
      <c r="BI791">
        <v>0</v>
      </c>
      <c r="BJ791">
        <v>0</v>
      </c>
      <c r="BK791">
        <v>0</v>
      </c>
    </row>
    <row r="792" spans="3:63">
      <c r="C792" s="145" t="s">
        <v>48</v>
      </c>
      <c r="D792">
        <v>0</v>
      </c>
      <c r="E792">
        <v>0</v>
      </c>
      <c r="F792">
        <v>1</v>
      </c>
      <c r="G792">
        <v>0</v>
      </c>
      <c r="H792">
        <v>0</v>
      </c>
      <c r="I792">
        <v>0</v>
      </c>
      <c r="J792">
        <v>0</v>
      </c>
      <c r="K792">
        <v>0</v>
      </c>
      <c r="L792">
        <v>0</v>
      </c>
      <c r="M792">
        <v>0</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v>0</v>
      </c>
      <c r="AN792">
        <v>0</v>
      </c>
      <c r="AO792">
        <v>0</v>
      </c>
      <c r="AP792">
        <v>0</v>
      </c>
      <c r="AQ792">
        <v>0</v>
      </c>
      <c r="AR792">
        <v>0</v>
      </c>
      <c r="AS792">
        <v>0</v>
      </c>
      <c r="AT792">
        <v>0</v>
      </c>
      <c r="AU792">
        <v>0</v>
      </c>
      <c r="AV792">
        <v>0</v>
      </c>
      <c r="AW792">
        <v>0</v>
      </c>
      <c r="AX792">
        <v>0</v>
      </c>
      <c r="AY792">
        <v>0</v>
      </c>
      <c r="AZ792">
        <v>0</v>
      </c>
      <c r="BA792">
        <v>0</v>
      </c>
      <c r="BB792">
        <v>0</v>
      </c>
      <c r="BC792">
        <v>0</v>
      </c>
      <c r="BD792">
        <v>0</v>
      </c>
      <c r="BE792">
        <v>0</v>
      </c>
      <c r="BF792">
        <v>0</v>
      </c>
      <c r="BG792">
        <v>0</v>
      </c>
      <c r="BH792">
        <v>0</v>
      </c>
      <c r="BI792">
        <v>0</v>
      </c>
      <c r="BJ792">
        <v>0</v>
      </c>
      <c r="BK792">
        <v>0</v>
      </c>
    </row>
    <row r="793" spans="3:63">
      <c r="C793" s="145" t="s">
        <v>28</v>
      </c>
      <c r="D793">
        <v>0</v>
      </c>
      <c r="E793">
        <v>0</v>
      </c>
      <c r="F793">
        <v>0</v>
      </c>
      <c r="G793">
        <v>0</v>
      </c>
      <c r="H793">
        <v>0</v>
      </c>
      <c r="I793">
        <v>0</v>
      </c>
      <c r="J793">
        <v>0</v>
      </c>
      <c r="K793">
        <v>0</v>
      </c>
      <c r="L793">
        <v>0</v>
      </c>
      <c r="M793">
        <v>0</v>
      </c>
      <c r="N793">
        <v>0</v>
      </c>
      <c r="O793">
        <v>0</v>
      </c>
      <c r="P793">
        <v>0</v>
      </c>
      <c r="Q793">
        <v>1</v>
      </c>
      <c r="R793">
        <v>0</v>
      </c>
      <c r="S793">
        <v>0</v>
      </c>
      <c r="T793">
        <v>0</v>
      </c>
      <c r="U793">
        <v>0</v>
      </c>
      <c r="V793">
        <v>0</v>
      </c>
      <c r="W793">
        <v>0</v>
      </c>
      <c r="X793">
        <v>0</v>
      </c>
      <c r="Y793">
        <v>0</v>
      </c>
      <c r="Z793">
        <v>0</v>
      </c>
      <c r="AA793">
        <v>0</v>
      </c>
      <c r="AB793">
        <v>0</v>
      </c>
      <c r="AC793">
        <v>0</v>
      </c>
      <c r="AD793">
        <v>0</v>
      </c>
      <c r="AE793">
        <v>0</v>
      </c>
      <c r="AF793">
        <v>0</v>
      </c>
      <c r="AG793">
        <v>0</v>
      </c>
      <c r="AH793">
        <v>0</v>
      </c>
      <c r="AI793">
        <v>0</v>
      </c>
      <c r="AJ793">
        <v>0</v>
      </c>
      <c r="AK793">
        <v>0</v>
      </c>
      <c r="AL793">
        <v>0</v>
      </c>
      <c r="AM793">
        <v>0</v>
      </c>
      <c r="AN793">
        <v>0</v>
      </c>
      <c r="AO793">
        <v>0</v>
      </c>
      <c r="AP793">
        <v>0</v>
      </c>
      <c r="AQ793">
        <v>0</v>
      </c>
      <c r="AR793">
        <v>0</v>
      </c>
      <c r="AS793">
        <v>0</v>
      </c>
      <c r="AT793">
        <v>0</v>
      </c>
      <c r="AU793">
        <v>0</v>
      </c>
      <c r="AV793">
        <v>0</v>
      </c>
      <c r="AW793">
        <v>0</v>
      </c>
      <c r="AX793">
        <v>0</v>
      </c>
      <c r="AY793">
        <v>0</v>
      </c>
      <c r="AZ793">
        <v>0</v>
      </c>
      <c r="BA793">
        <v>0</v>
      </c>
      <c r="BB793">
        <v>0</v>
      </c>
      <c r="BC793">
        <v>0</v>
      </c>
      <c r="BD793">
        <v>0</v>
      </c>
      <c r="BE793">
        <v>0</v>
      </c>
      <c r="BF793">
        <v>0</v>
      </c>
      <c r="BG793">
        <v>0</v>
      </c>
      <c r="BH793">
        <v>0</v>
      </c>
      <c r="BI793">
        <v>0</v>
      </c>
      <c r="BJ793">
        <v>0</v>
      </c>
      <c r="BK793">
        <v>0</v>
      </c>
    </row>
    <row r="794" spans="3:63">
      <c r="C794" s="145" t="s">
        <v>43</v>
      </c>
      <c r="D794">
        <v>1</v>
      </c>
      <c r="E794">
        <v>0</v>
      </c>
      <c r="F794">
        <v>1</v>
      </c>
      <c r="G794">
        <v>0</v>
      </c>
      <c r="H794">
        <v>0</v>
      </c>
      <c r="I794">
        <v>0</v>
      </c>
      <c r="J794">
        <v>0</v>
      </c>
      <c r="K794">
        <v>0</v>
      </c>
      <c r="L794">
        <v>0</v>
      </c>
      <c r="M794">
        <v>0</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v>0</v>
      </c>
      <c r="AN794">
        <v>0</v>
      </c>
      <c r="AO794">
        <v>0</v>
      </c>
      <c r="AP794">
        <v>0</v>
      </c>
      <c r="AQ794">
        <v>0</v>
      </c>
      <c r="AR794">
        <v>0</v>
      </c>
      <c r="AS794">
        <v>0</v>
      </c>
      <c r="AT794">
        <v>0</v>
      </c>
      <c r="AU794">
        <v>0</v>
      </c>
      <c r="AV794">
        <v>0</v>
      </c>
      <c r="AW794">
        <v>0</v>
      </c>
      <c r="AX794">
        <v>0</v>
      </c>
      <c r="AY794">
        <v>0</v>
      </c>
      <c r="AZ794">
        <v>0</v>
      </c>
      <c r="BA794">
        <v>0</v>
      </c>
      <c r="BB794">
        <v>0</v>
      </c>
      <c r="BC794">
        <v>0</v>
      </c>
      <c r="BD794">
        <v>0</v>
      </c>
      <c r="BE794">
        <v>0</v>
      </c>
      <c r="BF794">
        <v>0</v>
      </c>
      <c r="BG794">
        <v>0</v>
      </c>
      <c r="BH794">
        <v>0</v>
      </c>
      <c r="BI794">
        <v>0</v>
      </c>
      <c r="BJ794">
        <v>0</v>
      </c>
      <c r="BK794">
        <v>0</v>
      </c>
    </row>
    <row r="795" spans="3:63">
      <c r="C795" s="145" t="s">
        <v>48</v>
      </c>
      <c r="D795">
        <v>0</v>
      </c>
      <c r="E795">
        <v>0</v>
      </c>
      <c r="F795">
        <v>1</v>
      </c>
      <c r="G795">
        <v>0</v>
      </c>
      <c r="H795">
        <v>0</v>
      </c>
      <c r="I795">
        <v>0</v>
      </c>
      <c r="J795">
        <v>0</v>
      </c>
      <c r="K795">
        <v>0</v>
      </c>
      <c r="L795">
        <v>0</v>
      </c>
      <c r="M795">
        <v>0</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v>0</v>
      </c>
      <c r="AN795">
        <v>0</v>
      </c>
      <c r="AO795">
        <v>0</v>
      </c>
      <c r="AP795">
        <v>0</v>
      </c>
      <c r="AQ795">
        <v>0</v>
      </c>
      <c r="AR795">
        <v>0</v>
      </c>
      <c r="AS795">
        <v>0</v>
      </c>
      <c r="AT795">
        <v>0</v>
      </c>
      <c r="AU795">
        <v>0</v>
      </c>
      <c r="AV795">
        <v>0</v>
      </c>
      <c r="AW795">
        <v>0</v>
      </c>
      <c r="AX795">
        <v>0</v>
      </c>
      <c r="AY795">
        <v>0</v>
      </c>
      <c r="AZ795">
        <v>0</v>
      </c>
      <c r="BA795">
        <v>0</v>
      </c>
      <c r="BB795">
        <v>0</v>
      </c>
      <c r="BC795">
        <v>0</v>
      </c>
      <c r="BD795">
        <v>0</v>
      </c>
      <c r="BE795">
        <v>0</v>
      </c>
      <c r="BF795">
        <v>0</v>
      </c>
      <c r="BG795">
        <v>0</v>
      </c>
      <c r="BH795">
        <v>0</v>
      </c>
      <c r="BI795">
        <v>0</v>
      </c>
      <c r="BJ795">
        <v>0</v>
      </c>
      <c r="BK795">
        <v>0</v>
      </c>
    </row>
    <row r="796" spans="3:63">
      <c r="C796" s="145" t="s">
        <v>48</v>
      </c>
      <c r="D796">
        <v>0</v>
      </c>
      <c r="E796">
        <v>0</v>
      </c>
      <c r="F796">
        <v>1</v>
      </c>
      <c r="G796">
        <v>0</v>
      </c>
      <c r="H796">
        <v>0</v>
      </c>
      <c r="I796">
        <v>0</v>
      </c>
      <c r="J796">
        <v>0</v>
      </c>
      <c r="K796">
        <v>0</v>
      </c>
      <c r="L796">
        <v>0</v>
      </c>
      <c r="M796">
        <v>0</v>
      </c>
      <c r="N796">
        <v>0</v>
      </c>
      <c r="O796">
        <v>0</v>
      </c>
      <c r="P796">
        <v>0</v>
      </c>
      <c r="Q796">
        <v>0</v>
      </c>
      <c r="R796">
        <v>0</v>
      </c>
      <c r="S796">
        <v>0</v>
      </c>
      <c r="T796">
        <v>0</v>
      </c>
      <c r="U796">
        <v>0</v>
      </c>
      <c r="V796">
        <v>0</v>
      </c>
      <c r="W796">
        <v>0</v>
      </c>
      <c r="X796">
        <v>0</v>
      </c>
      <c r="Y796">
        <v>0</v>
      </c>
      <c r="Z796">
        <v>0</v>
      </c>
      <c r="AA796">
        <v>0</v>
      </c>
      <c r="AB796">
        <v>0</v>
      </c>
      <c r="AC796">
        <v>0</v>
      </c>
      <c r="AD796">
        <v>0</v>
      </c>
      <c r="AE796">
        <v>0</v>
      </c>
      <c r="AF796">
        <v>0</v>
      </c>
      <c r="AG796">
        <v>0</v>
      </c>
      <c r="AH796">
        <v>0</v>
      </c>
      <c r="AI796">
        <v>0</v>
      </c>
      <c r="AJ796">
        <v>0</v>
      </c>
      <c r="AK796">
        <v>0</v>
      </c>
      <c r="AL796">
        <v>0</v>
      </c>
      <c r="AM796">
        <v>0</v>
      </c>
      <c r="AN796">
        <v>0</v>
      </c>
      <c r="AO796">
        <v>0</v>
      </c>
      <c r="AP796">
        <v>0</v>
      </c>
      <c r="AQ796">
        <v>0</v>
      </c>
      <c r="AR796">
        <v>0</v>
      </c>
      <c r="AS796">
        <v>0</v>
      </c>
      <c r="AT796">
        <v>0</v>
      </c>
      <c r="AU796">
        <v>0</v>
      </c>
      <c r="AV796">
        <v>0</v>
      </c>
      <c r="AW796">
        <v>0</v>
      </c>
      <c r="AX796">
        <v>0</v>
      </c>
      <c r="AY796">
        <v>0</v>
      </c>
      <c r="AZ796">
        <v>0</v>
      </c>
      <c r="BA796">
        <v>0</v>
      </c>
      <c r="BB796">
        <v>0</v>
      </c>
      <c r="BC796">
        <v>0</v>
      </c>
      <c r="BD796">
        <v>0</v>
      </c>
      <c r="BE796">
        <v>0</v>
      </c>
      <c r="BF796">
        <v>0</v>
      </c>
      <c r="BG796">
        <v>0</v>
      </c>
      <c r="BH796">
        <v>0</v>
      </c>
      <c r="BI796">
        <v>0</v>
      </c>
      <c r="BJ796">
        <v>0</v>
      </c>
      <c r="BK796">
        <v>0</v>
      </c>
    </row>
    <row r="797" spans="3:63">
      <c r="C797" s="145" t="s">
        <v>52</v>
      </c>
      <c r="D797">
        <v>0</v>
      </c>
      <c r="E797">
        <v>0</v>
      </c>
      <c r="F797">
        <v>0</v>
      </c>
      <c r="G797">
        <v>0</v>
      </c>
      <c r="H797">
        <v>0</v>
      </c>
      <c r="I797">
        <v>0</v>
      </c>
      <c r="J797">
        <v>0</v>
      </c>
      <c r="K797">
        <v>0</v>
      </c>
      <c r="L797">
        <v>0</v>
      </c>
      <c r="M797">
        <v>0</v>
      </c>
      <c r="N797">
        <v>0</v>
      </c>
      <c r="O797">
        <v>1</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v>0</v>
      </c>
      <c r="AN797">
        <v>0</v>
      </c>
      <c r="AO797">
        <v>0</v>
      </c>
      <c r="AP797">
        <v>0</v>
      </c>
      <c r="AQ797">
        <v>0</v>
      </c>
      <c r="AR797">
        <v>0</v>
      </c>
      <c r="AS797">
        <v>0</v>
      </c>
      <c r="AT797">
        <v>0</v>
      </c>
      <c r="AU797">
        <v>0</v>
      </c>
      <c r="AV797">
        <v>0</v>
      </c>
      <c r="AW797">
        <v>0</v>
      </c>
      <c r="AX797">
        <v>0</v>
      </c>
      <c r="AY797">
        <v>0</v>
      </c>
      <c r="AZ797">
        <v>0</v>
      </c>
      <c r="BA797">
        <v>0</v>
      </c>
      <c r="BB797">
        <v>0</v>
      </c>
      <c r="BC797">
        <v>0</v>
      </c>
      <c r="BD797">
        <v>0</v>
      </c>
      <c r="BE797">
        <v>0</v>
      </c>
      <c r="BF797">
        <v>0</v>
      </c>
      <c r="BG797">
        <v>0</v>
      </c>
      <c r="BH797">
        <v>0</v>
      </c>
      <c r="BI797">
        <v>0</v>
      </c>
      <c r="BJ797">
        <v>0</v>
      </c>
      <c r="BK797">
        <v>0</v>
      </c>
    </row>
    <row r="798" spans="3:63">
      <c r="C798" s="145" t="s">
        <v>48</v>
      </c>
      <c r="D798">
        <v>0</v>
      </c>
      <c r="E798">
        <v>0</v>
      </c>
      <c r="F798">
        <v>1</v>
      </c>
      <c r="G798">
        <v>0</v>
      </c>
      <c r="H798">
        <v>0</v>
      </c>
      <c r="I798">
        <v>0</v>
      </c>
      <c r="J798">
        <v>0</v>
      </c>
      <c r="K798">
        <v>0</v>
      </c>
      <c r="L798">
        <v>0</v>
      </c>
      <c r="M798">
        <v>0</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v>0</v>
      </c>
      <c r="AN798">
        <v>0</v>
      </c>
      <c r="AO798">
        <v>0</v>
      </c>
      <c r="AP798">
        <v>0</v>
      </c>
      <c r="AQ798">
        <v>0</v>
      </c>
      <c r="AR798">
        <v>0</v>
      </c>
      <c r="AS798">
        <v>0</v>
      </c>
      <c r="AT798">
        <v>0</v>
      </c>
      <c r="AU798">
        <v>0</v>
      </c>
      <c r="AV798">
        <v>0</v>
      </c>
      <c r="AW798">
        <v>0</v>
      </c>
      <c r="AX798">
        <v>0</v>
      </c>
      <c r="AY798">
        <v>0</v>
      </c>
      <c r="AZ798">
        <v>0</v>
      </c>
      <c r="BA798">
        <v>0</v>
      </c>
      <c r="BB798">
        <v>0</v>
      </c>
      <c r="BC798">
        <v>0</v>
      </c>
      <c r="BD798">
        <v>0</v>
      </c>
      <c r="BE798">
        <v>0</v>
      </c>
      <c r="BF798">
        <v>0</v>
      </c>
      <c r="BG798">
        <v>0</v>
      </c>
      <c r="BH798">
        <v>0</v>
      </c>
      <c r="BI798">
        <v>0</v>
      </c>
      <c r="BJ798">
        <v>0</v>
      </c>
      <c r="BK798">
        <v>0</v>
      </c>
    </row>
    <row r="799" spans="3:63">
      <c r="C799" s="145" t="s">
        <v>43</v>
      </c>
      <c r="D799">
        <v>1</v>
      </c>
      <c r="E799">
        <v>0</v>
      </c>
      <c r="F799">
        <v>1</v>
      </c>
      <c r="G799">
        <v>0</v>
      </c>
      <c r="H799">
        <v>0</v>
      </c>
      <c r="I799">
        <v>0</v>
      </c>
      <c r="J799">
        <v>0</v>
      </c>
      <c r="K799">
        <v>0</v>
      </c>
      <c r="L799">
        <v>0</v>
      </c>
      <c r="M799">
        <v>0</v>
      </c>
      <c r="N799">
        <v>0</v>
      </c>
      <c r="O799">
        <v>0</v>
      </c>
      <c r="P799">
        <v>0</v>
      </c>
      <c r="Q799">
        <v>0</v>
      </c>
      <c r="R799">
        <v>0</v>
      </c>
      <c r="S799">
        <v>0</v>
      </c>
      <c r="T799">
        <v>0</v>
      </c>
      <c r="U799">
        <v>0</v>
      </c>
      <c r="V799">
        <v>0</v>
      </c>
      <c r="W799">
        <v>0</v>
      </c>
      <c r="X799">
        <v>0</v>
      </c>
      <c r="Y799">
        <v>0</v>
      </c>
      <c r="Z799">
        <v>0</v>
      </c>
      <c r="AA799">
        <v>0</v>
      </c>
      <c r="AB799">
        <v>0</v>
      </c>
      <c r="AC799">
        <v>0</v>
      </c>
      <c r="AD799">
        <v>0</v>
      </c>
      <c r="AE799">
        <v>0</v>
      </c>
      <c r="AF799">
        <v>0</v>
      </c>
      <c r="AG799">
        <v>0</v>
      </c>
      <c r="AH799">
        <v>0</v>
      </c>
      <c r="AI799">
        <v>0</v>
      </c>
      <c r="AJ799">
        <v>0</v>
      </c>
      <c r="AK799">
        <v>0</v>
      </c>
      <c r="AL799">
        <v>0</v>
      </c>
      <c r="AM799">
        <v>0</v>
      </c>
      <c r="AN799">
        <v>0</v>
      </c>
      <c r="AO799">
        <v>0</v>
      </c>
      <c r="AP799">
        <v>0</v>
      </c>
      <c r="AQ799">
        <v>0</v>
      </c>
      <c r="AR799">
        <v>0</v>
      </c>
      <c r="AS799">
        <v>0</v>
      </c>
      <c r="AT799">
        <v>0</v>
      </c>
      <c r="AU799">
        <v>0</v>
      </c>
      <c r="AV799">
        <v>0</v>
      </c>
      <c r="AW799">
        <v>0</v>
      </c>
      <c r="AX799">
        <v>0</v>
      </c>
      <c r="AY799">
        <v>0</v>
      </c>
      <c r="AZ799">
        <v>0</v>
      </c>
      <c r="BA799">
        <v>0</v>
      </c>
      <c r="BB799">
        <v>0</v>
      </c>
      <c r="BC799">
        <v>0</v>
      </c>
      <c r="BD799">
        <v>0</v>
      </c>
      <c r="BE799">
        <v>0</v>
      </c>
      <c r="BF799">
        <v>0</v>
      </c>
      <c r="BG799">
        <v>0</v>
      </c>
      <c r="BH799">
        <v>0</v>
      </c>
      <c r="BI799">
        <v>0</v>
      </c>
      <c r="BJ799">
        <v>0</v>
      </c>
      <c r="BK799">
        <v>0</v>
      </c>
    </row>
    <row r="800" spans="3:63">
      <c r="C800" s="145" t="s">
        <v>26</v>
      </c>
      <c r="D800">
        <v>1</v>
      </c>
      <c r="E800">
        <v>0</v>
      </c>
      <c r="F800">
        <v>0</v>
      </c>
      <c r="G800">
        <v>0</v>
      </c>
      <c r="H800">
        <v>0</v>
      </c>
      <c r="I800">
        <v>0</v>
      </c>
      <c r="J800">
        <v>0</v>
      </c>
      <c r="K800">
        <v>0</v>
      </c>
      <c r="L800">
        <v>0</v>
      </c>
      <c r="M800">
        <v>0</v>
      </c>
      <c r="N800">
        <v>0</v>
      </c>
      <c r="O800">
        <v>0</v>
      </c>
      <c r="P800">
        <v>0</v>
      </c>
      <c r="Q800">
        <v>0</v>
      </c>
      <c r="R800">
        <v>0</v>
      </c>
      <c r="S800">
        <v>0</v>
      </c>
      <c r="T800">
        <v>0</v>
      </c>
      <c r="U800">
        <v>0</v>
      </c>
      <c r="V800">
        <v>0</v>
      </c>
      <c r="W800">
        <v>0</v>
      </c>
      <c r="X800">
        <v>0</v>
      </c>
      <c r="Y800">
        <v>0</v>
      </c>
      <c r="Z800">
        <v>0</v>
      </c>
      <c r="AA800">
        <v>0</v>
      </c>
      <c r="AB800">
        <v>0</v>
      </c>
      <c r="AC800">
        <v>0</v>
      </c>
      <c r="AD800">
        <v>0</v>
      </c>
      <c r="AE800">
        <v>0</v>
      </c>
      <c r="AF800">
        <v>0</v>
      </c>
      <c r="AG800">
        <v>0</v>
      </c>
      <c r="AH800">
        <v>0</v>
      </c>
      <c r="AI800">
        <v>0</v>
      </c>
      <c r="AJ800">
        <v>0</v>
      </c>
      <c r="AK800">
        <v>0</v>
      </c>
      <c r="AL800">
        <v>0</v>
      </c>
      <c r="AM800">
        <v>0</v>
      </c>
      <c r="AN800">
        <v>0</v>
      </c>
      <c r="AO800">
        <v>0</v>
      </c>
      <c r="AP800">
        <v>0</v>
      </c>
      <c r="AQ800">
        <v>0</v>
      </c>
      <c r="AR800">
        <v>0</v>
      </c>
      <c r="AS800">
        <v>0</v>
      </c>
      <c r="AT800">
        <v>0</v>
      </c>
      <c r="AU800">
        <v>0</v>
      </c>
      <c r="AV800">
        <v>0</v>
      </c>
      <c r="AW800">
        <v>0</v>
      </c>
      <c r="AX800">
        <v>0</v>
      </c>
      <c r="AY800">
        <v>0</v>
      </c>
      <c r="AZ800">
        <v>0</v>
      </c>
      <c r="BA800">
        <v>0</v>
      </c>
      <c r="BB800">
        <v>0</v>
      </c>
      <c r="BC800">
        <v>0</v>
      </c>
      <c r="BD800">
        <v>0</v>
      </c>
      <c r="BE800">
        <v>0</v>
      </c>
      <c r="BF800">
        <v>0</v>
      </c>
      <c r="BG800">
        <v>0</v>
      </c>
      <c r="BH800">
        <v>0</v>
      </c>
      <c r="BI800">
        <v>0</v>
      </c>
      <c r="BJ800">
        <v>0</v>
      </c>
      <c r="BK800">
        <v>0</v>
      </c>
    </row>
    <row r="801" spans="3:63">
      <c r="C801" s="145" t="s">
        <v>909</v>
      </c>
      <c r="D801">
        <v>0</v>
      </c>
      <c r="E801">
        <v>0</v>
      </c>
      <c r="F801">
        <v>0</v>
      </c>
      <c r="G801">
        <v>0</v>
      </c>
      <c r="H801">
        <v>0</v>
      </c>
      <c r="I801">
        <v>1</v>
      </c>
      <c r="J801">
        <v>0</v>
      </c>
      <c r="K801">
        <v>0</v>
      </c>
      <c r="L801">
        <v>0</v>
      </c>
      <c r="M801">
        <v>0</v>
      </c>
      <c r="N801">
        <v>0</v>
      </c>
      <c r="O801">
        <v>0</v>
      </c>
      <c r="P801">
        <v>0</v>
      </c>
      <c r="Q801">
        <v>0</v>
      </c>
      <c r="R801">
        <v>0</v>
      </c>
      <c r="S801">
        <v>0</v>
      </c>
      <c r="T801">
        <v>0</v>
      </c>
      <c r="U801">
        <v>0</v>
      </c>
      <c r="V801">
        <v>0</v>
      </c>
      <c r="W801">
        <v>0</v>
      </c>
      <c r="X801">
        <v>0</v>
      </c>
      <c r="Y801">
        <v>0</v>
      </c>
      <c r="Z801">
        <v>0</v>
      </c>
      <c r="AA801">
        <v>0</v>
      </c>
      <c r="AB801">
        <v>0</v>
      </c>
      <c r="AC801">
        <v>0</v>
      </c>
      <c r="AD801">
        <v>0</v>
      </c>
      <c r="AE801">
        <v>0</v>
      </c>
      <c r="AF801">
        <v>0</v>
      </c>
      <c r="AG801">
        <v>0</v>
      </c>
      <c r="AH801">
        <v>0</v>
      </c>
      <c r="AI801">
        <v>0</v>
      </c>
      <c r="AJ801">
        <v>0</v>
      </c>
      <c r="AK801">
        <v>0</v>
      </c>
      <c r="AL801">
        <v>0</v>
      </c>
      <c r="AM801">
        <v>0</v>
      </c>
      <c r="AN801">
        <v>0</v>
      </c>
      <c r="AO801">
        <v>0</v>
      </c>
      <c r="AP801">
        <v>0</v>
      </c>
      <c r="AQ801">
        <v>0</v>
      </c>
      <c r="AR801">
        <v>0</v>
      </c>
      <c r="AS801">
        <v>0</v>
      </c>
      <c r="AT801">
        <v>0</v>
      </c>
      <c r="AU801">
        <v>0</v>
      </c>
      <c r="AV801">
        <v>0</v>
      </c>
      <c r="AW801">
        <v>0</v>
      </c>
      <c r="AX801">
        <v>0</v>
      </c>
      <c r="AY801">
        <v>0</v>
      </c>
      <c r="AZ801">
        <v>0</v>
      </c>
      <c r="BA801">
        <v>0</v>
      </c>
      <c r="BB801">
        <v>0</v>
      </c>
      <c r="BC801">
        <v>0</v>
      </c>
      <c r="BD801">
        <v>0</v>
      </c>
      <c r="BE801">
        <v>0</v>
      </c>
      <c r="BF801">
        <v>0</v>
      </c>
      <c r="BG801">
        <v>0</v>
      </c>
      <c r="BH801">
        <v>0</v>
      </c>
      <c r="BI801">
        <v>0</v>
      </c>
      <c r="BJ801">
        <v>0</v>
      </c>
      <c r="BK801">
        <v>0</v>
      </c>
    </row>
    <row r="802" spans="3:63">
      <c r="C802" s="145" t="s">
        <v>48</v>
      </c>
      <c r="D802">
        <v>0</v>
      </c>
      <c r="E802">
        <v>0</v>
      </c>
      <c r="F802">
        <v>1</v>
      </c>
      <c r="G802">
        <v>0</v>
      </c>
      <c r="H802">
        <v>0</v>
      </c>
      <c r="I802">
        <v>0</v>
      </c>
      <c r="J802">
        <v>0</v>
      </c>
      <c r="K802">
        <v>0</v>
      </c>
      <c r="L802">
        <v>0</v>
      </c>
      <c r="M802">
        <v>0</v>
      </c>
      <c r="N802">
        <v>0</v>
      </c>
      <c r="O802">
        <v>0</v>
      </c>
      <c r="P802">
        <v>0</v>
      </c>
      <c r="Q802">
        <v>0</v>
      </c>
      <c r="R802">
        <v>0</v>
      </c>
      <c r="S802">
        <v>0</v>
      </c>
      <c r="T802">
        <v>0</v>
      </c>
      <c r="U802">
        <v>0</v>
      </c>
      <c r="V802">
        <v>0</v>
      </c>
      <c r="W802">
        <v>0</v>
      </c>
      <c r="X802">
        <v>0</v>
      </c>
      <c r="Y802">
        <v>0</v>
      </c>
      <c r="Z802">
        <v>0</v>
      </c>
      <c r="AA802">
        <v>0</v>
      </c>
      <c r="AB802">
        <v>0</v>
      </c>
      <c r="AC802">
        <v>0</v>
      </c>
      <c r="AD802">
        <v>0</v>
      </c>
      <c r="AE802">
        <v>0</v>
      </c>
      <c r="AF802">
        <v>0</v>
      </c>
      <c r="AG802">
        <v>0</v>
      </c>
      <c r="AH802">
        <v>0</v>
      </c>
      <c r="AI802">
        <v>0</v>
      </c>
      <c r="AJ802">
        <v>0</v>
      </c>
      <c r="AK802">
        <v>0</v>
      </c>
      <c r="AL802">
        <v>0</v>
      </c>
      <c r="AM802">
        <v>0</v>
      </c>
      <c r="AN802">
        <v>0</v>
      </c>
      <c r="AO802">
        <v>0</v>
      </c>
      <c r="AP802">
        <v>0</v>
      </c>
      <c r="AQ802">
        <v>0</v>
      </c>
      <c r="AR802">
        <v>0</v>
      </c>
      <c r="AS802">
        <v>0</v>
      </c>
      <c r="AT802">
        <v>0</v>
      </c>
      <c r="AU802">
        <v>0</v>
      </c>
      <c r="AV802">
        <v>0</v>
      </c>
      <c r="AW802">
        <v>0</v>
      </c>
      <c r="AX802">
        <v>0</v>
      </c>
      <c r="AY802">
        <v>0</v>
      </c>
      <c r="AZ802">
        <v>0</v>
      </c>
      <c r="BA802">
        <v>0</v>
      </c>
      <c r="BB802">
        <v>0</v>
      </c>
      <c r="BC802">
        <v>0</v>
      </c>
      <c r="BD802">
        <v>0</v>
      </c>
      <c r="BE802">
        <v>0</v>
      </c>
      <c r="BF802">
        <v>0</v>
      </c>
      <c r="BG802">
        <v>0</v>
      </c>
      <c r="BH802">
        <v>0</v>
      </c>
      <c r="BI802">
        <v>0</v>
      </c>
      <c r="BJ802">
        <v>0</v>
      </c>
      <c r="BK802">
        <v>0</v>
      </c>
    </row>
    <row r="803" spans="3:63">
      <c r="C803" s="145" t="s">
        <v>43</v>
      </c>
      <c r="D803">
        <v>1</v>
      </c>
      <c r="E803">
        <v>0</v>
      </c>
      <c r="F803">
        <v>1</v>
      </c>
      <c r="G803">
        <v>0</v>
      </c>
      <c r="H803">
        <v>0</v>
      </c>
      <c r="I803">
        <v>0</v>
      </c>
      <c r="J803">
        <v>0</v>
      </c>
      <c r="K803">
        <v>0</v>
      </c>
      <c r="L803">
        <v>0</v>
      </c>
      <c r="M803">
        <v>0</v>
      </c>
      <c r="N803">
        <v>0</v>
      </c>
      <c r="O803">
        <v>0</v>
      </c>
      <c r="P803">
        <v>0</v>
      </c>
      <c r="Q803">
        <v>0</v>
      </c>
      <c r="R803">
        <v>0</v>
      </c>
      <c r="S803">
        <v>0</v>
      </c>
      <c r="T803">
        <v>0</v>
      </c>
      <c r="U803">
        <v>0</v>
      </c>
      <c r="V803">
        <v>0</v>
      </c>
      <c r="W803">
        <v>0</v>
      </c>
      <c r="X803">
        <v>0</v>
      </c>
      <c r="Y803">
        <v>0</v>
      </c>
      <c r="Z803">
        <v>0</v>
      </c>
      <c r="AA803">
        <v>0</v>
      </c>
      <c r="AB803">
        <v>0</v>
      </c>
      <c r="AC803">
        <v>0</v>
      </c>
      <c r="AD803">
        <v>0</v>
      </c>
      <c r="AE803">
        <v>0</v>
      </c>
      <c r="AF803">
        <v>0</v>
      </c>
      <c r="AG803">
        <v>0</v>
      </c>
      <c r="AH803">
        <v>0</v>
      </c>
      <c r="AI803">
        <v>0</v>
      </c>
      <c r="AJ803">
        <v>0</v>
      </c>
      <c r="AK803">
        <v>0</v>
      </c>
      <c r="AL803">
        <v>0</v>
      </c>
      <c r="AM803">
        <v>0</v>
      </c>
      <c r="AN803">
        <v>0</v>
      </c>
      <c r="AO803">
        <v>0</v>
      </c>
      <c r="AP803">
        <v>0</v>
      </c>
      <c r="AQ803">
        <v>0</v>
      </c>
      <c r="AR803">
        <v>0</v>
      </c>
      <c r="AS803">
        <v>0</v>
      </c>
      <c r="AT803">
        <v>0</v>
      </c>
      <c r="AU803">
        <v>0</v>
      </c>
      <c r="AV803">
        <v>0</v>
      </c>
      <c r="AW803">
        <v>0</v>
      </c>
      <c r="AX803">
        <v>0</v>
      </c>
      <c r="AY803">
        <v>0</v>
      </c>
      <c r="AZ803">
        <v>0</v>
      </c>
      <c r="BA803">
        <v>0</v>
      </c>
      <c r="BB803">
        <v>0</v>
      </c>
      <c r="BC803">
        <v>0</v>
      </c>
      <c r="BD803">
        <v>0</v>
      </c>
      <c r="BE803">
        <v>0</v>
      </c>
      <c r="BF803">
        <v>0</v>
      </c>
      <c r="BG803">
        <v>0</v>
      </c>
      <c r="BH803">
        <v>0</v>
      </c>
      <c r="BI803">
        <v>0</v>
      </c>
      <c r="BJ803">
        <v>0</v>
      </c>
      <c r="BK803">
        <v>0</v>
      </c>
    </row>
    <row r="804" spans="3:63">
      <c r="C804" s="145" t="s">
        <v>26</v>
      </c>
      <c r="D804">
        <v>1</v>
      </c>
      <c r="E804">
        <v>0</v>
      </c>
      <c r="F804">
        <v>0</v>
      </c>
      <c r="G804">
        <v>0</v>
      </c>
      <c r="H804">
        <v>0</v>
      </c>
      <c r="I804">
        <v>0</v>
      </c>
      <c r="J804">
        <v>0</v>
      </c>
      <c r="K804">
        <v>0</v>
      </c>
      <c r="L804">
        <v>0</v>
      </c>
      <c r="M804">
        <v>0</v>
      </c>
      <c r="N804">
        <v>0</v>
      </c>
      <c r="O804">
        <v>0</v>
      </c>
      <c r="P804">
        <v>0</v>
      </c>
      <c r="Q804">
        <v>0</v>
      </c>
      <c r="R804">
        <v>0</v>
      </c>
      <c r="S804">
        <v>0</v>
      </c>
      <c r="T804">
        <v>0</v>
      </c>
      <c r="U804">
        <v>0</v>
      </c>
      <c r="V804">
        <v>0</v>
      </c>
      <c r="W804">
        <v>0</v>
      </c>
      <c r="X804">
        <v>0</v>
      </c>
      <c r="Y804">
        <v>0</v>
      </c>
      <c r="Z804">
        <v>0</v>
      </c>
      <c r="AA804">
        <v>0</v>
      </c>
      <c r="AB804">
        <v>0</v>
      </c>
      <c r="AC804">
        <v>0</v>
      </c>
      <c r="AD804">
        <v>0</v>
      </c>
      <c r="AE804">
        <v>0</v>
      </c>
      <c r="AF804">
        <v>0</v>
      </c>
      <c r="AG804">
        <v>0</v>
      </c>
      <c r="AH804">
        <v>0</v>
      </c>
      <c r="AI804">
        <v>0</v>
      </c>
      <c r="AJ804">
        <v>0</v>
      </c>
      <c r="AK804">
        <v>0</v>
      </c>
      <c r="AL804">
        <v>0</v>
      </c>
      <c r="AM804">
        <v>0</v>
      </c>
      <c r="AN804">
        <v>0</v>
      </c>
      <c r="AO804">
        <v>0</v>
      </c>
      <c r="AP804">
        <v>0</v>
      </c>
      <c r="AQ804">
        <v>0</v>
      </c>
      <c r="AR804">
        <v>0</v>
      </c>
      <c r="AS804">
        <v>0</v>
      </c>
      <c r="AT804">
        <v>0</v>
      </c>
      <c r="AU804">
        <v>0</v>
      </c>
      <c r="AV804">
        <v>0</v>
      </c>
      <c r="AW804">
        <v>0</v>
      </c>
      <c r="AX804">
        <v>0</v>
      </c>
      <c r="AY804">
        <v>0</v>
      </c>
      <c r="AZ804">
        <v>0</v>
      </c>
      <c r="BA804">
        <v>0</v>
      </c>
      <c r="BB804">
        <v>0</v>
      </c>
      <c r="BC804">
        <v>0</v>
      </c>
      <c r="BD804">
        <v>0</v>
      </c>
      <c r="BE804">
        <v>0</v>
      </c>
      <c r="BF804">
        <v>0</v>
      </c>
      <c r="BG804">
        <v>0</v>
      </c>
      <c r="BH804">
        <v>0</v>
      </c>
      <c r="BI804">
        <v>0</v>
      </c>
      <c r="BJ804">
        <v>0</v>
      </c>
      <c r="BK804">
        <v>0</v>
      </c>
    </row>
    <row r="805" spans="3:63">
      <c r="C805" s="145" t="s">
        <v>985</v>
      </c>
      <c r="D805">
        <v>0</v>
      </c>
      <c r="E805">
        <v>0</v>
      </c>
      <c r="F805">
        <v>0</v>
      </c>
      <c r="G805">
        <v>0</v>
      </c>
      <c r="H805">
        <v>0</v>
      </c>
      <c r="I805">
        <v>1</v>
      </c>
      <c r="J805">
        <v>0</v>
      </c>
      <c r="K805">
        <v>0</v>
      </c>
      <c r="L805">
        <v>0</v>
      </c>
      <c r="M805">
        <v>0</v>
      </c>
      <c r="N805">
        <v>0</v>
      </c>
      <c r="O805">
        <v>0</v>
      </c>
      <c r="P805">
        <v>0</v>
      </c>
      <c r="Q805">
        <v>0</v>
      </c>
      <c r="R805">
        <v>0</v>
      </c>
      <c r="S805">
        <v>0</v>
      </c>
      <c r="T805">
        <v>0</v>
      </c>
      <c r="U805">
        <v>0</v>
      </c>
      <c r="V805">
        <v>0</v>
      </c>
      <c r="W805">
        <v>0</v>
      </c>
      <c r="X805">
        <v>0</v>
      </c>
      <c r="Y805">
        <v>0</v>
      </c>
      <c r="Z805">
        <v>0</v>
      </c>
      <c r="AA805">
        <v>0</v>
      </c>
      <c r="AB805">
        <v>0</v>
      </c>
      <c r="AC805">
        <v>0</v>
      </c>
      <c r="AD805">
        <v>0</v>
      </c>
      <c r="AE805">
        <v>0</v>
      </c>
      <c r="AF805">
        <v>0</v>
      </c>
      <c r="AG805">
        <v>0</v>
      </c>
      <c r="AH805">
        <v>0</v>
      </c>
      <c r="AI805">
        <v>0</v>
      </c>
      <c r="AJ805">
        <v>0</v>
      </c>
      <c r="AK805">
        <v>0</v>
      </c>
      <c r="AL805">
        <v>0</v>
      </c>
      <c r="AM805">
        <v>0</v>
      </c>
      <c r="AN805">
        <v>0</v>
      </c>
      <c r="AO805">
        <v>0</v>
      </c>
      <c r="AP805">
        <v>0</v>
      </c>
      <c r="AQ805">
        <v>0</v>
      </c>
      <c r="AR805">
        <v>0</v>
      </c>
      <c r="AS805">
        <v>0</v>
      </c>
      <c r="AT805">
        <v>0</v>
      </c>
      <c r="AU805">
        <v>0</v>
      </c>
      <c r="AV805">
        <v>0</v>
      </c>
      <c r="AW805">
        <v>0</v>
      </c>
      <c r="AX805">
        <v>0</v>
      </c>
      <c r="AY805">
        <v>0</v>
      </c>
      <c r="AZ805">
        <v>0</v>
      </c>
      <c r="BA805">
        <v>0</v>
      </c>
      <c r="BB805">
        <v>0</v>
      </c>
      <c r="BC805">
        <v>0</v>
      </c>
      <c r="BD805">
        <v>0</v>
      </c>
      <c r="BE805">
        <v>0</v>
      </c>
      <c r="BF805">
        <v>0</v>
      </c>
      <c r="BG805">
        <v>0</v>
      </c>
      <c r="BH805">
        <v>0</v>
      </c>
      <c r="BI805">
        <v>0</v>
      </c>
      <c r="BJ805">
        <v>0</v>
      </c>
      <c r="BK805">
        <v>1</v>
      </c>
    </row>
  </sheetData>
  <autoFilter ref="C1:BK805"/>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C1251"/>
  <sheetViews>
    <sheetView workbookViewId="0">
      <selection activeCell="A2" sqref="A2:C2"/>
    </sheetView>
  </sheetViews>
  <sheetFormatPr defaultRowHeight="13.8"/>
  <sheetData>
    <row r="1" spans="1:3">
      <c r="A1" s="191" t="s">
        <v>20</v>
      </c>
      <c r="B1" s="191"/>
      <c r="C1" s="191"/>
    </row>
    <row r="2" spans="1:3">
      <c r="A2" s="192" t="s">
        <v>649</v>
      </c>
      <c r="B2" s="192" t="s">
        <v>986</v>
      </c>
      <c r="C2" s="192" t="s">
        <v>987</v>
      </c>
    </row>
    <row r="3" spans="1:3">
      <c r="A3" s="193" t="s">
        <v>988</v>
      </c>
      <c r="B3" s="193" t="s">
        <v>986</v>
      </c>
      <c r="C3" s="193" t="s">
        <v>653</v>
      </c>
    </row>
    <row r="4" spans="1:3">
      <c r="A4" s="193" t="s">
        <v>649</v>
      </c>
      <c r="B4" s="193"/>
      <c r="C4" s="193"/>
    </row>
    <row r="5" spans="1:3">
      <c r="A5" s="193" t="s">
        <v>649</v>
      </c>
      <c r="B5" s="193" t="s">
        <v>989</v>
      </c>
      <c r="C5" s="193"/>
    </row>
    <row r="6" spans="1:3">
      <c r="A6" s="193" t="s">
        <v>649</v>
      </c>
      <c r="B6" s="193" t="s">
        <v>990</v>
      </c>
      <c r="C6" s="193"/>
    </row>
    <row r="7" spans="1:3">
      <c r="A7" s="193" t="s">
        <v>649</v>
      </c>
      <c r="B7" s="193" t="s">
        <v>654</v>
      </c>
      <c r="C7" s="193" t="s">
        <v>800</v>
      </c>
    </row>
    <row r="8" spans="1:3">
      <c r="A8" s="193" t="s">
        <v>800</v>
      </c>
      <c r="B8" s="193"/>
      <c r="C8" s="193"/>
    </row>
    <row r="9" spans="1:3">
      <c r="A9" s="193" t="s">
        <v>649</v>
      </c>
      <c r="B9" s="193"/>
      <c r="C9" s="193"/>
    </row>
    <row r="10" spans="1:3">
      <c r="A10" s="193" t="s">
        <v>649</v>
      </c>
      <c r="B10" s="193" t="s">
        <v>991</v>
      </c>
      <c r="C10" s="193"/>
    </row>
    <row r="11" spans="1:3">
      <c r="A11" s="193" t="s">
        <v>649</v>
      </c>
      <c r="B11" s="193" t="s">
        <v>651</v>
      </c>
      <c r="C11" s="193" t="s">
        <v>800</v>
      </c>
    </row>
    <row r="12" spans="1:3">
      <c r="A12" s="193" t="s">
        <v>649</v>
      </c>
      <c r="B12" s="193" t="s">
        <v>654</v>
      </c>
      <c r="C12" s="193" t="s">
        <v>653</v>
      </c>
    </row>
    <row r="13" spans="1:3">
      <c r="A13" s="193" t="s">
        <v>986</v>
      </c>
      <c r="B13" s="193" t="s">
        <v>653</v>
      </c>
      <c r="C13" s="193" t="s">
        <v>659</v>
      </c>
    </row>
    <row r="14" spans="1:3">
      <c r="A14" s="193" t="s">
        <v>992</v>
      </c>
      <c r="B14" s="193" t="s">
        <v>986</v>
      </c>
      <c r="C14" s="193"/>
    </row>
    <row r="15" spans="1:3">
      <c r="A15" s="193" t="s">
        <v>649</v>
      </c>
      <c r="B15" s="193"/>
      <c r="C15" s="193"/>
    </row>
    <row r="16" spans="1:3">
      <c r="A16" s="193" t="s">
        <v>649</v>
      </c>
      <c r="B16" s="193"/>
      <c r="C16" s="193"/>
    </row>
    <row r="17" spans="1:3">
      <c r="A17" s="193" t="s">
        <v>993</v>
      </c>
      <c r="B17" s="193" t="s">
        <v>649</v>
      </c>
      <c r="C17" s="193"/>
    </row>
    <row r="18" spans="1:3">
      <c r="A18" s="193" t="s">
        <v>649</v>
      </c>
      <c r="B18" s="193" t="s">
        <v>986</v>
      </c>
      <c r="C18" s="193" t="s">
        <v>803</v>
      </c>
    </row>
    <row r="19" spans="1:3">
      <c r="A19" s="193" t="s">
        <v>651</v>
      </c>
      <c r="B19" s="193" t="s">
        <v>649</v>
      </c>
      <c r="C19" s="193"/>
    </row>
    <row r="20" spans="1:3">
      <c r="A20" s="193" t="s">
        <v>649</v>
      </c>
      <c r="B20" s="193" t="s">
        <v>986</v>
      </c>
      <c r="C20" s="193" t="s">
        <v>989</v>
      </c>
    </row>
    <row r="21" spans="1:3">
      <c r="A21" s="193" t="s">
        <v>649</v>
      </c>
      <c r="B21" s="193" t="s">
        <v>986</v>
      </c>
      <c r="C21" s="193"/>
    </row>
    <row r="22" spans="1:3">
      <c r="A22" s="193" t="s">
        <v>994</v>
      </c>
      <c r="B22" s="193"/>
      <c r="C22" s="193"/>
    </row>
    <row r="23" spans="1:3">
      <c r="A23" s="193" t="s">
        <v>649</v>
      </c>
      <c r="B23" s="193"/>
      <c r="C23" s="193"/>
    </row>
    <row r="24" spans="1:3">
      <c r="A24" s="193" t="s">
        <v>649</v>
      </c>
      <c r="B24" s="193" t="s">
        <v>652</v>
      </c>
      <c r="C24" s="193"/>
    </row>
    <row r="25" spans="1:3">
      <c r="A25" s="193" t="s">
        <v>654</v>
      </c>
      <c r="B25" s="193"/>
      <c r="C25" s="193"/>
    </row>
    <row r="26" spans="1:3">
      <c r="A26" s="193" t="s">
        <v>649</v>
      </c>
      <c r="B26" s="193"/>
      <c r="C26" s="193"/>
    </row>
    <row r="27" spans="1:3">
      <c r="A27" s="193" t="s">
        <v>654</v>
      </c>
      <c r="B27" s="193" t="s">
        <v>649</v>
      </c>
      <c r="C27" s="193" t="s">
        <v>986</v>
      </c>
    </row>
    <row r="28" spans="1:3">
      <c r="A28" s="193" t="s">
        <v>654</v>
      </c>
      <c r="B28" s="193" t="s">
        <v>986</v>
      </c>
      <c r="C28" s="193"/>
    </row>
    <row r="29" spans="1:3">
      <c r="A29" s="193" t="s">
        <v>649</v>
      </c>
      <c r="B29" s="193" t="s">
        <v>657</v>
      </c>
      <c r="C29" s="193" t="s">
        <v>653</v>
      </c>
    </row>
    <row r="30" spans="1:3">
      <c r="A30" s="193" t="s">
        <v>800</v>
      </c>
      <c r="B30" s="193"/>
      <c r="C30" s="193"/>
    </row>
    <row r="31" spans="1:3">
      <c r="A31" s="193" t="s">
        <v>649</v>
      </c>
      <c r="B31" s="193" t="s">
        <v>986</v>
      </c>
      <c r="C31" s="193" t="s">
        <v>655</v>
      </c>
    </row>
    <row r="32" spans="1:3">
      <c r="A32" s="193" t="s">
        <v>649</v>
      </c>
      <c r="B32" s="193"/>
      <c r="C32" s="193"/>
    </row>
    <row r="33" spans="1:3">
      <c r="A33" s="193" t="s">
        <v>986</v>
      </c>
      <c r="B33" s="193" t="s">
        <v>995</v>
      </c>
      <c r="C33" s="193"/>
    </row>
    <row r="34" spans="1:3">
      <c r="A34" s="193" t="s">
        <v>659</v>
      </c>
      <c r="B34" s="193" t="s">
        <v>649</v>
      </c>
      <c r="C34" s="193"/>
    </row>
    <row r="35" spans="1:3">
      <c r="A35" s="193" t="s">
        <v>654</v>
      </c>
      <c r="B35" s="193" t="s">
        <v>649</v>
      </c>
      <c r="C35" s="193"/>
    </row>
    <row r="36" spans="1:3">
      <c r="A36" s="193" t="s">
        <v>995</v>
      </c>
      <c r="B36" s="193" t="s">
        <v>996</v>
      </c>
      <c r="C36" s="193"/>
    </row>
    <row r="37" spans="1:3">
      <c r="A37" s="193" t="s">
        <v>655</v>
      </c>
      <c r="B37" s="193" t="s">
        <v>656</v>
      </c>
      <c r="C37" s="193"/>
    </row>
    <row r="38" spans="1:3">
      <c r="A38" s="193" t="s">
        <v>649</v>
      </c>
      <c r="B38" s="193" t="s">
        <v>653</v>
      </c>
      <c r="C38" s="193" t="s">
        <v>654</v>
      </c>
    </row>
    <row r="39" spans="1:3">
      <c r="A39" s="193" t="s">
        <v>997</v>
      </c>
      <c r="B39" s="193" t="s">
        <v>986</v>
      </c>
      <c r="C39" s="193"/>
    </row>
    <row r="40" spans="1:3">
      <c r="A40" s="193" t="s">
        <v>998</v>
      </c>
      <c r="B40" s="193" t="s">
        <v>995</v>
      </c>
      <c r="C40" s="193"/>
    </row>
    <row r="41" spans="1:3">
      <c r="A41" s="193" t="s">
        <v>986</v>
      </c>
      <c r="B41" s="193"/>
      <c r="C41" s="193"/>
    </row>
    <row r="42" spans="1:3">
      <c r="A42" s="193" t="s">
        <v>986</v>
      </c>
      <c r="B42" s="193" t="s">
        <v>654</v>
      </c>
      <c r="C42" s="193" t="s">
        <v>800</v>
      </c>
    </row>
    <row r="43" spans="1:3">
      <c r="A43" s="193" t="s">
        <v>653</v>
      </c>
      <c r="B43" s="193" t="s">
        <v>649</v>
      </c>
      <c r="C43" s="193" t="s">
        <v>654</v>
      </c>
    </row>
    <row r="44" spans="1:3">
      <c r="A44" s="193" t="s">
        <v>653</v>
      </c>
      <c r="B44" s="193" t="s">
        <v>986</v>
      </c>
      <c r="C44" s="193"/>
    </row>
    <row r="45" spans="1:3">
      <c r="A45" s="193" t="s">
        <v>653</v>
      </c>
      <c r="B45" s="193" t="s">
        <v>999</v>
      </c>
      <c r="C45" s="193" t="s">
        <v>1000</v>
      </c>
    </row>
    <row r="46" spans="1:3">
      <c r="A46" s="193" t="s">
        <v>649</v>
      </c>
      <c r="B46" s="193" t="s">
        <v>986</v>
      </c>
      <c r="C46" s="193" t="s">
        <v>654</v>
      </c>
    </row>
    <row r="47" spans="1:3">
      <c r="A47" s="193" t="s">
        <v>1001</v>
      </c>
      <c r="B47" s="193" t="s">
        <v>649</v>
      </c>
      <c r="C47" s="193" t="s">
        <v>1002</v>
      </c>
    </row>
    <row r="48" spans="1:3">
      <c r="A48" s="193" t="s">
        <v>986</v>
      </c>
      <c r="B48" s="193"/>
      <c r="C48" s="193"/>
    </row>
    <row r="49" spans="1:3">
      <c r="A49" s="193" t="s">
        <v>649</v>
      </c>
      <c r="B49" s="193" t="s">
        <v>651</v>
      </c>
      <c r="C49" s="193" t="s">
        <v>654</v>
      </c>
    </row>
    <row r="50" spans="1:3">
      <c r="A50" s="193" t="s">
        <v>649</v>
      </c>
      <c r="B50" s="193" t="s">
        <v>654</v>
      </c>
      <c r="C50" s="193" t="s">
        <v>800</v>
      </c>
    </row>
    <row r="51" spans="1:3">
      <c r="A51" s="193" t="s">
        <v>649</v>
      </c>
      <c r="B51" s="193"/>
      <c r="C51" s="193"/>
    </row>
    <row r="52" spans="1:3">
      <c r="A52" s="193" t="s">
        <v>649</v>
      </c>
      <c r="B52" s="193" t="s">
        <v>654</v>
      </c>
      <c r="C52" s="193"/>
    </row>
    <row r="53" spans="1:3">
      <c r="A53" s="193" t="s">
        <v>654</v>
      </c>
      <c r="B53" s="193"/>
      <c r="C53" s="193"/>
    </row>
    <row r="54" spans="1:3">
      <c r="A54" s="193" t="s">
        <v>654</v>
      </c>
      <c r="B54" s="193" t="s">
        <v>1003</v>
      </c>
      <c r="C54" s="193"/>
    </row>
    <row r="55" spans="1:3">
      <c r="A55" s="193" t="s">
        <v>655</v>
      </c>
      <c r="B55" s="193" t="s">
        <v>653</v>
      </c>
      <c r="C55" s="193"/>
    </row>
    <row r="56" spans="1:3">
      <c r="A56" s="193" t="s">
        <v>1004</v>
      </c>
      <c r="B56" s="193"/>
      <c r="C56" s="193"/>
    </row>
    <row r="57" spans="1:3">
      <c r="A57" s="193" t="s">
        <v>659</v>
      </c>
      <c r="B57" s="193" t="s">
        <v>654</v>
      </c>
      <c r="C57" s="193"/>
    </row>
    <row r="58" spans="1:3">
      <c r="A58" s="193" t="s">
        <v>649</v>
      </c>
      <c r="B58" s="193"/>
      <c r="C58" s="193"/>
    </row>
    <row r="59" spans="1:3">
      <c r="A59" s="193" t="s">
        <v>649</v>
      </c>
      <c r="B59" s="193" t="s">
        <v>653</v>
      </c>
      <c r="C59" s="193"/>
    </row>
    <row r="60" spans="1:3">
      <c r="A60" s="193" t="s">
        <v>653</v>
      </c>
      <c r="B60" s="193" t="s">
        <v>659</v>
      </c>
      <c r="C60" s="193"/>
    </row>
    <row r="61" spans="1:3">
      <c r="A61" s="193" t="s">
        <v>1005</v>
      </c>
      <c r="B61" s="193" t="s">
        <v>994</v>
      </c>
      <c r="C61" s="193" t="s">
        <v>659</v>
      </c>
    </row>
    <row r="62" spans="1:3">
      <c r="A62" s="193" t="s">
        <v>1006</v>
      </c>
      <c r="B62" s="193" t="s">
        <v>994</v>
      </c>
      <c r="C62" s="193" t="s">
        <v>654</v>
      </c>
    </row>
    <row r="63" spans="1:3">
      <c r="A63" s="193" t="s">
        <v>649</v>
      </c>
      <c r="B63" s="193" t="s">
        <v>986</v>
      </c>
      <c r="C63" s="193" t="s">
        <v>654</v>
      </c>
    </row>
    <row r="64" spans="1:3">
      <c r="A64" s="193" t="s">
        <v>986</v>
      </c>
      <c r="B64" s="193" t="s">
        <v>654</v>
      </c>
      <c r="C64" s="193"/>
    </row>
    <row r="65" spans="1:3">
      <c r="A65" s="193" t="s">
        <v>659</v>
      </c>
      <c r="B65" s="193" t="s">
        <v>653</v>
      </c>
      <c r="C65" s="193"/>
    </row>
    <row r="66" spans="1:3">
      <c r="A66" s="193" t="s">
        <v>653</v>
      </c>
      <c r="B66" s="193" t="s">
        <v>657</v>
      </c>
      <c r="C66" s="193"/>
    </row>
    <row r="67" spans="1:3">
      <c r="A67" s="193" t="s">
        <v>649</v>
      </c>
      <c r="B67" s="193" t="s">
        <v>652</v>
      </c>
      <c r="C67" s="193"/>
    </row>
    <row r="68" spans="1:3">
      <c r="A68" s="193" t="s">
        <v>655</v>
      </c>
      <c r="B68" s="193" t="s">
        <v>649</v>
      </c>
      <c r="C68" s="193"/>
    </row>
    <row r="69" spans="1:3">
      <c r="A69" s="193" t="s">
        <v>654</v>
      </c>
      <c r="B69" s="193"/>
      <c r="C69" s="193"/>
    </row>
    <row r="70" spans="1:3">
      <c r="A70" s="193" t="s">
        <v>655</v>
      </c>
      <c r="B70" s="193" t="s">
        <v>987</v>
      </c>
      <c r="C70" s="193" t="s">
        <v>800</v>
      </c>
    </row>
    <row r="71" spans="1:3">
      <c r="A71" s="193" t="s">
        <v>656</v>
      </c>
      <c r="B71" s="193" t="s">
        <v>986</v>
      </c>
      <c r="C71" s="193"/>
    </row>
    <row r="72" spans="1:3">
      <c r="A72" s="193" t="s">
        <v>649</v>
      </c>
      <c r="B72" s="193" t="s">
        <v>651</v>
      </c>
      <c r="C72" s="193"/>
    </row>
    <row r="73" spans="1:3">
      <c r="A73" s="193" t="s">
        <v>649</v>
      </c>
      <c r="B73" s="193" t="s">
        <v>986</v>
      </c>
      <c r="C73" s="193" t="s">
        <v>803</v>
      </c>
    </row>
    <row r="74" spans="1:3">
      <c r="A74" s="193" t="s">
        <v>651</v>
      </c>
      <c r="B74" s="193" t="s">
        <v>1005</v>
      </c>
      <c r="C74" s="193" t="s">
        <v>987</v>
      </c>
    </row>
    <row r="75" spans="1:3">
      <c r="A75" s="193" t="s">
        <v>986</v>
      </c>
      <c r="B75" s="193"/>
      <c r="C75" s="193"/>
    </row>
    <row r="76" spans="1:3">
      <c r="A76" s="193" t="s">
        <v>655</v>
      </c>
      <c r="B76" s="193" t="s">
        <v>649</v>
      </c>
      <c r="C76" s="193"/>
    </row>
    <row r="77" spans="1:3">
      <c r="A77" s="193" t="s">
        <v>1000</v>
      </c>
      <c r="B77" s="193" t="s">
        <v>649</v>
      </c>
      <c r="C77" s="193"/>
    </row>
    <row r="78" spans="1:3">
      <c r="A78" s="193" t="s">
        <v>986</v>
      </c>
      <c r="B78" s="193"/>
      <c r="C78" s="193"/>
    </row>
    <row r="79" spans="1:3">
      <c r="A79" s="193" t="s">
        <v>649</v>
      </c>
      <c r="B79" s="193" t="s">
        <v>986</v>
      </c>
      <c r="C79" s="193" t="s">
        <v>653</v>
      </c>
    </row>
    <row r="80" spans="1:3">
      <c r="A80" s="193" t="s">
        <v>649</v>
      </c>
      <c r="B80" s="193"/>
      <c r="C80" s="193"/>
    </row>
    <row r="81" spans="1:3">
      <c r="A81" s="193" t="s">
        <v>654</v>
      </c>
      <c r="B81" s="193" t="s">
        <v>1007</v>
      </c>
      <c r="C81" s="193"/>
    </row>
    <row r="82" spans="1:3">
      <c r="A82" s="193" t="s">
        <v>653</v>
      </c>
      <c r="B82" s="193" t="s">
        <v>800</v>
      </c>
      <c r="C82" s="193" t="s">
        <v>649</v>
      </c>
    </row>
    <row r="83" spans="1:3">
      <c r="A83" s="193" t="s">
        <v>658</v>
      </c>
      <c r="B83" s="193" t="s">
        <v>655</v>
      </c>
      <c r="C83" s="193" t="s">
        <v>656</v>
      </c>
    </row>
    <row r="84" spans="1:3">
      <c r="A84" s="193" t="s">
        <v>653</v>
      </c>
      <c r="B84" s="193" t="s">
        <v>1008</v>
      </c>
      <c r="C84" s="193"/>
    </row>
    <row r="85" spans="1:3">
      <c r="A85" s="193" t="s">
        <v>655</v>
      </c>
      <c r="B85" s="193" t="s">
        <v>986</v>
      </c>
      <c r="C85" s="193"/>
    </row>
    <row r="86" spans="1:3">
      <c r="A86" s="193" t="s">
        <v>649</v>
      </c>
      <c r="B86" s="193" t="s">
        <v>1000</v>
      </c>
      <c r="C86" s="193"/>
    </row>
    <row r="87" spans="1:3">
      <c r="A87" s="193" t="s">
        <v>649</v>
      </c>
      <c r="B87" s="193" t="s">
        <v>653</v>
      </c>
      <c r="C87" s="193" t="s">
        <v>986</v>
      </c>
    </row>
    <row r="88" spans="1:3">
      <c r="A88" s="193" t="s">
        <v>649</v>
      </c>
      <c r="B88" s="193" t="s">
        <v>654</v>
      </c>
      <c r="C88" s="193" t="s">
        <v>652</v>
      </c>
    </row>
    <row r="89" spans="1:3">
      <c r="A89" s="193" t="s">
        <v>654</v>
      </c>
      <c r="B89" s="193" t="s">
        <v>649</v>
      </c>
      <c r="C89" s="193"/>
    </row>
    <row r="90" spans="1:3">
      <c r="A90" s="193" t="s">
        <v>1009</v>
      </c>
      <c r="B90" s="193"/>
      <c r="C90" s="193"/>
    </row>
    <row r="91" spans="1:3">
      <c r="A91" s="193" t="s">
        <v>657</v>
      </c>
      <c r="B91" s="193" t="s">
        <v>649</v>
      </c>
      <c r="C91" s="193"/>
    </row>
    <row r="92" spans="1:3">
      <c r="A92" s="193" t="s">
        <v>986</v>
      </c>
      <c r="B92" s="193" t="s">
        <v>656</v>
      </c>
      <c r="C92" s="193"/>
    </row>
    <row r="93" spans="1:3">
      <c r="A93" s="193" t="s">
        <v>649</v>
      </c>
      <c r="B93" s="193" t="s">
        <v>986</v>
      </c>
      <c r="C93" s="193"/>
    </row>
    <row r="94" spans="1:3">
      <c r="A94" s="193" t="s">
        <v>654</v>
      </c>
      <c r="B94" s="193"/>
      <c r="C94" s="193"/>
    </row>
    <row r="95" spans="1:3">
      <c r="A95" s="193" t="s">
        <v>656</v>
      </c>
      <c r="B95" s="193"/>
      <c r="C95" s="193"/>
    </row>
    <row r="96" spans="1:3">
      <c r="A96" s="193" t="s">
        <v>649</v>
      </c>
      <c r="B96" s="193" t="s">
        <v>654</v>
      </c>
      <c r="C96" s="193" t="s">
        <v>986</v>
      </c>
    </row>
    <row r="97" spans="1:3">
      <c r="A97" s="193" t="s">
        <v>649</v>
      </c>
      <c r="B97" s="193" t="s">
        <v>654</v>
      </c>
      <c r="C97" s="193"/>
    </row>
    <row r="98" spans="1:3">
      <c r="A98" s="193" t="s">
        <v>649</v>
      </c>
      <c r="B98" s="193" t="s">
        <v>653</v>
      </c>
      <c r="C98" s="193"/>
    </row>
    <row r="99" spans="1:3">
      <c r="A99" s="193" t="s">
        <v>657</v>
      </c>
      <c r="B99" s="193" t="s">
        <v>649</v>
      </c>
      <c r="C99" s="193"/>
    </row>
    <row r="100" spans="1:3">
      <c r="A100" s="193" t="s">
        <v>658</v>
      </c>
      <c r="B100" s="193" t="s">
        <v>654</v>
      </c>
      <c r="C100" s="193" t="s">
        <v>999</v>
      </c>
    </row>
    <row r="101" spans="1:3">
      <c r="A101" s="193" t="s">
        <v>1010</v>
      </c>
      <c r="B101" s="193" t="s">
        <v>649</v>
      </c>
      <c r="C101" s="193"/>
    </row>
    <row r="102" spans="1:3">
      <c r="A102" s="193" t="s">
        <v>656</v>
      </c>
      <c r="B102" s="193" t="s">
        <v>654</v>
      </c>
      <c r="C102" s="193"/>
    </row>
    <row r="103" spans="1:3">
      <c r="A103" s="193" t="s">
        <v>1006</v>
      </c>
      <c r="B103" s="193" t="s">
        <v>994</v>
      </c>
      <c r="C103" s="193"/>
    </row>
    <row r="104" spans="1:3">
      <c r="A104" s="193" t="s">
        <v>649</v>
      </c>
      <c r="B104" s="193" t="s">
        <v>986</v>
      </c>
      <c r="C104" s="193" t="s">
        <v>654</v>
      </c>
    </row>
    <row r="105" spans="1:3">
      <c r="A105" s="193" t="s">
        <v>649</v>
      </c>
      <c r="B105" s="193" t="s">
        <v>986</v>
      </c>
      <c r="C105" s="193"/>
    </row>
    <row r="106" spans="1:3">
      <c r="A106" s="193" t="s">
        <v>653</v>
      </c>
      <c r="B106" s="193" t="s">
        <v>654</v>
      </c>
      <c r="C106" s="193" t="s">
        <v>999</v>
      </c>
    </row>
    <row r="107" spans="1:3">
      <c r="A107" s="193" t="s">
        <v>800</v>
      </c>
      <c r="B107" s="193" t="s">
        <v>655</v>
      </c>
      <c r="C107" s="193" t="s">
        <v>1000</v>
      </c>
    </row>
    <row r="108" spans="1:3">
      <c r="A108" s="193" t="s">
        <v>649</v>
      </c>
      <c r="B108" s="193"/>
      <c r="C108" s="193"/>
    </row>
    <row r="109" spans="1:3">
      <c r="A109" s="193" t="s">
        <v>649</v>
      </c>
      <c r="B109" s="193"/>
      <c r="C109" s="193"/>
    </row>
    <row r="110" spans="1:3">
      <c r="A110" s="193" t="s">
        <v>649</v>
      </c>
      <c r="B110" s="193"/>
      <c r="C110" s="193"/>
    </row>
    <row r="111" spans="1:3">
      <c r="A111" s="193" t="s">
        <v>649</v>
      </c>
      <c r="B111" s="193" t="s">
        <v>989</v>
      </c>
      <c r="C111" s="193"/>
    </row>
    <row r="112" spans="1:3">
      <c r="A112" s="193" t="s">
        <v>657</v>
      </c>
      <c r="B112" s="193"/>
      <c r="C112" s="193"/>
    </row>
    <row r="113" spans="1:3">
      <c r="A113" s="193" t="s">
        <v>649</v>
      </c>
      <c r="B113" s="193"/>
      <c r="C113" s="193"/>
    </row>
    <row r="114" spans="1:3">
      <c r="A114" s="193" t="s">
        <v>649</v>
      </c>
      <c r="B114" s="193"/>
      <c r="C114" s="193"/>
    </row>
    <row r="115" spans="1:3">
      <c r="A115" s="193" t="s">
        <v>649</v>
      </c>
      <c r="B115" s="193" t="s">
        <v>1011</v>
      </c>
      <c r="C115" s="193" t="s">
        <v>1012</v>
      </c>
    </row>
    <row r="116" spans="1:3">
      <c r="A116" s="193" t="s">
        <v>800</v>
      </c>
      <c r="B116" s="193" t="s">
        <v>1013</v>
      </c>
      <c r="C116" s="193"/>
    </row>
    <row r="117" spans="1:3">
      <c r="A117" s="193" t="s">
        <v>653</v>
      </c>
      <c r="B117" s="193"/>
      <c r="C117" s="193"/>
    </row>
    <row r="118" spans="1:3">
      <c r="A118" s="193" t="s">
        <v>654</v>
      </c>
      <c r="B118" s="193" t="s">
        <v>800</v>
      </c>
      <c r="C118" s="193"/>
    </row>
    <row r="119" spans="1:3">
      <c r="A119" s="193" t="s">
        <v>649</v>
      </c>
      <c r="B119" s="193"/>
      <c r="C119" s="193"/>
    </row>
    <row r="120" spans="1:3">
      <c r="A120" s="193" t="s">
        <v>649</v>
      </c>
      <c r="B120" s="193"/>
      <c r="C120" s="193"/>
    </row>
    <row r="121" spans="1:3">
      <c r="A121" s="193" t="s">
        <v>649</v>
      </c>
      <c r="B121" s="193" t="s">
        <v>653</v>
      </c>
      <c r="C121" s="193"/>
    </row>
    <row r="122" spans="1:3">
      <c r="A122" s="193" t="s">
        <v>800</v>
      </c>
      <c r="B122" s="193"/>
      <c r="C122" s="193"/>
    </row>
    <row r="123" spans="1:3">
      <c r="A123" s="193" t="s">
        <v>649</v>
      </c>
      <c r="B123" s="193"/>
      <c r="C123" s="193"/>
    </row>
    <row r="124" spans="1:3">
      <c r="A124" s="193" t="s">
        <v>649</v>
      </c>
      <c r="B124" s="193"/>
      <c r="C124" s="193"/>
    </row>
    <row r="125" spans="1:3">
      <c r="A125" s="193" t="s">
        <v>649</v>
      </c>
      <c r="B125" s="193" t="s">
        <v>653</v>
      </c>
      <c r="C125" s="193" t="s">
        <v>986</v>
      </c>
    </row>
    <row r="126" spans="1:3">
      <c r="A126" s="193" t="s">
        <v>649</v>
      </c>
      <c r="B126" s="193"/>
      <c r="C126" s="193"/>
    </row>
    <row r="127" spans="1:3">
      <c r="A127" s="193" t="s">
        <v>649</v>
      </c>
      <c r="B127" s="193" t="s">
        <v>986</v>
      </c>
      <c r="C127" s="193"/>
    </row>
    <row r="128" spans="1:3">
      <c r="A128" s="193" t="s">
        <v>649</v>
      </c>
      <c r="B128" s="193"/>
      <c r="C128" s="193"/>
    </row>
    <row r="129" spans="1:3">
      <c r="A129" s="193" t="s">
        <v>1014</v>
      </c>
      <c r="B129" s="193" t="s">
        <v>649</v>
      </c>
      <c r="C129" s="193"/>
    </row>
    <row r="130" spans="1:3">
      <c r="A130" s="193" t="s">
        <v>649</v>
      </c>
      <c r="B130" s="193"/>
      <c r="C130" s="193"/>
    </row>
    <row r="131" spans="1:3">
      <c r="A131" s="193" t="s">
        <v>658</v>
      </c>
      <c r="B131" s="193" t="s">
        <v>802</v>
      </c>
      <c r="C131" s="193" t="s">
        <v>1015</v>
      </c>
    </row>
    <row r="132" spans="1:3">
      <c r="A132" s="193" t="s">
        <v>649</v>
      </c>
      <c r="B132" s="193"/>
      <c r="C132" s="193"/>
    </row>
    <row r="133" spans="1:3">
      <c r="A133" s="193" t="s">
        <v>654</v>
      </c>
      <c r="B133" s="193" t="s">
        <v>649</v>
      </c>
      <c r="C133" s="193"/>
    </row>
    <row r="134" spans="1:3">
      <c r="A134" s="193" t="s">
        <v>649</v>
      </c>
      <c r="B134" s="193" t="s">
        <v>986</v>
      </c>
      <c r="C134" s="193" t="s">
        <v>1016</v>
      </c>
    </row>
    <row r="135" spans="1:3">
      <c r="A135" s="193" t="s">
        <v>649</v>
      </c>
      <c r="B135" s="193"/>
      <c r="C135" s="193"/>
    </row>
    <row r="136" spans="1:3">
      <c r="A136" s="193" t="s">
        <v>649</v>
      </c>
      <c r="B136" s="193"/>
      <c r="C136" s="193"/>
    </row>
    <row r="137" spans="1:3">
      <c r="A137" s="193" t="s">
        <v>649</v>
      </c>
      <c r="B137" s="193" t="s">
        <v>1017</v>
      </c>
      <c r="C137" s="193" t="s">
        <v>800</v>
      </c>
    </row>
    <row r="138" spans="1:3">
      <c r="A138" s="193" t="s">
        <v>649</v>
      </c>
      <c r="B138" s="193" t="s">
        <v>986</v>
      </c>
      <c r="C138" s="193" t="s">
        <v>651</v>
      </c>
    </row>
    <row r="139" spans="1:3">
      <c r="A139" s="193" t="s">
        <v>649</v>
      </c>
      <c r="B139" s="193" t="s">
        <v>1000</v>
      </c>
      <c r="C139" s="193" t="s">
        <v>987</v>
      </c>
    </row>
    <row r="140" spans="1:3">
      <c r="A140" s="193" t="s">
        <v>649</v>
      </c>
      <c r="B140" s="193" t="s">
        <v>986</v>
      </c>
      <c r="C140" s="193" t="s">
        <v>803</v>
      </c>
    </row>
    <row r="141" spans="1:3">
      <c r="A141" s="193" t="s">
        <v>986</v>
      </c>
      <c r="B141" s="193"/>
      <c r="C141" s="193"/>
    </row>
    <row r="142" spans="1:3">
      <c r="A142" s="193" t="s">
        <v>649</v>
      </c>
      <c r="B142" s="193"/>
      <c r="C142" s="193"/>
    </row>
    <row r="143" spans="1:3">
      <c r="A143" s="193" t="s">
        <v>649</v>
      </c>
      <c r="B143" s="193"/>
      <c r="C143" s="193"/>
    </row>
    <row r="144" spans="1:3">
      <c r="A144" s="193" t="s">
        <v>989</v>
      </c>
      <c r="B144" s="193"/>
      <c r="C144" s="193"/>
    </row>
    <row r="145" spans="1:3">
      <c r="A145" s="193" t="s">
        <v>649</v>
      </c>
      <c r="B145" s="193"/>
      <c r="C145" s="193"/>
    </row>
    <row r="146" spans="1:3">
      <c r="A146" s="193" t="s">
        <v>649</v>
      </c>
      <c r="B146" s="193"/>
      <c r="C146" s="193"/>
    </row>
    <row r="147" spans="1:3">
      <c r="A147" s="193" t="s">
        <v>1018</v>
      </c>
      <c r="B147" s="193" t="s">
        <v>1019</v>
      </c>
      <c r="C147" s="193"/>
    </row>
    <row r="148" spans="1:3">
      <c r="A148" s="193" t="s">
        <v>654</v>
      </c>
      <c r="B148" s="193"/>
      <c r="C148" s="193"/>
    </row>
    <row r="149" spans="1:3">
      <c r="A149" s="193" t="s">
        <v>649</v>
      </c>
      <c r="B149" s="193"/>
      <c r="C149" s="193"/>
    </row>
    <row r="150" spans="1:3">
      <c r="A150" s="193" t="s">
        <v>649</v>
      </c>
      <c r="B150" s="193" t="s">
        <v>656</v>
      </c>
      <c r="C150" s="193" t="s">
        <v>651</v>
      </c>
    </row>
    <row r="151" spans="1:3">
      <c r="A151" s="193" t="s">
        <v>649</v>
      </c>
      <c r="B151" s="193" t="s">
        <v>986</v>
      </c>
      <c r="C151" s="193" t="s">
        <v>654</v>
      </c>
    </row>
    <row r="152" spans="1:3">
      <c r="A152" s="193" t="s">
        <v>649</v>
      </c>
      <c r="B152" s="193"/>
      <c r="C152" s="193"/>
    </row>
    <row r="153" spans="1:3">
      <c r="A153" s="193" t="s">
        <v>657</v>
      </c>
      <c r="B153" s="193" t="s">
        <v>649</v>
      </c>
      <c r="C153" s="193" t="s">
        <v>653</v>
      </c>
    </row>
    <row r="154" spans="1:3">
      <c r="A154" s="193" t="s">
        <v>1020</v>
      </c>
      <c r="B154" s="193"/>
      <c r="C154" s="193"/>
    </row>
    <row r="155" spans="1:3">
      <c r="A155" s="193" t="s">
        <v>649</v>
      </c>
      <c r="B155" s="193"/>
      <c r="C155" s="193"/>
    </row>
    <row r="156" spans="1:3">
      <c r="A156" s="193" t="s">
        <v>649</v>
      </c>
      <c r="B156" s="193"/>
      <c r="C156" s="193"/>
    </row>
    <row r="157" spans="1:3">
      <c r="A157" s="193" t="s">
        <v>649</v>
      </c>
      <c r="B157" s="193"/>
      <c r="C157" s="193"/>
    </row>
    <row r="158" spans="1:3">
      <c r="A158" s="193" t="s">
        <v>649</v>
      </c>
      <c r="B158" s="193"/>
      <c r="C158" s="193"/>
    </row>
    <row r="159" spans="1:3">
      <c r="A159" s="193" t="s">
        <v>799</v>
      </c>
      <c r="B159" s="193"/>
      <c r="C159" s="193"/>
    </row>
    <row r="160" spans="1:3">
      <c r="A160" s="193" t="s">
        <v>649</v>
      </c>
      <c r="B160" s="193"/>
      <c r="C160" s="193"/>
    </row>
    <row r="161" spans="1:3">
      <c r="A161" s="193" t="s">
        <v>649</v>
      </c>
      <c r="B161" s="193"/>
      <c r="C161" s="193"/>
    </row>
    <row r="162" spans="1:3">
      <c r="A162" s="193" t="s">
        <v>800</v>
      </c>
      <c r="B162" s="193"/>
      <c r="C162" s="193"/>
    </row>
    <row r="163" spans="1:3">
      <c r="A163" s="193" t="s">
        <v>649</v>
      </c>
      <c r="B163" s="193" t="s">
        <v>659</v>
      </c>
      <c r="C163" s="193" t="s">
        <v>986</v>
      </c>
    </row>
    <row r="164" spans="1:3">
      <c r="A164" s="193" t="s">
        <v>649</v>
      </c>
      <c r="B164" s="193" t="s">
        <v>651</v>
      </c>
      <c r="C164" s="193"/>
    </row>
    <row r="165" spans="1:3">
      <c r="A165" s="193" t="s">
        <v>649</v>
      </c>
      <c r="B165" s="193" t="s">
        <v>1021</v>
      </c>
      <c r="C165" s="193" t="s">
        <v>1022</v>
      </c>
    </row>
    <row r="166" spans="1:3">
      <c r="A166" s="193" t="s">
        <v>649</v>
      </c>
      <c r="B166" s="193"/>
      <c r="C166" s="193"/>
    </row>
    <row r="167" spans="1:3">
      <c r="A167" s="193" t="s">
        <v>649</v>
      </c>
      <c r="B167" s="193" t="s">
        <v>801</v>
      </c>
      <c r="C167" s="193"/>
    </row>
    <row r="168" spans="1:3">
      <c r="A168" s="193" t="s">
        <v>649</v>
      </c>
      <c r="B168" s="193" t="s">
        <v>659</v>
      </c>
      <c r="C168" s="193" t="s">
        <v>803</v>
      </c>
    </row>
    <row r="169" spans="1:3">
      <c r="A169" s="193" t="s">
        <v>649</v>
      </c>
      <c r="B169" s="193"/>
      <c r="C169" s="193"/>
    </row>
    <row r="170" spans="1:3">
      <c r="A170" s="193" t="s">
        <v>649</v>
      </c>
      <c r="B170" s="193"/>
      <c r="C170" s="193"/>
    </row>
    <row r="171" spans="1:3">
      <c r="A171" s="193" t="s">
        <v>649</v>
      </c>
      <c r="B171" s="193"/>
      <c r="C171" s="193"/>
    </row>
    <row r="172" spans="1:3">
      <c r="A172" s="193" t="s">
        <v>649</v>
      </c>
      <c r="B172" s="193"/>
      <c r="C172" s="193"/>
    </row>
    <row r="173" spans="1:3">
      <c r="A173" s="193" t="s">
        <v>649</v>
      </c>
      <c r="B173" s="193" t="s">
        <v>1023</v>
      </c>
      <c r="C173" s="193"/>
    </row>
    <row r="174" spans="1:3">
      <c r="A174" s="193" t="s">
        <v>649</v>
      </c>
      <c r="B174" s="193"/>
      <c r="C174" s="193"/>
    </row>
    <row r="175" spans="1:3">
      <c r="A175" s="193" t="s">
        <v>1024</v>
      </c>
      <c r="B175" s="193"/>
      <c r="C175" s="193"/>
    </row>
    <row r="176" spans="1:3">
      <c r="A176" s="193" t="s">
        <v>1025</v>
      </c>
      <c r="B176" s="193" t="s">
        <v>653</v>
      </c>
      <c r="C176" s="193"/>
    </row>
    <row r="177" spans="1:3">
      <c r="A177" s="193" t="s">
        <v>653</v>
      </c>
      <c r="B177" s="193"/>
      <c r="C177" s="193"/>
    </row>
    <row r="178" spans="1:3">
      <c r="A178" s="193" t="s">
        <v>649</v>
      </c>
      <c r="B178" s="193"/>
      <c r="C178" s="193"/>
    </row>
    <row r="179" spans="1:3">
      <c r="A179" s="193" t="s">
        <v>649</v>
      </c>
      <c r="B179" s="193" t="s">
        <v>654</v>
      </c>
      <c r="C179" s="193" t="s">
        <v>993</v>
      </c>
    </row>
    <row r="180" spans="1:3">
      <c r="A180" s="193" t="s">
        <v>986</v>
      </c>
      <c r="B180" s="193" t="s">
        <v>649</v>
      </c>
      <c r="C180" s="193" t="s">
        <v>659</v>
      </c>
    </row>
    <row r="181" spans="1:3">
      <c r="A181" s="193" t="s">
        <v>649</v>
      </c>
      <c r="B181" s="193"/>
      <c r="C181" s="193"/>
    </row>
    <row r="182" spans="1:3">
      <c r="A182" s="193" t="s">
        <v>986</v>
      </c>
      <c r="B182" s="193" t="s">
        <v>649</v>
      </c>
      <c r="C182" s="193"/>
    </row>
    <row r="183" spans="1:3">
      <c r="A183" s="193" t="s">
        <v>649</v>
      </c>
      <c r="B183" s="193"/>
      <c r="C183" s="193"/>
    </row>
    <row r="184" spans="1:3">
      <c r="A184" s="193" t="s">
        <v>986</v>
      </c>
      <c r="B184" s="193"/>
      <c r="C184" s="193"/>
    </row>
    <row r="185" spans="1:3">
      <c r="A185" s="193" t="s">
        <v>649</v>
      </c>
      <c r="B185" s="193"/>
      <c r="C185" s="193"/>
    </row>
    <row r="186" spans="1:3">
      <c r="A186" s="193" t="s">
        <v>652</v>
      </c>
      <c r="B186" s="193" t="s">
        <v>649</v>
      </c>
      <c r="C186" s="193"/>
    </row>
    <row r="187" spans="1:3">
      <c r="A187" s="193" t="s">
        <v>649</v>
      </c>
      <c r="B187" s="193"/>
      <c r="C187" s="193"/>
    </row>
    <row r="188" spans="1:3">
      <c r="A188" s="193" t="s">
        <v>649</v>
      </c>
      <c r="B188" s="193"/>
      <c r="C188" s="193"/>
    </row>
    <row r="189" spans="1:3">
      <c r="A189" s="193" t="s">
        <v>649</v>
      </c>
      <c r="B189" s="193" t="s">
        <v>659</v>
      </c>
      <c r="C189" s="193" t="s">
        <v>653</v>
      </c>
    </row>
    <row r="190" spans="1:3">
      <c r="A190" s="193" t="s">
        <v>986</v>
      </c>
      <c r="B190" s="193"/>
      <c r="C190" s="193"/>
    </row>
    <row r="191" spans="1:3">
      <c r="A191" s="193" t="s">
        <v>649</v>
      </c>
      <c r="B191" s="193" t="s">
        <v>652</v>
      </c>
      <c r="C191" s="193" t="s">
        <v>654</v>
      </c>
    </row>
    <row r="192" spans="1:3">
      <c r="A192" s="193" t="s">
        <v>986</v>
      </c>
      <c r="B192" s="193"/>
      <c r="C192" s="193"/>
    </row>
    <row r="193" spans="1:3">
      <c r="A193" s="193" t="s">
        <v>800</v>
      </c>
      <c r="B193" s="193"/>
      <c r="C193" s="193"/>
    </row>
    <row r="194" spans="1:3">
      <c r="A194" s="193" t="s">
        <v>649</v>
      </c>
      <c r="B194" s="193" t="s">
        <v>986</v>
      </c>
      <c r="C194" s="193" t="s">
        <v>652</v>
      </c>
    </row>
    <row r="195" spans="1:3">
      <c r="A195" s="193" t="s">
        <v>1026</v>
      </c>
      <c r="B195" s="193"/>
      <c r="C195" s="193"/>
    </row>
    <row r="196" spans="1:3">
      <c r="A196" s="193" t="s">
        <v>651</v>
      </c>
      <c r="B196" s="193"/>
      <c r="C196" s="193"/>
    </row>
    <row r="197" spans="1:3">
      <c r="A197" s="193" t="s">
        <v>649</v>
      </c>
      <c r="B197" s="193"/>
      <c r="C197" s="193"/>
    </row>
    <row r="198" spans="1:3">
      <c r="A198" s="193" t="s">
        <v>1027</v>
      </c>
      <c r="B198" s="193"/>
      <c r="C198" s="193"/>
    </row>
    <row r="199" spans="1:3">
      <c r="A199" s="193" t="s">
        <v>649</v>
      </c>
      <c r="B199" s="193" t="s">
        <v>653</v>
      </c>
      <c r="C199" s="193" t="s">
        <v>986</v>
      </c>
    </row>
    <row r="200" spans="1:3">
      <c r="A200" s="193" t="s">
        <v>649</v>
      </c>
      <c r="B200" s="193" t="s">
        <v>800</v>
      </c>
      <c r="C200" s="193"/>
    </row>
    <row r="201" spans="1:3">
      <c r="A201" s="193" t="s">
        <v>800</v>
      </c>
      <c r="B201" s="193"/>
      <c r="C201" s="193"/>
    </row>
    <row r="202" spans="1:3">
      <c r="A202" s="193" t="s">
        <v>649</v>
      </c>
      <c r="B202" s="193" t="s">
        <v>1028</v>
      </c>
      <c r="C202" s="193"/>
    </row>
    <row r="203" spans="1:3">
      <c r="A203" s="193" t="s">
        <v>986</v>
      </c>
      <c r="B203" s="193" t="s">
        <v>649</v>
      </c>
      <c r="C203" s="193"/>
    </row>
    <row r="204" spans="1:3">
      <c r="A204" s="193" t="s">
        <v>1029</v>
      </c>
      <c r="B204" s="193"/>
      <c r="C204" s="193"/>
    </row>
    <row r="205" spans="1:3">
      <c r="A205" s="193" t="s">
        <v>649</v>
      </c>
      <c r="B205" s="193" t="s">
        <v>986</v>
      </c>
      <c r="C205" s="193" t="s">
        <v>989</v>
      </c>
    </row>
    <row r="206" spans="1:3">
      <c r="A206" s="193" t="s">
        <v>649</v>
      </c>
      <c r="B206" s="193"/>
      <c r="C206" s="193"/>
    </row>
    <row r="207" spans="1:3">
      <c r="A207" s="193" t="s">
        <v>649</v>
      </c>
      <c r="B207" s="193"/>
      <c r="C207" s="193"/>
    </row>
    <row r="208" spans="1:3">
      <c r="A208" s="193" t="s">
        <v>651</v>
      </c>
      <c r="B208" s="193" t="s">
        <v>649</v>
      </c>
      <c r="C208" s="193"/>
    </row>
    <row r="209" spans="1:3">
      <c r="A209" s="193" t="s">
        <v>649</v>
      </c>
      <c r="B209" s="193"/>
      <c r="C209" s="193"/>
    </row>
    <row r="210" spans="1:3">
      <c r="A210" s="193" t="s">
        <v>986</v>
      </c>
      <c r="B210" s="193" t="s">
        <v>649</v>
      </c>
      <c r="C210" s="193" t="s">
        <v>989</v>
      </c>
    </row>
    <row r="211" spans="1:3">
      <c r="A211" s="193" t="s">
        <v>649</v>
      </c>
      <c r="B211" s="193"/>
      <c r="C211" s="193"/>
    </row>
    <row r="212" spans="1:3">
      <c r="A212" s="193" t="s">
        <v>649</v>
      </c>
      <c r="B212" s="193"/>
      <c r="C212" s="193"/>
    </row>
    <row r="213" spans="1:3">
      <c r="A213" s="193" t="s">
        <v>649</v>
      </c>
      <c r="B213" s="193"/>
      <c r="C213" s="193"/>
    </row>
    <row r="214" spans="1:3">
      <c r="A214" s="193" t="s">
        <v>649</v>
      </c>
      <c r="B214" s="193"/>
      <c r="C214" s="193"/>
    </row>
    <row r="215" spans="1:3">
      <c r="A215" s="193" t="s">
        <v>986</v>
      </c>
      <c r="B215" s="193" t="s">
        <v>653</v>
      </c>
      <c r="C215" s="193" t="s">
        <v>803</v>
      </c>
    </row>
    <row r="216" spans="1:3">
      <c r="A216" s="193" t="s">
        <v>986</v>
      </c>
      <c r="B216" s="193" t="s">
        <v>649</v>
      </c>
      <c r="C216" s="193" t="s">
        <v>652</v>
      </c>
    </row>
    <row r="217" spans="1:3">
      <c r="A217" s="193" t="s">
        <v>649</v>
      </c>
      <c r="B217" s="193" t="s">
        <v>651</v>
      </c>
      <c r="C217" s="193"/>
    </row>
    <row r="218" spans="1:3">
      <c r="A218" s="193" t="s">
        <v>649</v>
      </c>
      <c r="B218" s="193" t="s">
        <v>1030</v>
      </c>
      <c r="C218" s="193" t="s">
        <v>1031</v>
      </c>
    </row>
    <row r="219" spans="1:3">
      <c r="A219" s="193" t="s">
        <v>1032</v>
      </c>
      <c r="B219" s="193" t="s">
        <v>1033</v>
      </c>
      <c r="C219" s="193" t="s">
        <v>1034</v>
      </c>
    </row>
    <row r="220" spans="1:3">
      <c r="A220" s="193" t="s">
        <v>1007</v>
      </c>
      <c r="B220" s="193" t="s">
        <v>649</v>
      </c>
      <c r="C220" s="193" t="s">
        <v>1035</v>
      </c>
    </row>
    <row r="221" spans="1:3">
      <c r="A221" s="193" t="s">
        <v>799</v>
      </c>
      <c r="B221" s="193" t="s">
        <v>1036</v>
      </c>
      <c r="C221" s="193"/>
    </row>
    <row r="222" spans="1:3">
      <c r="A222" s="193" t="s">
        <v>649</v>
      </c>
      <c r="B222" s="193" t="s">
        <v>1037</v>
      </c>
      <c r="C222" s="193" t="s">
        <v>1038</v>
      </c>
    </row>
    <row r="223" spans="1:3">
      <c r="A223" s="193" t="s">
        <v>800</v>
      </c>
      <c r="B223" s="193"/>
      <c r="C223" s="193"/>
    </row>
    <row r="224" spans="1:3">
      <c r="A224" s="193" t="s">
        <v>649</v>
      </c>
      <c r="B224" s="193" t="s">
        <v>653</v>
      </c>
      <c r="C224" s="193"/>
    </row>
    <row r="225" spans="1:3">
      <c r="A225" s="193" t="s">
        <v>649</v>
      </c>
      <c r="B225" s="193"/>
      <c r="C225" s="193"/>
    </row>
    <row r="226" spans="1:3">
      <c r="A226" s="193" t="s">
        <v>649</v>
      </c>
      <c r="B226" s="193"/>
      <c r="C226" s="193"/>
    </row>
    <row r="227" spans="1:3">
      <c r="A227" s="193" t="s">
        <v>649</v>
      </c>
      <c r="B227" s="193" t="s">
        <v>1039</v>
      </c>
      <c r="C227" s="193" t="s">
        <v>990</v>
      </c>
    </row>
    <row r="228" spans="1:3">
      <c r="A228" s="193" t="s">
        <v>649</v>
      </c>
      <c r="B228" s="193"/>
      <c r="C228" s="193"/>
    </row>
    <row r="229" spans="1:3">
      <c r="A229" s="193" t="s">
        <v>1040</v>
      </c>
      <c r="B229" s="193"/>
      <c r="C229" s="193"/>
    </row>
    <row r="230" spans="1:3">
      <c r="A230" s="193" t="s">
        <v>649</v>
      </c>
      <c r="B230" s="193"/>
      <c r="C230" s="193"/>
    </row>
    <row r="231" spans="1:3">
      <c r="A231" s="193" t="s">
        <v>649</v>
      </c>
      <c r="B231" s="193"/>
      <c r="C231" s="193"/>
    </row>
    <row r="232" spans="1:3">
      <c r="A232" s="193" t="s">
        <v>649</v>
      </c>
      <c r="B232" s="193"/>
      <c r="C232" s="193"/>
    </row>
    <row r="233" spans="1:3">
      <c r="A233" s="193" t="s">
        <v>1041</v>
      </c>
      <c r="B233" s="193"/>
      <c r="C233" s="193"/>
    </row>
    <row r="234" spans="1:3">
      <c r="A234" s="193" t="s">
        <v>1042</v>
      </c>
      <c r="B234" s="193"/>
      <c r="C234" s="193"/>
    </row>
    <row r="235" spans="1:3">
      <c r="A235" s="193" t="s">
        <v>986</v>
      </c>
      <c r="B235" s="193"/>
      <c r="C235" s="193"/>
    </row>
    <row r="236" spans="1:3">
      <c r="A236" s="193" t="s">
        <v>649</v>
      </c>
      <c r="B236" s="193" t="s">
        <v>986</v>
      </c>
      <c r="C236" s="193" t="s">
        <v>801</v>
      </c>
    </row>
    <row r="237" spans="1:3">
      <c r="A237" s="193" t="s">
        <v>649</v>
      </c>
      <c r="B237" s="193"/>
      <c r="C237" s="193"/>
    </row>
    <row r="238" spans="1:3">
      <c r="A238" s="193" t="s">
        <v>649</v>
      </c>
      <c r="B238" s="193" t="s">
        <v>986</v>
      </c>
      <c r="C238" s="193"/>
    </row>
    <row r="239" spans="1:3">
      <c r="A239" s="193" t="s">
        <v>649</v>
      </c>
      <c r="B239" s="193"/>
      <c r="C239" s="193"/>
    </row>
    <row r="240" spans="1:3">
      <c r="A240" s="193" t="s">
        <v>649</v>
      </c>
      <c r="B240" s="193"/>
      <c r="C240" s="193"/>
    </row>
    <row r="241" spans="1:3">
      <c r="A241" s="193" t="s">
        <v>992</v>
      </c>
      <c r="B241" s="193"/>
      <c r="C241" s="193"/>
    </row>
    <row r="242" spans="1:3">
      <c r="A242" s="193" t="s">
        <v>649</v>
      </c>
      <c r="B242" s="193" t="s">
        <v>986</v>
      </c>
      <c r="C242" s="193" t="s">
        <v>654</v>
      </c>
    </row>
    <row r="243" spans="1:3">
      <c r="A243" s="193" t="s">
        <v>649</v>
      </c>
      <c r="B243" s="193"/>
      <c r="C243" s="193"/>
    </row>
    <row r="244" spans="1:3">
      <c r="A244" s="193" t="s">
        <v>653</v>
      </c>
      <c r="B244" s="193"/>
      <c r="C244" s="193"/>
    </row>
    <row r="245" spans="1:3">
      <c r="A245" s="193" t="s">
        <v>649</v>
      </c>
      <c r="B245" s="193"/>
      <c r="C245" s="193"/>
    </row>
    <row r="246" spans="1:3">
      <c r="A246" s="193" t="s">
        <v>649</v>
      </c>
      <c r="B246" s="193"/>
      <c r="C246" s="193"/>
    </row>
    <row r="247" spans="1:3">
      <c r="A247" s="193" t="s">
        <v>986</v>
      </c>
      <c r="B247" s="193" t="s">
        <v>649</v>
      </c>
      <c r="C247" s="193"/>
    </row>
    <row r="248" spans="1:3">
      <c r="A248" s="193" t="s">
        <v>649</v>
      </c>
      <c r="B248" s="193" t="s">
        <v>653</v>
      </c>
      <c r="C248" s="193" t="s">
        <v>654</v>
      </c>
    </row>
    <row r="249" spans="1:3">
      <c r="A249" s="193" t="s">
        <v>649</v>
      </c>
      <c r="B249" s="193"/>
      <c r="C249" s="193"/>
    </row>
    <row r="250" spans="1:3">
      <c r="A250" s="193" t="s">
        <v>649</v>
      </c>
      <c r="B250" s="193" t="s">
        <v>653</v>
      </c>
      <c r="C250" s="193" t="s">
        <v>654</v>
      </c>
    </row>
    <row r="251" spans="1:3">
      <c r="A251" s="193" t="s">
        <v>649</v>
      </c>
      <c r="B251" s="193" t="s">
        <v>653</v>
      </c>
      <c r="C251" s="193"/>
    </row>
    <row r="252" spans="1:3">
      <c r="A252" s="193" t="s">
        <v>649</v>
      </c>
      <c r="B252" s="193" t="s">
        <v>653</v>
      </c>
      <c r="C252" s="193"/>
    </row>
    <row r="253" spans="1:3">
      <c r="A253" s="193" t="s">
        <v>649</v>
      </c>
      <c r="B253" s="193" t="s">
        <v>1043</v>
      </c>
      <c r="C253" s="193"/>
    </row>
    <row r="254" spans="1:3">
      <c r="A254" s="193" t="s">
        <v>649</v>
      </c>
      <c r="B254" s="193" t="s">
        <v>653</v>
      </c>
      <c r="C254" s="193" t="s">
        <v>1044</v>
      </c>
    </row>
    <row r="255" spans="1:3">
      <c r="A255" s="193" t="s">
        <v>986</v>
      </c>
      <c r="B255" s="193" t="s">
        <v>1019</v>
      </c>
      <c r="C255" s="193"/>
    </row>
    <row r="256" spans="1:3">
      <c r="A256" s="193" t="s">
        <v>653</v>
      </c>
      <c r="B256" s="193" t="s">
        <v>1000</v>
      </c>
      <c r="C256" s="193"/>
    </row>
    <row r="257" spans="1:3">
      <c r="A257" s="193" t="s">
        <v>649</v>
      </c>
      <c r="B257" s="193" t="s">
        <v>986</v>
      </c>
      <c r="C257" s="193"/>
    </row>
    <row r="258" spans="1:3">
      <c r="A258" s="193" t="s">
        <v>649</v>
      </c>
      <c r="B258" s="193" t="s">
        <v>652</v>
      </c>
      <c r="C258" s="193"/>
    </row>
    <row r="259" spans="1:3">
      <c r="A259" s="193" t="s">
        <v>649</v>
      </c>
      <c r="B259" s="193" t="s">
        <v>653</v>
      </c>
      <c r="C259" s="193" t="s">
        <v>986</v>
      </c>
    </row>
    <row r="260" spans="1:3">
      <c r="A260" s="193" t="s">
        <v>649</v>
      </c>
      <c r="B260" s="193" t="s">
        <v>1045</v>
      </c>
      <c r="C260" s="193" t="s">
        <v>1019</v>
      </c>
    </row>
    <row r="261" spans="1:3">
      <c r="A261" s="193" t="s">
        <v>649</v>
      </c>
      <c r="B261" s="193"/>
      <c r="C261" s="193"/>
    </row>
    <row r="262" spans="1:3">
      <c r="A262" s="193" t="s">
        <v>989</v>
      </c>
      <c r="B262" s="193"/>
      <c r="C262" s="193"/>
    </row>
    <row r="263" spans="1:3">
      <c r="A263" s="193" t="s">
        <v>986</v>
      </c>
      <c r="B263" s="193"/>
      <c r="C263" s="193"/>
    </row>
    <row r="264" spans="1:3">
      <c r="A264" s="193" t="s">
        <v>800</v>
      </c>
      <c r="B264" s="193"/>
      <c r="C264" s="193"/>
    </row>
    <row r="265" spans="1:3">
      <c r="A265" s="193" t="s">
        <v>649</v>
      </c>
      <c r="B265" s="193" t="s">
        <v>656</v>
      </c>
      <c r="C265" s="193"/>
    </row>
    <row r="266" spans="1:3">
      <c r="A266" s="193" t="s">
        <v>653</v>
      </c>
      <c r="B266" s="193" t="s">
        <v>649</v>
      </c>
      <c r="C266" s="193"/>
    </row>
    <row r="267" spans="1:3">
      <c r="A267" s="193" t="s">
        <v>654</v>
      </c>
      <c r="B267" s="193" t="s">
        <v>653</v>
      </c>
      <c r="C267" s="193" t="s">
        <v>649</v>
      </c>
    </row>
    <row r="268" spans="1:3">
      <c r="A268" s="193" t="s">
        <v>649</v>
      </c>
      <c r="B268" s="193" t="s">
        <v>651</v>
      </c>
      <c r="C268" s="193"/>
    </row>
    <row r="269" spans="1:3">
      <c r="A269" s="193" t="s">
        <v>653</v>
      </c>
      <c r="B269" s="193" t="s">
        <v>986</v>
      </c>
      <c r="C269" s="193" t="s">
        <v>657</v>
      </c>
    </row>
    <row r="270" spans="1:3">
      <c r="A270" s="193" t="s">
        <v>649</v>
      </c>
      <c r="B270" s="193"/>
      <c r="C270" s="193"/>
    </row>
    <row r="271" spans="1:3">
      <c r="A271" s="193" t="s">
        <v>649</v>
      </c>
      <c r="B271" s="193" t="s">
        <v>1046</v>
      </c>
      <c r="C271" s="193"/>
    </row>
    <row r="272" spans="1:3">
      <c r="A272" s="193" t="s">
        <v>649</v>
      </c>
      <c r="B272" s="193" t="s">
        <v>653</v>
      </c>
      <c r="C272" s="193"/>
    </row>
    <row r="273" spans="1:3">
      <c r="A273" s="193" t="s">
        <v>649</v>
      </c>
      <c r="B273" s="193" t="s">
        <v>800</v>
      </c>
      <c r="C273" s="193"/>
    </row>
    <row r="274" spans="1:3">
      <c r="A274" s="193" t="s">
        <v>651</v>
      </c>
      <c r="B274" s="193"/>
      <c r="C274" s="193"/>
    </row>
    <row r="275" spans="1:3">
      <c r="A275" s="193" t="s">
        <v>649</v>
      </c>
      <c r="B275" s="193" t="s">
        <v>986</v>
      </c>
      <c r="C275" s="193" t="s">
        <v>659</v>
      </c>
    </row>
    <row r="276" spans="1:3">
      <c r="A276" s="193" t="s">
        <v>649</v>
      </c>
      <c r="B276" s="193" t="s">
        <v>986</v>
      </c>
      <c r="C276" s="193" t="s">
        <v>657</v>
      </c>
    </row>
    <row r="277" spans="1:3">
      <c r="A277" s="193" t="s">
        <v>652</v>
      </c>
      <c r="B277" s="193" t="s">
        <v>649</v>
      </c>
      <c r="C277" s="193"/>
    </row>
    <row r="278" spans="1:3">
      <c r="A278" s="193" t="s">
        <v>649</v>
      </c>
      <c r="B278" s="193" t="s">
        <v>986</v>
      </c>
      <c r="C278" s="193" t="s">
        <v>653</v>
      </c>
    </row>
    <row r="279" spans="1:3">
      <c r="A279" s="193" t="s">
        <v>649</v>
      </c>
      <c r="B279" s="193" t="s">
        <v>986</v>
      </c>
      <c r="C279" s="193" t="s">
        <v>653</v>
      </c>
    </row>
    <row r="280" spans="1:3">
      <c r="A280" s="193" t="s">
        <v>656</v>
      </c>
      <c r="B280" s="193" t="s">
        <v>654</v>
      </c>
      <c r="C280" s="193"/>
    </row>
    <row r="281" spans="1:3">
      <c r="A281" s="193" t="s">
        <v>649</v>
      </c>
      <c r="B281" s="193" t="s">
        <v>986</v>
      </c>
      <c r="C281" s="193" t="s">
        <v>659</v>
      </c>
    </row>
    <row r="282" spans="1:3">
      <c r="A282" s="193" t="s">
        <v>649</v>
      </c>
      <c r="B282" s="193" t="s">
        <v>653</v>
      </c>
      <c r="C282" s="193" t="s">
        <v>986</v>
      </c>
    </row>
    <row r="283" spans="1:3">
      <c r="A283" s="193" t="s">
        <v>649</v>
      </c>
      <c r="B283" s="193" t="s">
        <v>986</v>
      </c>
      <c r="C283" s="193" t="s">
        <v>1047</v>
      </c>
    </row>
    <row r="284" spans="1:3">
      <c r="A284" s="193" t="s">
        <v>649</v>
      </c>
      <c r="B284" s="193"/>
      <c r="C284" s="193"/>
    </row>
    <row r="285" spans="1:3">
      <c r="A285" s="193" t="s">
        <v>649</v>
      </c>
      <c r="B285" s="193"/>
      <c r="C285" s="193"/>
    </row>
    <row r="286" spans="1:3">
      <c r="A286" s="193" t="s">
        <v>649</v>
      </c>
      <c r="B286" s="193" t="s">
        <v>994</v>
      </c>
      <c r="C286" s="193"/>
    </row>
    <row r="287" spans="1:3">
      <c r="A287" s="193" t="s">
        <v>986</v>
      </c>
      <c r="B287" s="193"/>
      <c r="C287" s="193"/>
    </row>
    <row r="288" spans="1:3">
      <c r="A288" s="193" t="s">
        <v>649</v>
      </c>
      <c r="B288" s="193"/>
      <c r="C288" s="193"/>
    </row>
    <row r="289" spans="1:3">
      <c r="A289" s="193" t="s">
        <v>649</v>
      </c>
      <c r="B289" s="193"/>
      <c r="C289" s="193"/>
    </row>
    <row r="290" spans="1:3">
      <c r="A290" s="193" t="s">
        <v>649</v>
      </c>
      <c r="B290" s="193"/>
      <c r="C290" s="193"/>
    </row>
    <row r="291" spans="1:3">
      <c r="A291" s="193" t="s">
        <v>649</v>
      </c>
      <c r="B291" s="193"/>
      <c r="C291" s="193"/>
    </row>
    <row r="292" spans="1:3">
      <c r="A292" s="193" t="s">
        <v>649</v>
      </c>
      <c r="B292" s="193" t="s">
        <v>802</v>
      </c>
      <c r="C292" s="193" t="s">
        <v>1048</v>
      </c>
    </row>
    <row r="293" spans="1:3">
      <c r="A293" s="193" t="s">
        <v>649</v>
      </c>
      <c r="B293" s="193" t="s">
        <v>654</v>
      </c>
      <c r="C293" s="193"/>
    </row>
    <row r="294" spans="1:3">
      <c r="A294" s="193" t="s">
        <v>649</v>
      </c>
      <c r="B294" s="193" t="s">
        <v>652</v>
      </c>
      <c r="C294" s="193" t="s">
        <v>800</v>
      </c>
    </row>
    <row r="295" spans="1:3">
      <c r="A295" s="193" t="s">
        <v>649</v>
      </c>
      <c r="B295" s="193" t="s">
        <v>652</v>
      </c>
      <c r="C295" s="193" t="s">
        <v>653</v>
      </c>
    </row>
    <row r="296" spans="1:3">
      <c r="A296" s="193" t="s">
        <v>986</v>
      </c>
      <c r="B296" s="193"/>
      <c r="C296" s="193"/>
    </row>
    <row r="297" spans="1:3">
      <c r="A297" s="193" t="s">
        <v>1049</v>
      </c>
      <c r="B297" s="193" t="s">
        <v>658</v>
      </c>
      <c r="C297" s="193"/>
    </row>
    <row r="298" spans="1:3">
      <c r="A298" s="193" t="s">
        <v>994</v>
      </c>
      <c r="B298" s="193"/>
      <c r="C298" s="193"/>
    </row>
    <row r="299" spans="1:3">
      <c r="A299" s="193" t="s">
        <v>649</v>
      </c>
      <c r="B299" s="193" t="s">
        <v>986</v>
      </c>
      <c r="C299" s="193" t="s">
        <v>653</v>
      </c>
    </row>
    <row r="300" spans="1:3">
      <c r="A300" s="193" t="s">
        <v>649</v>
      </c>
      <c r="B300" s="193"/>
      <c r="C300" s="193"/>
    </row>
    <row r="301" spans="1:3">
      <c r="A301" s="193" t="s">
        <v>649</v>
      </c>
      <c r="B301" s="193"/>
      <c r="C301" s="193"/>
    </row>
    <row r="302" spans="1:3">
      <c r="A302" s="193" t="s">
        <v>986</v>
      </c>
      <c r="B302" s="193"/>
      <c r="C302" s="193"/>
    </row>
    <row r="303" spans="1:3">
      <c r="A303" s="193" t="s">
        <v>649</v>
      </c>
      <c r="B303" s="193"/>
      <c r="C303" s="193"/>
    </row>
    <row r="304" spans="1:3">
      <c r="A304" s="193" t="s">
        <v>14</v>
      </c>
      <c r="B304" s="193"/>
      <c r="C304" s="193"/>
    </row>
    <row r="305" spans="1:3">
      <c r="A305" s="193" t="s">
        <v>649</v>
      </c>
      <c r="B305" s="193" t="s">
        <v>653</v>
      </c>
      <c r="C305" s="193"/>
    </row>
    <row r="306" spans="1:3">
      <c r="A306" s="193" t="s">
        <v>1017</v>
      </c>
      <c r="B306" s="193" t="s">
        <v>649</v>
      </c>
      <c r="C306" s="193"/>
    </row>
    <row r="307" spans="1:3">
      <c r="A307" s="193" t="s">
        <v>649</v>
      </c>
      <c r="B307" s="193" t="s">
        <v>986</v>
      </c>
      <c r="C307" s="193" t="s">
        <v>1050</v>
      </c>
    </row>
    <row r="308" spans="1:3">
      <c r="A308" s="193" t="s">
        <v>654</v>
      </c>
      <c r="B308" s="193"/>
      <c r="C308" s="193"/>
    </row>
    <row r="309" spans="1:3">
      <c r="A309" s="193" t="s">
        <v>649</v>
      </c>
      <c r="B309" s="193" t="s">
        <v>651</v>
      </c>
      <c r="C309" s="193"/>
    </row>
    <row r="310" spans="1:3">
      <c r="A310" s="193" t="s">
        <v>649</v>
      </c>
      <c r="B310" s="193" t="s">
        <v>653</v>
      </c>
      <c r="C310" s="193" t="s">
        <v>986</v>
      </c>
    </row>
    <row r="311" spans="1:3">
      <c r="A311" s="193" t="s">
        <v>649</v>
      </c>
      <c r="B311" s="193"/>
      <c r="C311" s="193"/>
    </row>
    <row r="312" spans="1:3">
      <c r="A312" s="193" t="s">
        <v>649</v>
      </c>
      <c r="B312" s="193" t="s">
        <v>986</v>
      </c>
      <c r="C312" s="193" t="s">
        <v>989</v>
      </c>
    </row>
    <row r="313" spans="1:3">
      <c r="A313" s="193" t="s">
        <v>799</v>
      </c>
      <c r="B313" s="193" t="s">
        <v>986</v>
      </c>
      <c r="C313" s="193"/>
    </row>
    <row r="314" spans="1:3">
      <c r="A314" s="193" t="s">
        <v>649</v>
      </c>
      <c r="B314" s="193" t="s">
        <v>803</v>
      </c>
      <c r="C314" s="193" t="s">
        <v>659</v>
      </c>
    </row>
    <row r="315" spans="1:3">
      <c r="A315" s="193" t="s">
        <v>649</v>
      </c>
      <c r="B315" s="193" t="s">
        <v>986</v>
      </c>
      <c r="C315" s="193" t="s">
        <v>800</v>
      </c>
    </row>
    <row r="316" spans="1:3">
      <c r="A316" s="193" t="s">
        <v>986</v>
      </c>
      <c r="B316" s="193" t="s">
        <v>649</v>
      </c>
      <c r="C316" s="193" t="s">
        <v>800</v>
      </c>
    </row>
    <row r="317" spans="1:3">
      <c r="A317" s="193" t="s">
        <v>986</v>
      </c>
      <c r="B317" s="193"/>
      <c r="C317" s="193"/>
    </row>
    <row r="318" spans="1:3">
      <c r="A318" s="193" t="s">
        <v>649</v>
      </c>
      <c r="B318" s="193"/>
      <c r="C318" s="193"/>
    </row>
    <row r="319" spans="1:3">
      <c r="A319" s="193" t="s">
        <v>651</v>
      </c>
      <c r="B319" s="193" t="s">
        <v>649</v>
      </c>
      <c r="C319" s="193" t="s">
        <v>656</v>
      </c>
    </row>
    <row r="320" spans="1:3">
      <c r="A320" s="193" t="s">
        <v>649</v>
      </c>
      <c r="B320" s="193"/>
      <c r="C320" s="193"/>
    </row>
    <row r="321" spans="1:3">
      <c r="A321" s="193" t="s">
        <v>986</v>
      </c>
      <c r="B321" s="193" t="s">
        <v>654</v>
      </c>
      <c r="C321" s="193" t="s">
        <v>649</v>
      </c>
    </row>
    <row r="322" spans="1:3">
      <c r="A322" s="193" t="s">
        <v>986</v>
      </c>
      <c r="B322" s="193" t="s">
        <v>653</v>
      </c>
      <c r="C322" s="193" t="s">
        <v>649</v>
      </c>
    </row>
    <row r="323" spans="1:3">
      <c r="A323" s="193" t="s">
        <v>649</v>
      </c>
      <c r="B323" s="193"/>
      <c r="C323" s="193"/>
    </row>
    <row r="324" spans="1:3">
      <c r="A324" s="193" t="s">
        <v>649</v>
      </c>
      <c r="B324" s="193" t="s">
        <v>656</v>
      </c>
      <c r="C324" s="193"/>
    </row>
    <row r="325" spans="1:3">
      <c r="A325" s="193" t="s">
        <v>649</v>
      </c>
      <c r="B325" s="193"/>
      <c r="C325" s="193"/>
    </row>
    <row r="326" spans="1:3">
      <c r="A326" s="193" t="s">
        <v>649</v>
      </c>
      <c r="B326" s="193" t="s">
        <v>654</v>
      </c>
      <c r="C326" s="193"/>
    </row>
    <row r="327" spans="1:3">
      <c r="A327" s="193" t="s">
        <v>649</v>
      </c>
      <c r="B327" s="193"/>
      <c r="C327" s="193"/>
    </row>
    <row r="328" spans="1:3">
      <c r="A328" s="193" t="s">
        <v>649</v>
      </c>
      <c r="B328" s="193" t="s">
        <v>989</v>
      </c>
      <c r="C328" s="193"/>
    </row>
    <row r="329" spans="1:3">
      <c r="A329" s="193" t="s">
        <v>649</v>
      </c>
      <c r="B329" s="193"/>
      <c r="C329" s="193"/>
    </row>
    <row r="330" spans="1:3">
      <c r="A330" s="193" t="s">
        <v>649</v>
      </c>
      <c r="B330" s="193" t="s">
        <v>986</v>
      </c>
      <c r="C330" s="193"/>
    </row>
    <row r="331" spans="1:3">
      <c r="A331" s="193" t="s">
        <v>651</v>
      </c>
      <c r="B331" s="193"/>
      <c r="C331" s="193"/>
    </row>
    <row r="332" spans="1:3">
      <c r="A332" s="193" t="s">
        <v>659</v>
      </c>
      <c r="B332" s="193"/>
      <c r="C332" s="193"/>
    </row>
    <row r="333" spans="1:3">
      <c r="A333" s="193" t="s">
        <v>649</v>
      </c>
      <c r="B333" s="193"/>
      <c r="C333" s="193"/>
    </row>
    <row r="334" spans="1:3">
      <c r="A334" s="193" t="s">
        <v>649</v>
      </c>
      <c r="B334" s="193"/>
      <c r="C334" s="193"/>
    </row>
    <row r="335" spans="1:3">
      <c r="A335" s="193" t="s">
        <v>653</v>
      </c>
      <c r="B335" s="193"/>
      <c r="C335" s="193"/>
    </row>
    <row r="336" spans="1:3">
      <c r="A336" s="193" t="s">
        <v>649</v>
      </c>
      <c r="B336" s="193"/>
      <c r="C336" s="193"/>
    </row>
    <row r="337" spans="1:3">
      <c r="A337" s="193" t="s">
        <v>994</v>
      </c>
      <c r="B337" s="193" t="s">
        <v>1007</v>
      </c>
      <c r="C337" s="193" t="s">
        <v>649</v>
      </c>
    </row>
    <row r="338" spans="1:3">
      <c r="A338" s="193" t="s">
        <v>653</v>
      </c>
      <c r="B338" s="193" t="s">
        <v>657</v>
      </c>
      <c r="C338" s="193" t="s">
        <v>649</v>
      </c>
    </row>
    <row r="339" spans="1:3">
      <c r="A339" s="193" t="s">
        <v>649</v>
      </c>
      <c r="B339" s="193"/>
      <c r="C339" s="193"/>
    </row>
    <row r="340" spans="1:3">
      <c r="A340" s="193" t="s">
        <v>649</v>
      </c>
      <c r="B340" s="193" t="s">
        <v>654</v>
      </c>
      <c r="C340" s="193" t="s">
        <v>653</v>
      </c>
    </row>
    <row r="341" spans="1:3">
      <c r="A341" s="193" t="s">
        <v>658</v>
      </c>
      <c r="B341" s="193" t="s">
        <v>1049</v>
      </c>
      <c r="C341" s="193"/>
    </row>
    <row r="342" spans="1:3">
      <c r="A342" s="193" t="s">
        <v>649</v>
      </c>
      <c r="B342" s="193" t="s">
        <v>651</v>
      </c>
      <c r="C342" s="193" t="s">
        <v>1000</v>
      </c>
    </row>
    <row r="343" spans="1:3">
      <c r="A343" s="193" t="s">
        <v>649</v>
      </c>
      <c r="B343" s="193" t="s">
        <v>800</v>
      </c>
      <c r="C343" s="193" t="s">
        <v>651</v>
      </c>
    </row>
    <row r="344" spans="1:3">
      <c r="A344" s="193" t="s">
        <v>656</v>
      </c>
      <c r="B344" s="193" t="s">
        <v>649</v>
      </c>
      <c r="C344" s="193" t="s">
        <v>1037</v>
      </c>
    </row>
    <row r="345" spans="1:3">
      <c r="A345" s="193" t="s">
        <v>649</v>
      </c>
      <c r="B345" s="193" t="s">
        <v>654</v>
      </c>
      <c r="C345" s="193" t="s">
        <v>1051</v>
      </c>
    </row>
    <row r="346" spans="1:3">
      <c r="A346" s="193" t="s">
        <v>653</v>
      </c>
      <c r="B346" s="193" t="s">
        <v>1052</v>
      </c>
      <c r="C346" s="193" t="s">
        <v>1053</v>
      </c>
    </row>
    <row r="347" spans="1:3">
      <c r="A347" s="193" t="s">
        <v>656</v>
      </c>
      <c r="B347" s="193"/>
      <c r="C347" s="193"/>
    </row>
    <row r="348" spans="1:3">
      <c r="A348" s="193" t="s">
        <v>649</v>
      </c>
      <c r="B348" s="193" t="s">
        <v>986</v>
      </c>
      <c r="C348" s="193" t="s">
        <v>800</v>
      </c>
    </row>
    <row r="349" spans="1:3">
      <c r="A349" s="193" t="s">
        <v>986</v>
      </c>
      <c r="B349" s="193" t="s">
        <v>995</v>
      </c>
      <c r="C349" s="193" t="s">
        <v>649</v>
      </c>
    </row>
    <row r="350" spans="1:3">
      <c r="A350" s="193" t="s">
        <v>649</v>
      </c>
      <c r="B350" s="193"/>
      <c r="C350" s="193"/>
    </row>
    <row r="351" spans="1:3">
      <c r="A351" s="193" t="s">
        <v>649</v>
      </c>
      <c r="B351" s="193" t="s">
        <v>653</v>
      </c>
      <c r="C351" s="193" t="s">
        <v>986</v>
      </c>
    </row>
    <row r="352" spans="1:3">
      <c r="A352" s="193" t="s">
        <v>649</v>
      </c>
      <c r="B352" s="193"/>
      <c r="C352" s="193"/>
    </row>
    <row r="353" spans="1:3">
      <c r="A353" s="193" t="s">
        <v>649</v>
      </c>
      <c r="B353" s="193" t="s">
        <v>800</v>
      </c>
      <c r="C353" s="193" t="s">
        <v>1054</v>
      </c>
    </row>
    <row r="354" spans="1:3">
      <c r="A354" s="193" t="s">
        <v>649</v>
      </c>
      <c r="B354" s="193" t="s">
        <v>654</v>
      </c>
      <c r="C354" s="193" t="s">
        <v>800</v>
      </c>
    </row>
    <row r="355" spans="1:3">
      <c r="A355" s="193" t="s">
        <v>649</v>
      </c>
      <c r="B355" s="193"/>
      <c r="C355" s="193"/>
    </row>
    <row r="356" spans="1:3">
      <c r="A356" s="193" t="s">
        <v>986</v>
      </c>
      <c r="B356" s="193" t="s">
        <v>800</v>
      </c>
      <c r="C356" s="193" t="s">
        <v>1055</v>
      </c>
    </row>
    <row r="357" spans="1:3">
      <c r="A357" s="193" t="s">
        <v>649</v>
      </c>
      <c r="B357" s="193" t="s">
        <v>986</v>
      </c>
      <c r="C357" s="193" t="s">
        <v>653</v>
      </c>
    </row>
    <row r="358" spans="1:3">
      <c r="A358" s="193" t="s">
        <v>651</v>
      </c>
      <c r="B358" s="193" t="s">
        <v>649</v>
      </c>
      <c r="C358" s="193" t="s">
        <v>986</v>
      </c>
    </row>
    <row r="359" spans="1:3">
      <c r="A359" s="193" t="s">
        <v>649</v>
      </c>
      <c r="B359" s="193"/>
      <c r="C359" s="193"/>
    </row>
    <row r="360" spans="1:3">
      <c r="A360" s="193" t="s">
        <v>651</v>
      </c>
      <c r="B360" s="193"/>
      <c r="C360" s="193"/>
    </row>
    <row r="361" spans="1:3">
      <c r="A361" s="193" t="s">
        <v>800</v>
      </c>
      <c r="B361" s="193" t="s">
        <v>1056</v>
      </c>
      <c r="C361" s="193" t="s">
        <v>649</v>
      </c>
    </row>
    <row r="362" spans="1:3">
      <c r="A362" s="193" t="s">
        <v>1019</v>
      </c>
      <c r="B362" s="193" t="s">
        <v>649</v>
      </c>
      <c r="C362" s="193" t="s">
        <v>1005</v>
      </c>
    </row>
    <row r="363" spans="1:3">
      <c r="A363" s="193" t="s">
        <v>989</v>
      </c>
      <c r="B363" s="193"/>
      <c r="C363" s="193"/>
    </row>
    <row r="364" spans="1:3">
      <c r="A364" s="193" t="s">
        <v>1057</v>
      </c>
      <c r="B364" s="193"/>
      <c r="C364" s="193"/>
    </row>
    <row r="365" spans="1:3">
      <c r="A365" s="193" t="s">
        <v>1058</v>
      </c>
      <c r="B365" s="193"/>
      <c r="C365" s="193"/>
    </row>
    <row r="366" spans="1:3">
      <c r="A366" s="193" t="s">
        <v>653</v>
      </c>
      <c r="B366" s="193"/>
      <c r="C366" s="193"/>
    </row>
    <row r="367" spans="1:3">
      <c r="A367" s="193" t="s">
        <v>649</v>
      </c>
      <c r="B367" s="193" t="s">
        <v>986</v>
      </c>
      <c r="C367" s="193"/>
    </row>
    <row r="368" spans="1:3">
      <c r="A368" s="193" t="s">
        <v>649</v>
      </c>
      <c r="B368" s="193" t="s">
        <v>802</v>
      </c>
      <c r="C368" s="193" t="s">
        <v>986</v>
      </c>
    </row>
    <row r="369" spans="1:3">
      <c r="A369" s="193" t="s">
        <v>654</v>
      </c>
      <c r="B369" s="193"/>
      <c r="C369" s="193"/>
    </row>
    <row r="370" spans="1:3">
      <c r="A370" s="193" t="s">
        <v>649</v>
      </c>
      <c r="B370" s="193" t="s">
        <v>1016</v>
      </c>
      <c r="C370" s="193"/>
    </row>
    <row r="371" spans="1:3">
      <c r="A371" s="193" t="s">
        <v>649</v>
      </c>
      <c r="B371" s="193" t="s">
        <v>800</v>
      </c>
      <c r="C371" s="193" t="s">
        <v>1017</v>
      </c>
    </row>
    <row r="372" spans="1:3">
      <c r="A372" s="193" t="s">
        <v>649</v>
      </c>
      <c r="B372" s="193" t="s">
        <v>1037</v>
      </c>
      <c r="C372" s="193" t="s">
        <v>654</v>
      </c>
    </row>
    <row r="373" spans="1:3">
      <c r="A373" s="193" t="s">
        <v>1005</v>
      </c>
      <c r="B373" s="193" t="s">
        <v>649</v>
      </c>
      <c r="C373" s="193" t="s">
        <v>986</v>
      </c>
    </row>
    <row r="374" spans="1:3">
      <c r="A374" s="193" t="s">
        <v>651</v>
      </c>
      <c r="B374" s="193"/>
      <c r="C374" s="193"/>
    </row>
    <row r="375" spans="1:3">
      <c r="A375" s="193" t="s">
        <v>649</v>
      </c>
      <c r="B375" s="193" t="s">
        <v>651</v>
      </c>
      <c r="C375" s="193"/>
    </row>
    <row r="376" spans="1:3">
      <c r="A376" s="193" t="s">
        <v>649</v>
      </c>
      <c r="B376" s="193" t="s">
        <v>654</v>
      </c>
      <c r="C376" s="193"/>
    </row>
    <row r="377" spans="1:3">
      <c r="A377" s="193" t="s">
        <v>803</v>
      </c>
      <c r="B377" s="193" t="s">
        <v>654</v>
      </c>
      <c r="C377" s="193" t="s">
        <v>649</v>
      </c>
    </row>
    <row r="378" spans="1:3">
      <c r="A378" s="193" t="s">
        <v>1059</v>
      </c>
      <c r="B378" s="193"/>
      <c r="C378" s="193"/>
    </row>
    <row r="379" spans="1:3">
      <c r="A379" s="193" t="s">
        <v>649</v>
      </c>
      <c r="B379" s="193" t="s">
        <v>1000</v>
      </c>
      <c r="C379" s="193"/>
    </row>
    <row r="380" spans="1:3">
      <c r="A380" s="193" t="s">
        <v>649</v>
      </c>
      <c r="B380" s="193" t="s">
        <v>986</v>
      </c>
      <c r="C380" s="193"/>
    </row>
    <row r="381" spans="1:3">
      <c r="A381" s="193" t="s">
        <v>649</v>
      </c>
      <c r="B381" s="193" t="s">
        <v>986</v>
      </c>
      <c r="C381" s="193" t="s">
        <v>659</v>
      </c>
    </row>
    <row r="382" spans="1:3">
      <c r="A382" s="193" t="s">
        <v>649</v>
      </c>
      <c r="B382" s="193"/>
      <c r="C382" s="193"/>
    </row>
    <row r="383" spans="1:3">
      <c r="A383" s="193" t="s">
        <v>649</v>
      </c>
      <c r="B383" s="193" t="s">
        <v>994</v>
      </c>
      <c r="C383" s="193" t="s">
        <v>999</v>
      </c>
    </row>
    <row r="384" spans="1:3">
      <c r="A384" s="193" t="s">
        <v>649</v>
      </c>
      <c r="B384" s="193"/>
      <c r="C384" s="193"/>
    </row>
    <row r="385" spans="1:3">
      <c r="A385" s="193" t="s">
        <v>659</v>
      </c>
      <c r="B385" s="193"/>
      <c r="C385" s="193"/>
    </row>
    <row r="386" spans="1:3">
      <c r="A386" s="193" t="s">
        <v>649</v>
      </c>
      <c r="B386" s="193" t="s">
        <v>986</v>
      </c>
      <c r="C386" s="193" t="s">
        <v>800</v>
      </c>
    </row>
    <row r="387" spans="1:3">
      <c r="A387" s="193" t="s">
        <v>649</v>
      </c>
      <c r="B387" s="193"/>
      <c r="C387" s="193"/>
    </row>
    <row r="388" spans="1:3">
      <c r="A388" s="193" t="s">
        <v>1016</v>
      </c>
      <c r="B388" s="193" t="s">
        <v>649</v>
      </c>
      <c r="C388" s="193"/>
    </row>
    <row r="389" spans="1:3">
      <c r="A389" s="193" t="s">
        <v>649</v>
      </c>
      <c r="B389" s="193" t="s">
        <v>800</v>
      </c>
      <c r="C389" s="193" t="s">
        <v>987</v>
      </c>
    </row>
    <row r="390" spans="1:3">
      <c r="A390" s="193" t="s">
        <v>649</v>
      </c>
      <c r="B390" s="193" t="s">
        <v>986</v>
      </c>
      <c r="C390" s="193" t="s">
        <v>652</v>
      </c>
    </row>
    <row r="391" spans="1:3">
      <c r="A391" s="193" t="s">
        <v>800</v>
      </c>
      <c r="B391" s="193"/>
      <c r="C391" s="193"/>
    </row>
    <row r="392" spans="1:3">
      <c r="A392" s="193" t="s">
        <v>656</v>
      </c>
      <c r="B392" s="193"/>
      <c r="C392" s="193"/>
    </row>
    <row r="393" spans="1:3">
      <c r="A393" s="193" t="s">
        <v>649</v>
      </c>
      <c r="B393" s="193" t="s">
        <v>802</v>
      </c>
      <c r="C393" s="193" t="s">
        <v>1060</v>
      </c>
    </row>
    <row r="394" spans="1:3">
      <c r="A394" s="193" t="s">
        <v>649</v>
      </c>
      <c r="B394" s="193" t="s">
        <v>651</v>
      </c>
      <c r="C394" s="193"/>
    </row>
    <row r="395" spans="1:3">
      <c r="A395" s="193" t="s">
        <v>657</v>
      </c>
      <c r="B395" s="193" t="s">
        <v>654</v>
      </c>
      <c r="C395" s="193"/>
    </row>
    <row r="396" spans="1:3">
      <c r="A396" s="193" t="s">
        <v>649</v>
      </c>
      <c r="B396" s="193" t="s">
        <v>654</v>
      </c>
      <c r="C396" s="193"/>
    </row>
    <row r="397" spans="1:3">
      <c r="A397" s="193" t="s">
        <v>649</v>
      </c>
      <c r="B397" s="193" t="s">
        <v>1019</v>
      </c>
      <c r="C397" s="193"/>
    </row>
    <row r="398" spans="1:3">
      <c r="A398" s="193" t="s">
        <v>657</v>
      </c>
      <c r="B398" s="193"/>
      <c r="C398" s="193"/>
    </row>
    <row r="399" spans="1:3">
      <c r="A399" s="193" t="s">
        <v>654</v>
      </c>
      <c r="B399" s="193" t="s">
        <v>649</v>
      </c>
      <c r="C399" s="193"/>
    </row>
    <row r="400" spans="1:3">
      <c r="A400" s="193" t="s">
        <v>649</v>
      </c>
      <c r="B400" s="193" t="s">
        <v>986</v>
      </c>
      <c r="C400" s="193" t="s">
        <v>655</v>
      </c>
    </row>
    <row r="401" spans="1:3">
      <c r="A401" s="193" t="s">
        <v>654</v>
      </c>
      <c r="B401" s="193" t="s">
        <v>649</v>
      </c>
      <c r="C401" s="193"/>
    </row>
    <row r="402" spans="1:3">
      <c r="A402" s="193" t="s">
        <v>1032</v>
      </c>
      <c r="B402" s="193"/>
      <c r="C402" s="193"/>
    </row>
    <row r="403" spans="1:3">
      <c r="A403" s="193" t="s">
        <v>649</v>
      </c>
      <c r="B403" s="193" t="s">
        <v>986</v>
      </c>
      <c r="C403" s="193" t="s">
        <v>1061</v>
      </c>
    </row>
    <row r="404" spans="1:3">
      <c r="A404" s="193" t="s">
        <v>1062</v>
      </c>
      <c r="B404" s="193" t="s">
        <v>654</v>
      </c>
      <c r="C404" s="193" t="s">
        <v>999</v>
      </c>
    </row>
    <row r="405" spans="1:3">
      <c r="A405" s="193" t="s">
        <v>655</v>
      </c>
      <c r="B405" s="193" t="s">
        <v>654</v>
      </c>
      <c r="C405" s="193"/>
    </row>
    <row r="406" spans="1:3">
      <c r="A406" s="193" t="s">
        <v>649</v>
      </c>
      <c r="B406" s="193"/>
      <c r="C406" s="193"/>
    </row>
    <row r="407" spans="1:3">
      <c r="A407" s="193" t="s">
        <v>1007</v>
      </c>
      <c r="B407" s="193" t="s">
        <v>1000</v>
      </c>
      <c r="C407" s="193"/>
    </row>
    <row r="408" spans="1:3">
      <c r="A408" s="193" t="s">
        <v>649</v>
      </c>
      <c r="B408" s="193" t="s">
        <v>653</v>
      </c>
      <c r="C408" s="193"/>
    </row>
    <row r="409" spans="1:3">
      <c r="A409" s="193" t="s">
        <v>1006</v>
      </c>
      <c r="B409" s="193" t="s">
        <v>800</v>
      </c>
      <c r="C409" s="193" t="s">
        <v>654</v>
      </c>
    </row>
    <row r="410" spans="1:3">
      <c r="A410" s="193" t="s">
        <v>654</v>
      </c>
      <c r="B410" s="193" t="s">
        <v>1063</v>
      </c>
      <c r="C410" s="193"/>
    </row>
    <row r="411" spans="1:3">
      <c r="A411" s="193" t="s">
        <v>649</v>
      </c>
      <c r="B411" s="193"/>
      <c r="C411" s="193"/>
    </row>
    <row r="412" spans="1:3">
      <c r="A412" s="193" t="s">
        <v>659</v>
      </c>
      <c r="B412" s="193" t="s">
        <v>657</v>
      </c>
      <c r="C412" s="193"/>
    </row>
    <row r="413" spans="1:3">
      <c r="A413" s="193" t="s">
        <v>654</v>
      </c>
      <c r="B413" s="193" t="s">
        <v>659</v>
      </c>
      <c r="C413" s="193"/>
    </row>
    <row r="414" spans="1:3">
      <c r="A414" s="193" t="s">
        <v>649</v>
      </c>
      <c r="B414" s="193" t="s">
        <v>654</v>
      </c>
      <c r="C414" s="193" t="s">
        <v>659</v>
      </c>
    </row>
    <row r="415" spans="1:3">
      <c r="A415" s="193" t="s">
        <v>652</v>
      </c>
      <c r="B415" s="193" t="s">
        <v>654</v>
      </c>
      <c r="C415" s="193"/>
    </row>
    <row r="416" spans="1:3">
      <c r="A416" s="193" t="s">
        <v>993</v>
      </c>
      <c r="B416" s="193" t="s">
        <v>1064</v>
      </c>
      <c r="C416" s="193" t="s">
        <v>1023</v>
      </c>
    </row>
    <row r="417" spans="1:3">
      <c r="A417" s="193" t="s">
        <v>654</v>
      </c>
      <c r="B417" s="193" t="s">
        <v>659</v>
      </c>
      <c r="C417" s="193" t="s">
        <v>649</v>
      </c>
    </row>
    <row r="418" spans="1:3">
      <c r="A418" s="193" t="s">
        <v>659</v>
      </c>
      <c r="B418" s="193" t="s">
        <v>649</v>
      </c>
      <c r="C418" s="193" t="s">
        <v>654</v>
      </c>
    </row>
    <row r="419" spans="1:3">
      <c r="A419" s="193" t="s">
        <v>654</v>
      </c>
      <c r="B419" s="193" t="s">
        <v>649</v>
      </c>
      <c r="C419" s="193" t="s">
        <v>651</v>
      </c>
    </row>
    <row r="420" spans="1:3">
      <c r="A420" s="193" t="s">
        <v>654</v>
      </c>
      <c r="B420" s="193" t="s">
        <v>649</v>
      </c>
      <c r="C420" s="193" t="s">
        <v>651</v>
      </c>
    </row>
    <row r="421" spans="1:3">
      <c r="A421" s="193" t="s">
        <v>649</v>
      </c>
      <c r="B421" s="193"/>
      <c r="C421" s="193"/>
    </row>
    <row r="422" spans="1:3">
      <c r="A422" s="193" t="s">
        <v>656</v>
      </c>
      <c r="B422" s="193" t="s">
        <v>649</v>
      </c>
      <c r="C422" s="193" t="s">
        <v>651</v>
      </c>
    </row>
    <row r="423" spans="1:3">
      <c r="A423" s="193" t="s">
        <v>649</v>
      </c>
      <c r="B423" s="193"/>
      <c r="C423" s="193"/>
    </row>
    <row r="424" spans="1:3">
      <c r="A424" s="193" t="s">
        <v>649</v>
      </c>
      <c r="B424" s="193" t="s">
        <v>654</v>
      </c>
      <c r="C424" s="193" t="s">
        <v>652</v>
      </c>
    </row>
    <row r="425" spans="1:3">
      <c r="A425" s="193" t="s">
        <v>649</v>
      </c>
      <c r="B425" s="193" t="s">
        <v>986</v>
      </c>
      <c r="C425" s="193" t="s">
        <v>1065</v>
      </c>
    </row>
    <row r="426" spans="1:3">
      <c r="A426" s="193" t="s">
        <v>649</v>
      </c>
      <c r="B426" s="193" t="s">
        <v>654</v>
      </c>
      <c r="C426" s="193"/>
    </row>
    <row r="427" spans="1:3">
      <c r="A427" s="193" t="s">
        <v>649</v>
      </c>
      <c r="B427" s="193" t="s">
        <v>654</v>
      </c>
      <c r="C427" s="193" t="s">
        <v>653</v>
      </c>
    </row>
    <row r="428" spans="1:3">
      <c r="A428" s="193" t="s">
        <v>1000</v>
      </c>
      <c r="B428" s="193" t="s">
        <v>654</v>
      </c>
      <c r="C428" s="193"/>
    </row>
    <row r="429" spans="1:3">
      <c r="A429" s="193" t="s">
        <v>1063</v>
      </c>
      <c r="B429" s="193" t="s">
        <v>1066</v>
      </c>
      <c r="C429" s="193"/>
    </row>
    <row r="430" spans="1:3">
      <c r="A430" s="193" t="s">
        <v>987</v>
      </c>
      <c r="B430" s="193"/>
      <c r="C430" s="193"/>
    </row>
    <row r="431" spans="1:3">
      <c r="A431" s="193" t="s">
        <v>649</v>
      </c>
      <c r="B431" s="193" t="s">
        <v>1067</v>
      </c>
      <c r="C431" s="193" t="s">
        <v>1068</v>
      </c>
    </row>
    <row r="432" spans="1:3">
      <c r="A432" s="193" t="s">
        <v>649</v>
      </c>
      <c r="B432" s="193" t="s">
        <v>986</v>
      </c>
      <c r="C432" s="193" t="s">
        <v>654</v>
      </c>
    </row>
    <row r="433" spans="1:3">
      <c r="A433" s="193" t="s">
        <v>649</v>
      </c>
      <c r="B433" s="193" t="s">
        <v>654</v>
      </c>
      <c r="C433" s="193"/>
    </row>
    <row r="434" spans="1:3">
      <c r="A434" s="193" t="s">
        <v>652</v>
      </c>
      <c r="B434" s="193" t="s">
        <v>656</v>
      </c>
      <c r="C434" s="193" t="s">
        <v>651</v>
      </c>
    </row>
    <row r="435" spans="1:3">
      <c r="A435" s="193" t="s">
        <v>649</v>
      </c>
      <c r="B435" s="193" t="s">
        <v>654</v>
      </c>
      <c r="C435" s="193"/>
    </row>
    <row r="436" spans="1:3">
      <c r="A436" s="193" t="s">
        <v>649</v>
      </c>
      <c r="B436" s="193" t="s">
        <v>986</v>
      </c>
      <c r="C436" s="193"/>
    </row>
    <row r="437" spans="1:3">
      <c r="A437" s="193" t="s">
        <v>1069</v>
      </c>
      <c r="B437" s="193"/>
      <c r="C437" s="193"/>
    </row>
    <row r="438" spans="1:3">
      <c r="A438" s="193" t="s">
        <v>986</v>
      </c>
      <c r="B438" s="193"/>
      <c r="C438" s="193"/>
    </row>
    <row r="439" spans="1:3">
      <c r="A439" s="193" t="s">
        <v>649</v>
      </c>
      <c r="B439" s="193" t="s">
        <v>989</v>
      </c>
      <c r="C439" s="193"/>
    </row>
    <row r="440" spans="1:3">
      <c r="A440" s="193" t="s">
        <v>649</v>
      </c>
      <c r="B440" s="193" t="s">
        <v>653</v>
      </c>
      <c r="C440" s="193"/>
    </row>
    <row r="441" spans="1:3">
      <c r="A441" s="193" t="s">
        <v>653</v>
      </c>
      <c r="B441" s="193" t="s">
        <v>652</v>
      </c>
      <c r="C441" s="193" t="s">
        <v>651</v>
      </c>
    </row>
    <row r="442" spans="1:3">
      <c r="A442" s="193" t="s">
        <v>654</v>
      </c>
      <c r="B442" s="193"/>
      <c r="C442" s="193"/>
    </row>
    <row r="443" spans="1:3">
      <c r="A443" s="193" t="s">
        <v>657</v>
      </c>
      <c r="B443" s="193" t="s">
        <v>1000</v>
      </c>
      <c r="C443" s="193" t="s">
        <v>1070</v>
      </c>
    </row>
    <row r="444" spans="1:3">
      <c r="A444" s="193" t="s">
        <v>1033</v>
      </c>
      <c r="B444" s="193" t="s">
        <v>649</v>
      </c>
      <c r="C444" s="193"/>
    </row>
    <row r="445" spans="1:3">
      <c r="A445" s="193" t="s">
        <v>649</v>
      </c>
      <c r="B445" s="193" t="s">
        <v>986</v>
      </c>
      <c r="C445" s="193" t="s">
        <v>800</v>
      </c>
    </row>
    <row r="446" spans="1:3">
      <c r="A446" s="193" t="s">
        <v>1007</v>
      </c>
      <c r="B446" s="193" t="s">
        <v>1005</v>
      </c>
      <c r="C446" s="193" t="s">
        <v>654</v>
      </c>
    </row>
    <row r="447" spans="1:3">
      <c r="A447" s="193" t="s">
        <v>657</v>
      </c>
      <c r="B447" s="193" t="s">
        <v>653</v>
      </c>
      <c r="C447" s="193" t="s">
        <v>651</v>
      </c>
    </row>
    <row r="448" spans="1:3">
      <c r="A448" s="193" t="s">
        <v>649</v>
      </c>
      <c r="B448" s="193"/>
      <c r="C448" s="193"/>
    </row>
    <row r="449" spans="1:3">
      <c r="A449" s="193" t="s">
        <v>800</v>
      </c>
      <c r="B449" s="193" t="s">
        <v>986</v>
      </c>
      <c r="C449" s="193" t="s">
        <v>649</v>
      </c>
    </row>
    <row r="450" spans="1:3">
      <c r="A450" s="193" t="s">
        <v>986</v>
      </c>
      <c r="B450" s="193"/>
      <c r="C450" s="193"/>
    </row>
    <row r="451" spans="1:3">
      <c r="A451" s="193" t="s">
        <v>656</v>
      </c>
      <c r="B451" s="193"/>
      <c r="C451" s="193"/>
    </row>
    <row r="452" spans="1:3">
      <c r="A452" s="193" t="s">
        <v>649</v>
      </c>
      <c r="B452" s="193" t="s">
        <v>1007</v>
      </c>
      <c r="C452" s="193" t="s">
        <v>994</v>
      </c>
    </row>
    <row r="453" spans="1:3">
      <c r="A453" s="193" t="s">
        <v>986</v>
      </c>
      <c r="B453" s="193" t="s">
        <v>649</v>
      </c>
      <c r="C453" s="193"/>
    </row>
    <row r="454" spans="1:3">
      <c r="A454" s="193" t="s">
        <v>649</v>
      </c>
      <c r="B454" s="193" t="s">
        <v>1019</v>
      </c>
      <c r="C454" s="193" t="s">
        <v>653</v>
      </c>
    </row>
    <row r="455" spans="1:3">
      <c r="A455" s="193" t="s">
        <v>649</v>
      </c>
      <c r="B455" s="193" t="s">
        <v>986</v>
      </c>
      <c r="C455" s="193" t="s">
        <v>659</v>
      </c>
    </row>
    <row r="456" spans="1:3">
      <c r="A456" s="193" t="s">
        <v>986</v>
      </c>
      <c r="B456" s="193" t="s">
        <v>659</v>
      </c>
      <c r="C456" s="193" t="s">
        <v>649</v>
      </c>
    </row>
    <row r="457" spans="1:3">
      <c r="A457" s="193" t="s">
        <v>649</v>
      </c>
      <c r="B457" s="193" t="s">
        <v>658</v>
      </c>
      <c r="C457" s="193"/>
    </row>
    <row r="458" spans="1:3">
      <c r="A458" s="193" t="s">
        <v>986</v>
      </c>
      <c r="B458" s="193" t="s">
        <v>654</v>
      </c>
      <c r="C458" s="193" t="s">
        <v>649</v>
      </c>
    </row>
    <row r="459" spans="1:3">
      <c r="A459" s="193" t="s">
        <v>649</v>
      </c>
      <c r="B459" s="193" t="s">
        <v>986</v>
      </c>
      <c r="C459" s="193" t="s">
        <v>651</v>
      </c>
    </row>
    <row r="460" spans="1:3">
      <c r="A460" s="193" t="s">
        <v>649</v>
      </c>
      <c r="B460" s="193" t="s">
        <v>986</v>
      </c>
      <c r="C460" s="193" t="s">
        <v>654</v>
      </c>
    </row>
    <row r="461" spans="1:3">
      <c r="A461" s="193" t="s">
        <v>654</v>
      </c>
      <c r="B461" s="193"/>
      <c r="C461" s="193"/>
    </row>
    <row r="462" spans="1:3">
      <c r="A462" s="193" t="s">
        <v>649</v>
      </c>
      <c r="B462" s="193" t="s">
        <v>1013</v>
      </c>
      <c r="C462" s="193" t="s">
        <v>987</v>
      </c>
    </row>
    <row r="463" spans="1:3">
      <c r="A463" s="193" t="s">
        <v>649</v>
      </c>
      <c r="B463" s="193" t="s">
        <v>653</v>
      </c>
      <c r="C463" s="193"/>
    </row>
    <row r="464" spans="1:3">
      <c r="A464" s="193" t="s">
        <v>659</v>
      </c>
      <c r="B464" s="193"/>
      <c r="C464" s="193"/>
    </row>
    <row r="465" spans="1:3">
      <c r="A465" s="193" t="s">
        <v>649</v>
      </c>
      <c r="B465" s="193"/>
      <c r="C465" s="193"/>
    </row>
    <row r="466" spans="1:3">
      <c r="A466" s="193" t="s">
        <v>649</v>
      </c>
      <c r="B466" s="193" t="s">
        <v>653</v>
      </c>
      <c r="C466" s="193" t="s">
        <v>800</v>
      </c>
    </row>
    <row r="467" spans="1:3">
      <c r="A467" s="193" t="s">
        <v>649</v>
      </c>
      <c r="B467" s="193" t="s">
        <v>651</v>
      </c>
      <c r="C467" s="193" t="s">
        <v>653</v>
      </c>
    </row>
    <row r="468" spans="1:3">
      <c r="A468" s="193" t="s">
        <v>986</v>
      </c>
      <c r="B468" s="193" t="s">
        <v>803</v>
      </c>
      <c r="C468" s="193"/>
    </row>
    <row r="469" spans="1:3">
      <c r="A469" s="193" t="s">
        <v>659</v>
      </c>
      <c r="B469" s="193" t="s">
        <v>994</v>
      </c>
      <c r="C469" s="193" t="s">
        <v>1007</v>
      </c>
    </row>
    <row r="470" spans="1:3">
      <c r="A470" s="193" t="s">
        <v>649</v>
      </c>
      <c r="B470" s="193"/>
      <c r="C470" s="193"/>
    </row>
    <row r="471" spans="1:3">
      <c r="A471" s="193" t="s">
        <v>649</v>
      </c>
      <c r="B471" s="193"/>
      <c r="C471" s="193"/>
    </row>
    <row r="472" spans="1:3">
      <c r="A472" s="193" t="s">
        <v>656</v>
      </c>
      <c r="B472" s="193" t="s">
        <v>652</v>
      </c>
      <c r="C472" s="193" t="s">
        <v>651</v>
      </c>
    </row>
    <row r="473" spans="1:3">
      <c r="A473" s="193" t="s">
        <v>649</v>
      </c>
      <c r="B473" s="193"/>
      <c r="C473" s="193"/>
    </row>
    <row r="474" spans="1:3">
      <c r="A474" s="193" t="s">
        <v>651</v>
      </c>
      <c r="B474" s="193"/>
      <c r="C474" s="193"/>
    </row>
    <row r="475" spans="1:3">
      <c r="A475" s="193" t="s">
        <v>649</v>
      </c>
      <c r="B475" s="193"/>
      <c r="C475" s="193"/>
    </row>
    <row r="476" spans="1:3">
      <c r="A476" s="193" t="s">
        <v>653</v>
      </c>
      <c r="B476" s="193"/>
      <c r="C476" s="193"/>
    </row>
    <row r="477" spans="1:3">
      <c r="A477" s="193" t="s">
        <v>651</v>
      </c>
      <c r="B477" s="193" t="s">
        <v>649</v>
      </c>
      <c r="C477" s="193" t="s">
        <v>659</v>
      </c>
    </row>
    <row r="478" spans="1:3">
      <c r="A478" s="193" t="s">
        <v>649</v>
      </c>
      <c r="B478" s="193" t="s">
        <v>653</v>
      </c>
      <c r="C478" s="193"/>
    </row>
    <row r="479" spans="1:3">
      <c r="A479" s="193" t="s">
        <v>800</v>
      </c>
      <c r="B479" s="193" t="s">
        <v>1010</v>
      </c>
      <c r="C479" s="193" t="s">
        <v>652</v>
      </c>
    </row>
    <row r="480" spans="1:3">
      <c r="A480" s="193" t="s">
        <v>649</v>
      </c>
      <c r="B480" s="193" t="s">
        <v>1071</v>
      </c>
      <c r="C480" s="193" t="s">
        <v>1072</v>
      </c>
    </row>
    <row r="481" spans="1:3">
      <c r="A481" s="193" t="s">
        <v>659</v>
      </c>
      <c r="B481" s="193" t="s">
        <v>653</v>
      </c>
      <c r="C481" s="193"/>
    </row>
    <row r="482" spans="1:3">
      <c r="A482" s="193" t="s">
        <v>649</v>
      </c>
      <c r="B482" s="193" t="s">
        <v>986</v>
      </c>
      <c r="C482" s="193" t="s">
        <v>654</v>
      </c>
    </row>
    <row r="483" spans="1:3">
      <c r="A483" s="193" t="s">
        <v>649</v>
      </c>
      <c r="B483" s="193" t="s">
        <v>654</v>
      </c>
      <c r="C483" s="193"/>
    </row>
    <row r="484" spans="1:3">
      <c r="A484" s="193" t="s">
        <v>992</v>
      </c>
      <c r="B484" s="193"/>
      <c r="C484" s="193"/>
    </row>
    <row r="485" spans="1:3">
      <c r="A485" s="193" t="s">
        <v>649</v>
      </c>
      <c r="B485" s="193" t="s">
        <v>654</v>
      </c>
      <c r="C485" s="193" t="s">
        <v>800</v>
      </c>
    </row>
    <row r="486" spans="1:3">
      <c r="A486" s="193" t="s">
        <v>653</v>
      </c>
      <c r="B486" s="193"/>
      <c r="C486" s="193"/>
    </row>
    <row r="487" spans="1:3">
      <c r="A487" s="193" t="s">
        <v>653</v>
      </c>
      <c r="B487" s="193" t="s">
        <v>655</v>
      </c>
      <c r="C487" s="193" t="s">
        <v>659</v>
      </c>
    </row>
    <row r="488" spans="1:3">
      <c r="A488" s="193" t="s">
        <v>649</v>
      </c>
      <c r="B488" s="193"/>
      <c r="C488" s="193"/>
    </row>
    <row r="489" spans="1:3">
      <c r="A489" s="193" t="s">
        <v>986</v>
      </c>
      <c r="B489" s="193" t="s">
        <v>649</v>
      </c>
      <c r="C489" s="193" t="s">
        <v>651</v>
      </c>
    </row>
    <row r="490" spans="1:3">
      <c r="A490" s="193" t="s">
        <v>986</v>
      </c>
      <c r="B490" s="193" t="s">
        <v>654</v>
      </c>
      <c r="C490" s="193" t="s">
        <v>653</v>
      </c>
    </row>
    <row r="491" spans="1:3">
      <c r="A491" s="193" t="s">
        <v>659</v>
      </c>
      <c r="B491" s="193" t="s">
        <v>649</v>
      </c>
      <c r="C491" s="193" t="s">
        <v>654</v>
      </c>
    </row>
    <row r="492" spans="1:3">
      <c r="A492" s="193" t="s">
        <v>655</v>
      </c>
      <c r="B492" s="193" t="s">
        <v>649</v>
      </c>
      <c r="C492" s="193" t="s">
        <v>987</v>
      </c>
    </row>
    <row r="493" spans="1:3">
      <c r="A493" s="193" t="s">
        <v>649</v>
      </c>
      <c r="B493" s="193" t="s">
        <v>654</v>
      </c>
      <c r="C493" s="193" t="s">
        <v>800</v>
      </c>
    </row>
    <row r="494" spans="1:3">
      <c r="A494" s="193" t="s">
        <v>649</v>
      </c>
      <c r="B494" s="193" t="s">
        <v>654</v>
      </c>
      <c r="C494" s="193" t="s">
        <v>659</v>
      </c>
    </row>
    <row r="495" spans="1:3">
      <c r="A495" s="193" t="s">
        <v>649</v>
      </c>
      <c r="B495" s="193"/>
      <c r="C495" s="193"/>
    </row>
    <row r="496" spans="1:3">
      <c r="A496" s="193" t="s">
        <v>649</v>
      </c>
      <c r="B496" s="193"/>
      <c r="C496" s="193"/>
    </row>
    <row r="497" spans="1:3">
      <c r="A497" s="193" t="s">
        <v>649</v>
      </c>
      <c r="B497" s="193"/>
      <c r="C497" s="193"/>
    </row>
    <row r="498" spans="1:3">
      <c r="A498" s="193" t="s">
        <v>1073</v>
      </c>
      <c r="B498" s="193"/>
      <c r="C498" s="193"/>
    </row>
    <row r="499" spans="1:3">
      <c r="A499" s="193" t="s">
        <v>656</v>
      </c>
      <c r="B499" s="193" t="s">
        <v>649</v>
      </c>
      <c r="C499" s="193" t="s">
        <v>986</v>
      </c>
    </row>
    <row r="500" spans="1:3">
      <c r="A500" s="193" t="s">
        <v>649</v>
      </c>
      <c r="B500" s="193"/>
      <c r="C500" s="193"/>
    </row>
    <row r="501" spans="1:3">
      <c r="A501" s="193" t="s">
        <v>653</v>
      </c>
      <c r="B501" s="193"/>
      <c r="C501" s="193"/>
    </row>
    <row r="502" spans="1:3">
      <c r="A502" s="193" t="s">
        <v>649</v>
      </c>
      <c r="B502" s="193" t="s">
        <v>658</v>
      </c>
      <c r="C502" s="193" t="s">
        <v>802</v>
      </c>
    </row>
    <row r="503" spans="1:3">
      <c r="A503" s="193" t="s">
        <v>649</v>
      </c>
      <c r="B503" s="193"/>
      <c r="C503" s="193"/>
    </row>
    <row r="504" spans="1:3">
      <c r="A504" s="193" t="s">
        <v>649</v>
      </c>
      <c r="B504" s="193"/>
      <c r="C504" s="193"/>
    </row>
    <row r="505" spans="1:3">
      <c r="A505" s="193" t="s">
        <v>649</v>
      </c>
      <c r="B505" s="193"/>
      <c r="C505" s="193"/>
    </row>
    <row r="506" spans="1:3">
      <c r="A506" s="193" t="s">
        <v>649</v>
      </c>
      <c r="B506" s="193" t="s">
        <v>655</v>
      </c>
      <c r="C506" s="193"/>
    </row>
    <row r="507" spans="1:3">
      <c r="A507" s="193" t="s">
        <v>657</v>
      </c>
      <c r="B507" s="193" t="s">
        <v>654</v>
      </c>
      <c r="C507" s="193"/>
    </row>
    <row r="508" spans="1:3">
      <c r="A508" s="193" t="s">
        <v>649</v>
      </c>
      <c r="B508" s="193" t="s">
        <v>658</v>
      </c>
      <c r="C508" s="193" t="s">
        <v>802</v>
      </c>
    </row>
    <row r="509" spans="1:3">
      <c r="A509" s="193" t="s">
        <v>649</v>
      </c>
      <c r="B509" s="193" t="s">
        <v>986</v>
      </c>
      <c r="C509" s="193" t="s">
        <v>654</v>
      </c>
    </row>
    <row r="510" spans="1:3">
      <c r="A510" s="193" t="s">
        <v>649</v>
      </c>
      <c r="B510" s="193" t="s">
        <v>654</v>
      </c>
      <c r="C510" s="193" t="s">
        <v>1017</v>
      </c>
    </row>
    <row r="511" spans="1:3">
      <c r="A511" s="193" t="s">
        <v>653</v>
      </c>
      <c r="B511" s="193"/>
      <c r="C511" s="193"/>
    </row>
    <row r="512" spans="1:3">
      <c r="A512" s="193" t="s">
        <v>649</v>
      </c>
      <c r="B512" s="193" t="s">
        <v>654</v>
      </c>
      <c r="C512" s="193" t="s">
        <v>986</v>
      </c>
    </row>
    <row r="513" spans="1:3">
      <c r="A513" s="193" t="s">
        <v>649</v>
      </c>
      <c r="B513" s="193" t="s">
        <v>986</v>
      </c>
      <c r="C513" s="193"/>
    </row>
    <row r="514" spans="1:3">
      <c r="A514" s="193" t="s">
        <v>649</v>
      </c>
      <c r="B514" s="193" t="s">
        <v>659</v>
      </c>
      <c r="C514" s="193"/>
    </row>
    <row r="515" spans="1:3">
      <c r="A515" s="193" t="s">
        <v>651</v>
      </c>
      <c r="B515" s="193" t="s">
        <v>999</v>
      </c>
      <c r="C515" s="193" t="s">
        <v>1005</v>
      </c>
    </row>
    <row r="516" spans="1:3">
      <c r="A516" s="193" t="s">
        <v>657</v>
      </c>
      <c r="B516" s="193" t="s">
        <v>654</v>
      </c>
      <c r="C516" s="193" t="s">
        <v>659</v>
      </c>
    </row>
    <row r="517" spans="1:3">
      <c r="A517" s="193" t="s">
        <v>658</v>
      </c>
      <c r="B517" s="193" t="s">
        <v>1000</v>
      </c>
      <c r="C517" s="193" t="s">
        <v>1006</v>
      </c>
    </row>
    <row r="518" spans="1:3">
      <c r="A518" s="193" t="s">
        <v>659</v>
      </c>
      <c r="B518" s="193"/>
      <c r="C518" s="193"/>
    </row>
    <row r="519" spans="1:3">
      <c r="A519" s="193" t="s">
        <v>649</v>
      </c>
      <c r="B519" s="193" t="s">
        <v>653</v>
      </c>
      <c r="C519" s="193" t="s">
        <v>989</v>
      </c>
    </row>
    <row r="520" spans="1:3">
      <c r="A520" s="193" t="s">
        <v>993</v>
      </c>
      <c r="B520" s="193"/>
      <c r="C520" s="193"/>
    </row>
    <row r="521" spans="1:3">
      <c r="A521" s="193" t="s">
        <v>659</v>
      </c>
      <c r="B521" s="193" t="s">
        <v>653</v>
      </c>
      <c r="C521" s="193"/>
    </row>
    <row r="522" spans="1:3">
      <c r="A522" s="193" t="s">
        <v>649</v>
      </c>
      <c r="B522" s="193" t="s">
        <v>986</v>
      </c>
      <c r="C522" s="193" t="s">
        <v>653</v>
      </c>
    </row>
    <row r="523" spans="1:3">
      <c r="A523" s="193" t="s">
        <v>1006</v>
      </c>
      <c r="B523" s="193" t="s">
        <v>656</v>
      </c>
      <c r="C523" s="193"/>
    </row>
    <row r="524" spans="1:3">
      <c r="A524" s="193" t="s">
        <v>1074</v>
      </c>
      <c r="B524" s="193"/>
      <c r="C524" s="193"/>
    </row>
    <row r="525" spans="1:3">
      <c r="A525" s="193" t="s">
        <v>655</v>
      </c>
      <c r="B525" s="193" t="s">
        <v>649</v>
      </c>
      <c r="C525" s="193"/>
    </row>
    <row r="526" spans="1:3">
      <c r="A526" s="193" t="s">
        <v>657</v>
      </c>
      <c r="B526" s="193"/>
      <c r="C526" s="193"/>
    </row>
    <row r="527" spans="1:3">
      <c r="A527" s="193" t="s">
        <v>1010</v>
      </c>
      <c r="B527" s="193"/>
      <c r="C527" s="193"/>
    </row>
    <row r="528" spans="1:3">
      <c r="A528" s="193" t="s">
        <v>649</v>
      </c>
      <c r="B528" s="193" t="s">
        <v>986</v>
      </c>
      <c r="C528" s="193"/>
    </row>
    <row r="529" spans="1:3">
      <c r="A529" s="193" t="s">
        <v>649</v>
      </c>
      <c r="B529" s="193" t="s">
        <v>659</v>
      </c>
      <c r="C529" s="193"/>
    </row>
    <row r="530" spans="1:3">
      <c r="A530" s="193" t="s">
        <v>1006</v>
      </c>
      <c r="B530" s="193" t="s">
        <v>656</v>
      </c>
      <c r="C530" s="193" t="s">
        <v>654</v>
      </c>
    </row>
    <row r="531" spans="1:3">
      <c r="A531" s="193" t="s">
        <v>649</v>
      </c>
      <c r="B531" s="193"/>
      <c r="C531" s="193"/>
    </row>
    <row r="532" spans="1:3">
      <c r="A532" s="193" t="s">
        <v>656</v>
      </c>
      <c r="B532" s="193" t="s">
        <v>657</v>
      </c>
      <c r="C532" s="193"/>
    </row>
    <row r="533" spans="1:3">
      <c r="A533" s="193" t="s">
        <v>1019</v>
      </c>
      <c r="B533" s="193" t="s">
        <v>649</v>
      </c>
      <c r="C533" s="193"/>
    </row>
    <row r="534" spans="1:3">
      <c r="A534" s="193" t="s">
        <v>1013</v>
      </c>
      <c r="B534" s="193"/>
      <c r="C534" s="193"/>
    </row>
    <row r="535" spans="1:3">
      <c r="A535" s="193" t="s">
        <v>1075</v>
      </c>
      <c r="B535" s="193" t="s">
        <v>654</v>
      </c>
      <c r="C535" s="193" t="s">
        <v>649</v>
      </c>
    </row>
    <row r="536" spans="1:3">
      <c r="A536" s="193" t="s">
        <v>649</v>
      </c>
      <c r="B536" s="193"/>
      <c r="C536" s="193"/>
    </row>
    <row r="537" spans="1:3">
      <c r="A537" s="193" t="s">
        <v>649</v>
      </c>
      <c r="B537" s="193" t="s">
        <v>651</v>
      </c>
      <c r="C537" s="193"/>
    </row>
    <row r="538" spans="1:3">
      <c r="A538" s="193" t="s">
        <v>653</v>
      </c>
      <c r="B538" s="193" t="s">
        <v>654</v>
      </c>
      <c r="C538" s="193"/>
    </row>
    <row r="539" spans="1:3">
      <c r="A539" s="193" t="s">
        <v>654</v>
      </c>
      <c r="B539" s="193" t="s">
        <v>655</v>
      </c>
      <c r="C539" s="193"/>
    </row>
    <row r="540" spans="1:3">
      <c r="A540" s="193" t="s">
        <v>659</v>
      </c>
      <c r="B540" s="193" t="s">
        <v>649</v>
      </c>
      <c r="C540" s="193" t="s">
        <v>657</v>
      </c>
    </row>
    <row r="541" spans="1:3">
      <c r="A541" s="193" t="s">
        <v>657</v>
      </c>
      <c r="B541" s="193" t="s">
        <v>656</v>
      </c>
      <c r="C541" s="193"/>
    </row>
    <row r="542" spans="1:3">
      <c r="A542" s="193" t="s">
        <v>649</v>
      </c>
      <c r="B542" s="193" t="s">
        <v>655</v>
      </c>
      <c r="C542" s="193"/>
    </row>
    <row r="543" spans="1:3">
      <c r="A543" s="193" t="s">
        <v>653</v>
      </c>
      <c r="B543" s="193"/>
      <c r="C543" s="193"/>
    </row>
    <row r="544" spans="1:3">
      <c r="A544" s="193" t="s">
        <v>649</v>
      </c>
      <c r="B544" s="193"/>
      <c r="C544" s="193"/>
    </row>
    <row r="545" spans="1:3">
      <c r="A545" s="193" t="s">
        <v>649</v>
      </c>
      <c r="B545" s="193"/>
      <c r="C545" s="193"/>
    </row>
    <row r="546" spans="1:3">
      <c r="A546" s="193" t="s">
        <v>649</v>
      </c>
      <c r="B546" s="193"/>
      <c r="C546" s="193"/>
    </row>
    <row r="547" spans="1:3">
      <c r="A547" s="193" t="s">
        <v>649</v>
      </c>
      <c r="B547" s="193" t="s">
        <v>654</v>
      </c>
      <c r="C547" s="193" t="s">
        <v>1071</v>
      </c>
    </row>
    <row r="548" spans="1:3">
      <c r="A548" s="193" t="s">
        <v>649</v>
      </c>
      <c r="B548" s="193" t="s">
        <v>654</v>
      </c>
      <c r="C548" s="193"/>
    </row>
    <row r="549" spans="1:3">
      <c r="A549" s="193" t="s">
        <v>1006</v>
      </c>
      <c r="B549" s="193" t="s">
        <v>649</v>
      </c>
      <c r="C549" s="193"/>
    </row>
    <row r="550" spans="1:3">
      <c r="A550" s="193" t="s">
        <v>656</v>
      </c>
      <c r="B550" s="193" t="s">
        <v>1007</v>
      </c>
      <c r="C550" s="193" t="s">
        <v>654</v>
      </c>
    </row>
    <row r="551" spans="1:3">
      <c r="A551" s="193" t="s">
        <v>989</v>
      </c>
      <c r="B551" s="193" t="s">
        <v>1010</v>
      </c>
      <c r="C551" s="193" t="s">
        <v>658</v>
      </c>
    </row>
    <row r="552" spans="1:3">
      <c r="A552" s="193" t="s">
        <v>649</v>
      </c>
      <c r="B552" s="193" t="s">
        <v>653</v>
      </c>
      <c r="C552" s="193" t="s">
        <v>986</v>
      </c>
    </row>
    <row r="553" spans="1:3">
      <c r="A553" s="193" t="s">
        <v>651</v>
      </c>
      <c r="B553" s="193"/>
      <c r="C553" s="193"/>
    </row>
    <row r="554" spans="1:3">
      <c r="A554" s="193" t="s">
        <v>651</v>
      </c>
      <c r="B554" s="193" t="s">
        <v>649</v>
      </c>
      <c r="C554" s="193"/>
    </row>
    <row r="555" spans="1:3">
      <c r="A555" s="193" t="s">
        <v>649</v>
      </c>
      <c r="B555" s="193" t="s">
        <v>654</v>
      </c>
      <c r="C555" s="193" t="s">
        <v>651</v>
      </c>
    </row>
    <row r="556" spans="1:3">
      <c r="A556" s="193" t="s">
        <v>659</v>
      </c>
      <c r="B556" s="193"/>
      <c r="C556" s="193"/>
    </row>
    <row r="557" spans="1:3">
      <c r="A557" s="193" t="s">
        <v>656</v>
      </c>
      <c r="B557" s="193" t="s">
        <v>987</v>
      </c>
      <c r="C557" s="193" t="s">
        <v>649</v>
      </c>
    </row>
    <row r="558" spans="1:3">
      <c r="A558" s="193" t="s">
        <v>649</v>
      </c>
      <c r="B558" s="193" t="s">
        <v>653</v>
      </c>
      <c r="C558" s="193" t="s">
        <v>657</v>
      </c>
    </row>
    <row r="559" spans="1:3">
      <c r="A559" s="193" t="s">
        <v>1000</v>
      </c>
      <c r="B559" s="193" t="s">
        <v>657</v>
      </c>
      <c r="C559" s="193" t="s">
        <v>1007</v>
      </c>
    </row>
    <row r="560" spans="1:3">
      <c r="A560" s="193" t="s">
        <v>1076</v>
      </c>
      <c r="B560" s="193"/>
      <c r="C560" s="193"/>
    </row>
    <row r="561" spans="1:3">
      <c r="A561" s="193" t="s">
        <v>653</v>
      </c>
      <c r="B561" s="193"/>
      <c r="C561" s="193"/>
    </row>
    <row r="562" spans="1:3">
      <c r="A562" s="193" t="s">
        <v>1077</v>
      </c>
      <c r="B562" s="193" t="s">
        <v>652</v>
      </c>
      <c r="C562" s="193"/>
    </row>
    <row r="563" spans="1:3">
      <c r="A563" s="193" t="s">
        <v>649</v>
      </c>
      <c r="B563" s="193"/>
      <c r="C563" s="193"/>
    </row>
    <row r="564" spans="1:3">
      <c r="A564" s="193" t="s">
        <v>649</v>
      </c>
      <c r="B564" s="193"/>
      <c r="C564" s="193"/>
    </row>
    <row r="565" spans="1:3">
      <c r="A565" s="193" t="s">
        <v>649</v>
      </c>
      <c r="B565" s="193"/>
      <c r="C565" s="193"/>
    </row>
    <row r="566" spans="1:3">
      <c r="A566" s="193" t="s">
        <v>986</v>
      </c>
      <c r="B566" s="193"/>
      <c r="C566" s="193"/>
    </row>
    <row r="567" spans="1:3">
      <c r="A567" s="193" t="s">
        <v>649</v>
      </c>
      <c r="B567" s="193" t="s">
        <v>651</v>
      </c>
      <c r="C567" s="193" t="s">
        <v>653</v>
      </c>
    </row>
    <row r="568" spans="1:3">
      <c r="A568" s="193" t="s">
        <v>653</v>
      </c>
      <c r="B568" s="193" t="s">
        <v>657</v>
      </c>
      <c r="C568" s="193"/>
    </row>
    <row r="569" spans="1:3">
      <c r="A569" s="193" t="s">
        <v>657</v>
      </c>
      <c r="B569" s="193"/>
      <c r="C569" s="193"/>
    </row>
    <row r="570" spans="1:3">
      <c r="A570" s="193" t="s">
        <v>649</v>
      </c>
      <c r="B570" s="193"/>
      <c r="C570" s="193"/>
    </row>
    <row r="571" spans="1:3">
      <c r="A571" s="193" t="s">
        <v>654</v>
      </c>
      <c r="B571" s="193" t="s">
        <v>659</v>
      </c>
      <c r="C571" s="193" t="s">
        <v>655</v>
      </c>
    </row>
    <row r="572" spans="1:3">
      <c r="A572" s="193" t="s">
        <v>654</v>
      </c>
      <c r="B572" s="193"/>
      <c r="C572" s="193"/>
    </row>
    <row r="573" spans="1:3">
      <c r="A573" s="193" t="s">
        <v>659</v>
      </c>
      <c r="B573" s="193" t="s">
        <v>653</v>
      </c>
      <c r="C573" s="193" t="s">
        <v>649</v>
      </c>
    </row>
    <row r="574" spans="1:3">
      <c r="A574" s="193" t="s">
        <v>649</v>
      </c>
      <c r="B574" s="193" t="s">
        <v>1078</v>
      </c>
      <c r="C574" s="193" t="s">
        <v>654</v>
      </c>
    </row>
    <row r="575" spans="1:3">
      <c r="A575" s="193" t="s">
        <v>654</v>
      </c>
      <c r="B575" s="193"/>
      <c r="C575" s="193"/>
    </row>
    <row r="576" spans="1:3">
      <c r="A576" s="193" t="s">
        <v>654</v>
      </c>
      <c r="B576" s="193" t="s">
        <v>649</v>
      </c>
      <c r="C576" s="193" t="s">
        <v>651</v>
      </c>
    </row>
    <row r="577" spans="1:3">
      <c r="A577" s="193" t="s">
        <v>1079</v>
      </c>
      <c r="B577" s="193"/>
      <c r="C577" s="193"/>
    </row>
    <row r="578" spans="1:3">
      <c r="A578" s="193" t="s">
        <v>649</v>
      </c>
      <c r="B578" s="193" t="s">
        <v>986</v>
      </c>
      <c r="C578" s="193" t="s">
        <v>653</v>
      </c>
    </row>
    <row r="579" spans="1:3">
      <c r="A579" s="193" t="s">
        <v>653</v>
      </c>
      <c r="B579" s="193"/>
      <c r="C579" s="193"/>
    </row>
    <row r="580" spans="1:3">
      <c r="A580" s="193" t="s">
        <v>649</v>
      </c>
      <c r="B580" s="193" t="s">
        <v>994</v>
      </c>
      <c r="C580" s="193" t="s">
        <v>1007</v>
      </c>
    </row>
    <row r="581" spans="1:3">
      <c r="A581" s="193" t="s">
        <v>649</v>
      </c>
      <c r="B581" s="193" t="s">
        <v>656</v>
      </c>
      <c r="C581" s="193" t="s">
        <v>651</v>
      </c>
    </row>
    <row r="582" spans="1:3">
      <c r="A582" s="193" t="s">
        <v>1080</v>
      </c>
      <c r="B582" s="193" t="s">
        <v>1081</v>
      </c>
      <c r="C582" s="193" t="s">
        <v>649</v>
      </c>
    </row>
    <row r="583" spans="1:3">
      <c r="A583" s="193" t="s">
        <v>657</v>
      </c>
      <c r="B583" s="193"/>
      <c r="C583" s="193"/>
    </row>
    <row r="584" spans="1:3">
      <c r="A584" s="193" t="s">
        <v>649</v>
      </c>
      <c r="B584" s="193" t="s">
        <v>986</v>
      </c>
      <c r="C584" s="193"/>
    </row>
    <row r="585" spans="1:3">
      <c r="A585" s="193" t="s">
        <v>1082</v>
      </c>
      <c r="B585" s="193"/>
      <c r="C585" s="193"/>
    </row>
    <row r="586" spans="1:3">
      <c r="A586" s="193" t="s">
        <v>649</v>
      </c>
      <c r="B586" s="193"/>
      <c r="C586" s="193"/>
    </row>
    <row r="587" spans="1:3">
      <c r="A587" s="193" t="s">
        <v>657</v>
      </c>
      <c r="B587" s="193" t="s">
        <v>654</v>
      </c>
      <c r="C587" s="193" t="s">
        <v>652</v>
      </c>
    </row>
    <row r="588" spans="1:3">
      <c r="A588" s="193" t="s">
        <v>655</v>
      </c>
      <c r="B588" s="193"/>
      <c r="C588" s="193"/>
    </row>
    <row r="589" spans="1:3">
      <c r="A589" s="193" t="s">
        <v>649</v>
      </c>
      <c r="B589" s="193" t="s">
        <v>653</v>
      </c>
      <c r="C589" s="193" t="s">
        <v>654</v>
      </c>
    </row>
    <row r="590" spans="1:3">
      <c r="A590" s="193" t="s">
        <v>986</v>
      </c>
      <c r="B590" s="193" t="s">
        <v>655</v>
      </c>
      <c r="C590" s="193" t="s">
        <v>800</v>
      </c>
    </row>
    <row r="591" spans="1:3">
      <c r="A591" s="193" t="s">
        <v>653</v>
      </c>
      <c r="B591" s="193" t="s">
        <v>654</v>
      </c>
      <c r="C591" s="193"/>
    </row>
    <row r="592" spans="1:3">
      <c r="A592" s="193" t="s">
        <v>655</v>
      </c>
      <c r="B592" s="193" t="s">
        <v>654</v>
      </c>
      <c r="C592" s="193"/>
    </row>
    <row r="593" spans="1:3">
      <c r="A593" s="193" t="s">
        <v>654</v>
      </c>
      <c r="B593" s="193" t="s">
        <v>657</v>
      </c>
      <c r="C593" s="193" t="s">
        <v>653</v>
      </c>
    </row>
    <row r="594" spans="1:3">
      <c r="A594" s="193" t="s">
        <v>1010</v>
      </c>
      <c r="B594" s="193"/>
      <c r="C594" s="193"/>
    </row>
    <row r="595" spans="1:3">
      <c r="A595" s="193" t="s">
        <v>649</v>
      </c>
      <c r="B595" s="193"/>
      <c r="C595" s="193"/>
    </row>
    <row r="596" spans="1:3">
      <c r="A596" s="193" t="s">
        <v>649</v>
      </c>
      <c r="B596" s="193"/>
      <c r="C596" s="193"/>
    </row>
    <row r="597" spans="1:3">
      <c r="A597" s="193" t="s">
        <v>652</v>
      </c>
      <c r="B597" s="193" t="s">
        <v>653</v>
      </c>
      <c r="C597" s="193" t="s">
        <v>651</v>
      </c>
    </row>
    <row r="598" spans="1:3">
      <c r="A598" s="193" t="s">
        <v>649</v>
      </c>
      <c r="B598" s="193" t="s">
        <v>994</v>
      </c>
      <c r="C598" s="193" t="s">
        <v>653</v>
      </c>
    </row>
    <row r="599" spans="1:3">
      <c r="A599" s="193" t="s">
        <v>654</v>
      </c>
      <c r="B599" s="193" t="s">
        <v>657</v>
      </c>
      <c r="C599" s="193" t="s">
        <v>649</v>
      </c>
    </row>
    <row r="600" spans="1:3">
      <c r="A600" s="193" t="s">
        <v>987</v>
      </c>
      <c r="B600" s="193" t="s">
        <v>1007</v>
      </c>
      <c r="C600" s="193" t="s">
        <v>649</v>
      </c>
    </row>
    <row r="601" spans="1:3">
      <c r="A601" s="193" t="s">
        <v>649</v>
      </c>
      <c r="B601" s="193" t="s">
        <v>654</v>
      </c>
      <c r="C601" s="193" t="s">
        <v>659</v>
      </c>
    </row>
    <row r="602" spans="1:3">
      <c r="A602" s="193" t="s">
        <v>1080</v>
      </c>
      <c r="B602" s="193" t="s">
        <v>649</v>
      </c>
      <c r="C602" s="193" t="s">
        <v>986</v>
      </c>
    </row>
    <row r="603" spans="1:3">
      <c r="A603" s="193" t="s">
        <v>659</v>
      </c>
      <c r="B603" s="193" t="s">
        <v>649</v>
      </c>
      <c r="C603" s="193" t="s">
        <v>657</v>
      </c>
    </row>
    <row r="604" spans="1:3">
      <c r="A604" s="193" t="s">
        <v>651</v>
      </c>
      <c r="B604" s="193"/>
      <c r="C604" s="193"/>
    </row>
    <row r="605" spans="1:3">
      <c r="A605" s="193" t="s">
        <v>659</v>
      </c>
      <c r="B605" s="193"/>
      <c r="C605" s="193"/>
    </row>
    <row r="606" spans="1:3">
      <c r="A606" s="193" t="s">
        <v>655</v>
      </c>
      <c r="B606" s="193" t="s">
        <v>654</v>
      </c>
      <c r="C606" s="193" t="s">
        <v>651</v>
      </c>
    </row>
    <row r="607" spans="1:3">
      <c r="A607" s="193" t="s">
        <v>649</v>
      </c>
      <c r="B607" s="193" t="s">
        <v>653</v>
      </c>
      <c r="C607" s="193"/>
    </row>
    <row r="608" spans="1:3">
      <c r="A608" s="193" t="s">
        <v>649</v>
      </c>
      <c r="B608" s="193" t="s">
        <v>986</v>
      </c>
      <c r="C608" s="193" t="s">
        <v>654</v>
      </c>
    </row>
    <row r="609" spans="1:3">
      <c r="A609" s="193" t="s">
        <v>649</v>
      </c>
      <c r="B609" s="193"/>
      <c r="C609" s="193"/>
    </row>
    <row r="610" spans="1:3">
      <c r="A610" s="193" t="s">
        <v>654</v>
      </c>
      <c r="B610" s="193"/>
      <c r="C610" s="193"/>
    </row>
    <row r="611" spans="1:3">
      <c r="A611" s="193" t="s">
        <v>649</v>
      </c>
      <c r="B611" s="193" t="s">
        <v>651</v>
      </c>
      <c r="C611" s="193"/>
    </row>
    <row r="612" spans="1:3">
      <c r="A612" s="193" t="s">
        <v>986</v>
      </c>
      <c r="B612" s="193" t="s">
        <v>803</v>
      </c>
      <c r="C612" s="193"/>
    </row>
    <row r="613" spans="1:3">
      <c r="A613" s="193" t="s">
        <v>651</v>
      </c>
      <c r="B613" s="193" t="s">
        <v>657</v>
      </c>
      <c r="C613" s="193" t="s">
        <v>1044</v>
      </c>
    </row>
    <row r="614" spans="1:3">
      <c r="A614" s="193" t="s">
        <v>653</v>
      </c>
      <c r="B614" s="193" t="s">
        <v>651</v>
      </c>
      <c r="C614" s="193" t="s">
        <v>659</v>
      </c>
    </row>
    <row r="615" spans="1:3">
      <c r="A615" s="193" t="s">
        <v>649</v>
      </c>
      <c r="B615" s="193" t="s">
        <v>654</v>
      </c>
      <c r="C615" s="193" t="s">
        <v>652</v>
      </c>
    </row>
    <row r="616" spans="1:3">
      <c r="A616" s="193" t="s">
        <v>649</v>
      </c>
      <c r="B616" s="193" t="s">
        <v>986</v>
      </c>
      <c r="C616" s="193" t="s">
        <v>656</v>
      </c>
    </row>
    <row r="617" spans="1:3">
      <c r="A617" s="193" t="s">
        <v>659</v>
      </c>
      <c r="B617" s="193"/>
      <c r="C617" s="193"/>
    </row>
    <row r="618" spans="1:3">
      <c r="A618" s="193" t="s">
        <v>649</v>
      </c>
      <c r="B618" s="193"/>
      <c r="C618" s="193"/>
    </row>
    <row r="619" spans="1:3">
      <c r="A619" s="193" t="s">
        <v>655</v>
      </c>
      <c r="B619" s="193" t="s">
        <v>656</v>
      </c>
      <c r="C619" s="193" t="s">
        <v>657</v>
      </c>
    </row>
    <row r="620" spans="1:3">
      <c r="A620" s="193" t="s">
        <v>649</v>
      </c>
      <c r="B620" s="193"/>
      <c r="C620" s="193"/>
    </row>
    <row r="621" spans="1:3">
      <c r="A621" s="193" t="s">
        <v>649</v>
      </c>
      <c r="B621" s="193" t="s">
        <v>657</v>
      </c>
      <c r="C621" s="193" t="s">
        <v>656</v>
      </c>
    </row>
    <row r="622" spans="1:3">
      <c r="A622" s="193" t="s">
        <v>986</v>
      </c>
      <c r="B622" s="193" t="s">
        <v>649</v>
      </c>
      <c r="C622" s="193" t="s">
        <v>1083</v>
      </c>
    </row>
    <row r="623" spans="1:3">
      <c r="A623" s="193" t="s">
        <v>652</v>
      </c>
      <c r="B623" s="193" t="s">
        <v>659</v>
      </c>
      <c r="C623" s="193" t="s">
        <v>654</v>
      </c>
    </row>
    <row r="624" spans="1:3">
      <c r="A624" s="193" t="s">
        <v>654</v>
      </c>
      <c r="B624" s="193" t="s">
        <v>657</v>
      </c>
      <c r="C624" s="193"/>
    </row>
    <row r="625" spans="1:3">
      <c r="A625" s="193" t="s">
        <v>653</v>
      </c>
      <c r="B625" s="193" t="s">
        <v>649</v>
      </c>
      <c r="C625" s="193"/>
    </row>
    <row r="626" spans="1:3">
      <c r="A626" s="193" t="s">
        <v>652</v>
      </c>
      <c r="B626" s="193" t="s">
        <v>654</v>
      </c>
      <c r="C626" s="193" t="s">
        <v>649</v>
      </c>
    </row>
    <row r="627" spans="1:3">
      <c r="A627" s="193" t="s">
        <v>649</v>
      </c>
      <c r="B627" s="193" t="s">
        <v>994</v>
      </c>
      <c r="C627" s="193" t="s">
        <v>652</v>
      </c>
    </row>
    <row r="628" spans="1:3">
      <c r="A628" s="193" t="s">
        <v>649</v>
      </c>
      <c r="B628" s="193" t="s">
        <v>1010</v>
      </c>
      <c r="C628" s="193"/>
    </row>
    <row r="629" spans="1:3">
      <c r="A629" s="193" t="s">
        <v>993</v>
      </c>
      <c r="B629" s="193"/>
      <c r="C629" s="193"/>
    </row>
    <row r="630" spans="1:3">
      <c r="A630" s="193" t="s">
        <v>1044</v>
      </c>
      <c r="B630" s="193" t="s">
        <v>656</v>
      </c>
      <c r="C630" s="193" t="s">
        <v>800</v>
      </c>
    </row>
    <row r="631" spans="1:3">
      <c r="A631" s="193" t="s">
        <v>651</v>
      </c>
      <c r="B631" s="193" t="s">
        <v>654</v>
      </c>
      <c r="C631" s="193" t="s">
        <v>986</v>
      </c>
    </row>
    <row r="632" spans="1:3">
      <c r="A632" s="193" t="s">
        <v>654</v>
      </c>
      <c r="B632" s="193" t="s">
        <v>653</v>
      </c>
      <c r="C632" s="193" t="s">
        <v>986</v>
      </c>
    </row>
    <row r="633" spans="1:3">
      <c r="A633" s="193" t="s">
        <v>1006</v>
      </c>
      <c r="B633" s="193" t="s">
        <v>994</v>
      </c>
      <c r="C633" s="193" t="s">
        <v>654</v>
      </c>
    </row>
    <row r="634" spans="1:3">
      <c r="A634" s="193" t="s">
        <v>653</v>
      </c>
      <c r="B634" s="193"/>
      <c r="C634" s="193"/>
    </row>
    <row r="635" spans="1:3">
      <c r="A635" s="193" t="s">
        <v>655</v>
      </c>
      <c r="B635" s="193" t="s">
        <v>649</v>
      </c>
      <c r="C635" s="193" t="s">
        <v>659</v>
      </c>
    </row>
    <row r="636" spans="1:3">
      <c r="A636" s="193" t="s">
        <v>653</v>
      </c>
      <c r="B636" s="193" t="s">
        <v>649</v>
      </c>
      <c r="C636" s="193" t="s">
        <v>655</v>
      </c>
    </row>
    <row r="637" spans="1:3">
      <c r="A637" s="193" t="s">
        <v>655</v>
      </c>
      <c r="B637" s="193"/>
      <c r="C637" s="193"/>
    </row>
    <row r="638" spans="1:3">
      <c r="A638" s="193" t="s">
        <v>649</v>
      </c>
      <c r="B638" s="193" t="s">
        <v>652</v>
      </c>
      <c r="C638" s="193" t="s">
        <v>656</v>
      </c>
    </row>
    <row r="639" spans="1:3">
      <c r="A639" s="193" t="s">
        <v>649</v>
      </c>
      <c r="B639" s="193" t="s">
        <v>653</v>
      </c>
      <c r="C639" s="193"/>
    </row>
    <row r="640" spans="1:3">
      <c r="A640" s="193" t="s">
        <v>649</v>
      </c>
      <c r="B640" s="193"/>
      <c r="C640" s="193"/>
    </row>
    <row r="641" spans="1:3">
      <c r="A641" s="193" t="s">
        <v>649</v>
      </c>
      <c r="B641" s="193" t="s">
        <v>657</v>
      </c>
      <c r="C641" s="193"/>
    </row>
    <row r="642" spans="1:3">
      <c r="A642" s="193" t="s">
        <v>654</v>
      </c>
      <c r="B642" s="193" t="s">
        <v>649</v>
      </c>
      <c r="C642" s="193" t="s">
        <v>652</v>
      </c>
    </row>
    <row r="643" spans="1:3">
      <c r="A643" s="193" t="s">
        <v>652</v>
      </c>
      <c r="B643" s="193"/>
      <c r="C643" s="193"/>
    </row>
    <row r="644" spans="1:3">
      <c r="A644" s="193" t="s">
        <v>658</v>
      </c>
      <c r="B644" s="193" t="s">
        <v>651</v>
      </c>
      <c r="C644" s="193" t="s">
        <v>657</v>
      </c>
    </row>
    <row r="645" spans="1:3">
      <c r="A645" s="193" t="s">
        <v>653</v>
      </c>
      <c r="B645" s="193"/>
      <c r="C645" s="193"/>
    </row>
    <row r="646" spans="1:3">
      <c r="A646" s="193" t="s">
        <v>654</v>
      </c>
      <c r="B646" s="193" t="s">
        <v>653</v>
      </c>
      <c r="C646" s="193"/>
    </row>
    <row r="647" spans="1:3">
      <c r="A647" s="193" t="s">
        <v>649</v>
      </c>
      <c r="B647" s="193"/>
      <c r="C647" s="193"/>
    </row>
    <row r="648" spans="1:3">
      <c r="A648" s="193" t="s">
        <v>656</v>
      </c>
      <c r="B648" s="193"/>
      <c r="C648" s="193"/>
    </row>
    <row r="649" spans="1:3">
      <c r="A649" s="193" t="s">
        <v>654</v>
      </c>
      <c r="B649" s="193" t="s">
        <v>649</v>
      </c>
      <c r="C649" s="193"/>
    </row>
    <row r="650" spans="1:3">
      <c r="A650" s="193" t="s">
        <v>654</v>
      </c>
      <c r="B650" s="193" t="s">
        <v>800</v>
      </c>
      <c r="C650" s="193" t="s">
        <v>999</v>
      </c>
    </row>
    <row r="651" spans="1:3">
      <c r="A651" s="193" t="s">
        <v>654</v>
      </c>
      <c r="B651" s="193" t="s">
        <v>649</v>
      </c>
      <c r="C651" s="193"/>
    </row>
    <row r="652" spans="1:3">
      <c r="A652" s="193" t="s">
        <v>649</v>
      </c>
      <c r="B652" s="193"/>
      <c r="C652" s="193"/>
    </row>
    <row r="653" spans="1:3">
      <c r="A653" s="193" t="s">
        <v>657</v>
      </c>
      <c r="B653" s="193" t="s">
        <v>654</v>
      </c>
      <c r="C653" s="193"/>
    </row>
    <row r="654" spans="1:3">
      <c r="A654" s="193" t="s">
        <v>657</v>
      </c>
      <c r="B654" s="193"/>
      <c r="C654" s="193"/>
    </row>
    <row r="655" spans="1:3">
      <c r="A655" s="193" t="s">
        <v>655</v>
      </c>
      <c r="B655" s="193" t="s">
        <v>657</v>
      </c>
      <c r="C655" s="193"/>
    </row>
    <row r="656" spans="1:3">
      <c r="A656" s="193" t="s">
        <v>649</v>
      </c>
      <c r="B656" s="193" t="s">
        <v>653</v>
      </c>
      <c r="C656" s="193"/>
    </row>
    <row r="657" spans="1:3">
      <c r="A657" s="193" t="s">
        <v>655</v>
      </c>
      <c r="B657" s="193" t="s">
        <v>654</v>
      </c>
      <c r="C657" s="193"/>
    </row>
    <row r="658" spans="1:3">
      <c r="A658" s="193" t="s">
        <v>655</v>
      </c>
      <c r="B658" s="193" t="s">
        <v>657</v>
      </c>
      <c r="C658" s="193"/>
    </row>
    <row r="659" spans="1:3">
      <c r="A659" s="193" t="s">
        <v>649</v>
      </c>
      <c r="B659" s="193" t="s">
        <v>659</v>
      </c>
      <c r="C659" s="193" t="s">
        <v>656</v>
      </c>
    </row>
    <row r="660" spans="1:3">
      <c r="A660" s="193" t="s">
        <v>1084</v>
      </c>
      <c r="B660" s="193"/>
      <c r="C660" s="193"/>
    </row>
    <row r="661" spans="1:3">
      <c r="A661" s="193" t="s">
        <v>652</v>
      </c>
      <c r="B661" s="193" t="s">
        <v>649</v>
      </c>
      <c r="C661" s="193"/>
    </row>
    <row r="662" spans="1:3">
      <c r="A662" s="193" t="s">
        <v>649</v>
      </c>
      <c r="B662" s="193"/>
      <c r="C662" s="193"/>
    </row>
    <row r="663" spans="1:3">
      <c r="A663" s="193" t="s">
        <v>1077</v>
      </c>
      <c r="B663" s="193" t="s">
        <v>654</v>
      </c>
      <c r="C663" s="193" t="s">
        <v>652</v>
      </c>
    </row>
    <row r="664" spans="1:3">
      <c r="A664" s="193" t="s">
        <v>649</v>
      </c>
      <c r="B664" s="193" t="s">
        <v>999</v>
      </c>
      <c r="C664" s="193" t="s">
        <v>994</v>
      </c>
    </row>
    <row r="665" spans="1:3">
      <c r="A665" s="193" t="s">
        <v>653</v>
      </c>
      <c r="B665" s="193"/>
      <c r="C665" s="193"/>
    </row>
    <row r="666" spans="1:3">
      <c r="A666" s="193" t="s">
        <v>986</v>
      </c>
      <c r="B666" s="193"/>
      <c r="C666" s="193"/>
    </row>
    <row r="667" spans="1:3">
      <c r="A667" s="193" t="s">
        <v>654</v>
      </c>
      <c r="B667" s="193" t="s">
        <v>653</v>
      </c>
      <c r="C667" s="193"/>
    </row>
    <row r="668" spans="1:3">
      <c r="A668" s="193" t="s">
        <v>657</v>
      </c>
      <c r="B668" s="193" t="s">
        <v>986</v>
      </c>
      <c r="C668" s="193" t="s">
        <v>653</v>
      </c>
    </row>
    <row r="669" spans="1:3">
      <c r="A669" s="193" t="s">
        <v>657</v>
      </c>
      <c r="B669" s="193" t="s">
        <v>986</v>
      </c>
      <c r="C669" s="193" t="s">
        <v>649</v>
      </c>
    </row>
    <row r="670" spans="1:3">
      <c r="A670" s="193" t="s">
        <v>657</v>
      </c>
      <c r="B670" s="193" t="s">
        <v>659</v>
      </c>
      <c r="C670" s="193" t="s">
        <v>655</v>
      </c>
    </row>
    <row r="671" spans="1:3">
      <c r="A671" s="193" t="s">
        <v>649</v>
      </c>
      <c r="B671" s="193"/>
      <c r="C671" s="193"/>
    </row>
    <row r="672" spans="1:3">
      <c r="A672" s="193" t="s">
        <v>653</v>
      </c>
      <c r="B672" s="193"/>
      <c r="C672" s="193"/>
    </row>
    <row r="673" spans="1:3">
      <c r="A673" s="193" t="s">
        <v>654</v>
      </c>
      <c r="B673" s="193" t="s">
        <v>1006</v>
      </c>
      <c r="C673" s="193" t="s">
        <v>999</v>
      </c>
    </row>
    <row r="674" spans="1:3">
      <c r="A674" s="193" t="s">
        <v>653</v>
      </c>
      <c r="B674" s="193" t="s">
        <v>657</v>
      </c>
      <c r="C674" s="193" t="s">
        <v>654</v>
      </c>
    </row>
    <row r="675" spans="1:3">
      <c r="A675" s="193" t="s">
        <v>651</v>
      </c>
      <c r="B675" s="193" t="s">
        <v>657</v>
      </c>
      <c r="C675" s="193" t="s">
        <v>1044</v>
      </c>
    </row>
    <row r="676" spans="1:3">
      <c r="A676" s="193" t="s">
        <v>658</v>
      </c>
      <c r="B676" s="193" t="s">
        <v>659</v>
      </c>
      <c r="C676" s="193" t="s">
        <v>651</v>
      </c>
    </row>
    <row r="677" spans="1:3">
      <c r="A677" s="193" t="s">
        <v>653</v>
      </c>
      <c r="B677" s="193" t="s">
        <v>649</v>
      </c>
      <c r="C677" s="193" t="s">
        <v>652</v>
      </c>
    </row>
    <row r="678" spans="1:3">
      <c r="A678" s="193" t="s">
        <v>1085</v>
      </c>
      <c r="B678" s="193"/>
      <c r="C678" s="193"/>
    </row>
    <row r="679" spans="1:3">
      <c r="A679" s="193" t="s">
        <v>653</v>
      </c>
      <c r="B679" s="193" t="s">
        <v>657</v>
      </c>
      <c r="C679" s="193"/>
    </row>
    <row r="680" spans="1:3">
      <c r="A680" s="193" t="s">
        <v>653</v>
      </c>
      <c r="B680" s="193" t="s">
        <v>659</v>
      </c>
      <c r="C680" s="193" t="s">
        <v>657</v>
      </c>
    </row>
    <row r="681" spans="1:3">
      <c r="A681" s="193" t="s">
        <v>1077</v>
      </c>
      <c r="B681" s="193" t="s">
        <v>659</v>
      </c>
      <c r="C681" s="193" t="s">
        <v>656</v>
      </c>
    </row>
    <row r="682" spans="1:3">
      <c r="A682" s="193" t="s">
        <v>653</v>
      </c>
      <c r="B682" s="193" t="s">
        <v>654</v>
      </c>
      <c r="C682" s="193"/>
    </row>
    <row r="683" spans="1:3">
      <c r="A683" s="193" t="s">
        <v>649</v>
      </c>
      <c r="B683" s="193"/>
      <c r="C683" s="193"/>
    </row>
    <row r="684" spans="1:3">
      <c r="A684" s="193" t="s">
        <v>658</v>
      </c>
      <c r="B684" s="193" t="s">
        <v>654</v>
      </c>
      <c r="C684" s="193"/>
    </row>
    <row r="685" spans="1:3">
      <c r="A685" s="193" t="s">
        <v>653</v>
      </c>
      <c r="B685" s="193" t="s">
        <v>986</v>
      </c>
      <c r="C685" s="193" t="s">
        <v>803</v>
      </c>
    </row>
    <row r="686" spans="1:3">
      <c r="A686" s="193" t="s">
        <v>1007</v>
      </c>
      <c r="B686" s="193"/>
      <c r="C686" s="193"/>
    </row>
    <row r="687" spans="1:3">
      <c r="A687" s="193" t="s">
        <v>653</v>
      </c>
      <c r="B687" s="193" t="s">
        <v>649</v>
      </c>
      <c r="C687" s="193"/>
    </row>
    <row r="688" spans="1:3">
      <c r="A688" s="193" t="s">
        <v>986</v>
      </c>
      <c r="B688" s="193" t="s">
        <v>649</v>
      </c>
      <c r="C688" s="193" t="s">
        <v>654</v>
      </c>
    </row>
    <row r="689" spans="1:3">
      <c r="A689" s="193" t="s">
        <v>649</v>
      </c>
      <c r="B689" s="193"/>
      <c r="C689" s="193"/>
    </row>
    <row r="690" spans="1:3">
      <c r="A690" s="193" t="s">
        <v>654</v>
      </c>
      <c r="B690" s="193"/>
      <c r="C690" s="193"/>
    </row>
    <row r="691" spans="1:3">
      <c r="A691" s="193" t="s">
        <v>649</v>
      </c>
      <c r="B691" s="193" t="s">
        <v>651</v>
      </c>
      <c r="C691" s="193" t="s">
        <v>653</v>
      </c>
    </row>
    <row r="692" spans="1:3">
      <c r="A692" s="193" t="s">
        <v>659</v>
      </c>
      <c r="B692" s="193"/>
      <c r="C692" s="193"/>
    </row>
    <row r="693" spans="1:3">
      <c r="A693" s="193" t="s">
        <v>654</v>
      </c>
      <c r="B693" s="193"/>
      <c r="C693" s="193"/>
    </row>
    <row r="694" spans="1:3">
      <c r="A694" s="193" t="s">
        <v>649</v>
      </c>
      <c r="B694" s="193" t="s">
        <v>659</v>
      </c>
      <c r="C694" s="193"/>
    </row>
    <row r="695" spans="1:3">
      <c r="A695" s="193" t="s">
        <v>649</v>
      </c>
      <c r="B695" s="193" t="s">
        <v>654</v>
      </c>
      <c r="C695" s="193" t="s">
        <v>653</v>
      </c>
    </row>
    <row r="696" spans="1:3">
      <c r="A696" s="193" t="s">
        <v>655</v>
      </c>
      <c r="B696" s="193" t="s">
        <v>649</v>
      </c>
      <c r="C696" s="193" t="s">
        <v>651</v>
      </c>
    </row>
    <row r="697" spans="1:3">
      <c r="A697" s="193" t="s">
        <v>649</v>
      </c>
      <c r="B697" s="193" t="s">
        <v>651</v>
      </c>
      <c r="C697" s="193" t="s">
        <v>659</v>
      </c>
    </row>
    <row r="698" spans="1:3">
      <c r="A698" s="193" t="s">
        <v>1010</v>
      </c>
      <c r="B698" s="193"/>
      <c r="C698" s="193"/>
    </row>
    <row r="699" spans="1:3">
      <c r="A699" s="193" t="s">
        <v>654</v>
      </c>
      <c r="B699" s="193" t="s">
        <v>657</v>
      </c>
      <c r="C699" s="193" t="s">
        <v>658</v>
      </c>
    </row>
    <row r="700" spans="1:3">
      <c r="A700" s="193" t="s">
        <v>1000</v>
      </c>
      <c r="B700" s="193" t="s">
        <v>654</v>
      </c>
      <c r="C700" s="193" t="s">
        <v>653</v>
      </c>
    </row>
    <row r="701" spans="1:3">
      <c r="A701" s="193" t="s">
        <v>649</v>
      </c>
      <c r="B701" s="193" t="s">
        <v>986</v>
      </c>
      <c r="C701" s="193" t="s">
        <v>652</v>
      </c>
    </row>
    <row r="702" spans="1:3">
      <c r="A702" s="193" t="s">
        <v>649</v>
      </c>
      <c r="B702" s="193" t="s">
        <v>653</v>
      </c>
      <c r="C702" s="193"/>
    </row>
    <row r="703" spans="1:3">
      <c r="A703" s="193" t="s">
        <v>654</v>
      </c>
      <c r="B703" s="193" t="s">
        <v>986</v>
      </c>
      <c r="C703" s="193"/>
    </row>
    <row r="704" spans="1:3">
      <c r="A704" s="193" t="s">
        <v>654</v>
      </c>
      <c r="B704" s="193" t="s">
        <v>659</v>
      </c>
      <c r="C704" s="193"/>
    </row>
    <row r="705" spans="1:3">
      <c r="A705" s="193" t="s">
        <v>1086</v>
      </c>
      <c r="B705" s="193"/>
      <c r="C705" s="193"/>
    </row>
    <row r="706" spans="1:3">
      <c r="A706" s="193" t="s">
        <v>651</v>
      </c>
      <c r="B706" s="193" t="s">
        <v>649</v>
      </c>
      <c r="C706" s="193" t="s">
        <v>987</v>
      </c>
    </row>
    <row r="707" spans="1:3">
      <c r="A707" s="193" t="s">
        <v>986</v>
      </c>
      <c r="B707" s="193" t="s">
        <v>657</v>
      </c>
      <c r="C707" s="193" t="s">
        <v>652</v>
      </c>
    </row>
    <row r="708" spans="1:3">
      <c r="A708" s="193" t="s">
        <v>659</v>
      </c>
      <c r="B708" s="193" t="s">
        <v>649</v>
      </c>
      <c r="C708" s="193" t="s">
        <v>653</v>
      </c>
    </row>
    <row r="709" spans="1:3">
      <c r="A709" s="193" t="s">
        <v>649</v>
      </c>
      <c r="B709" s="193"/>
      <c r="C709" s="193"/>
    </row>
    <row r="710" spans="1:3">
      <c r="A710" s="193" t="s">
        <v>649</v>
      </c>
      <c r="B710" s="193"/>
      <c r="C710" s="193"/>
    </row>
    <row r="711" spans="1:3">
      <c r="A711" s="193" t="s">
        <v>658</v>
      </c>
      <c r="B711" s="193" t="s">
        <v>654</v>
      </c>
      <c r="C711" s="193" t="s">
        <v>986</v>
      </c>
    </row>
    <row r="712" spans="1:3">
      <c r="A712" s="193" t="s">
        <v>653</v>
      </c>
      <c r="B712" s="193" t="s">
        <v>649</v>
      </c>
      <c r="C712" s="193" t="s">
        <v>654</v>
      </c>
    </row>
    <row r="713" spans="1:3">
      <c r="A713" s="193" t="s">
        <v>649</v>
      </c>
      <c r="B713" s="193" t="s">
        <v>986</v>
      </c>
      <c r="C713" s="193" t="s">
        <v>652</v>
      </c>
    </row>
    <row r="714" spans="1:3">
      <c r="A714" s="193" t="s">
        <v>653</v>
      </c>
      <c r="B714" s="193" t="s">
        <v>986</v>
      </c>
      <c r="C714" s="193"/>
    </row>
    <row r="715" spans="1:3">
      <c r="A715" s="193" t="s">
        <v>654</v>
      </c>
      <c r="B715" s="193"/>
      <c r="C715" s="193"/>
    </row>
    <row r="716" spans="1:3">
      <c r="A716" s="193" t="s">
        <v>649</v>
      </c>
      <c r="B716" s="193" t="s">
        <v>653</v>
      </c>
      <c r="C716" s="193" t="s">
        <v>654</v>
      </c>
    </row>
    <row r="717" spans="1:3">
      <c r="A717" s="193" t="s">
        <v>1077</v>
      </c>
      <c r="B717" s="193" t="s">
        <v>654</v>
      </c>
      <c r="C717" s="193" t="s">
        <v>652</v>
      </c>
    </row>
    <row r="718" spans="1:3">
      <c r="A718" s="193" t="s">
        <v>649</v>
      </c>
      <c r="B718" s="193" t="s">
        <v>652</v>
      </c>
      <c r="C718" s="193" t="s">
        <v>654</v>
      </c>
    </row>
    <row r="719" spans="1:3">
      <c r="A719" s="193" t="s">
        <v>1046</v>
      </c>
      <c r="B719" s="193"/>
      <c r="C719" s="193"/>
    </row>
    <row r="720" spans="1:3">
      <c r="A720" s="193" t="s">
        <v>659</v>
      </c>
      <c r="B720" s="193" t="s">
        <v>651</v>
      </c>
      <c r="C720" s="193" t="s">
        <v>652</v>
      </c>
    </row>
    <row r="721" spans="1:3">
      <c r="A721" s="193" t="s">
        <v>653</v>
      </c>
      <c r="B721" s="193" t="s">
        <v>651</v>
      </c>
      <c r="C721" s="193"/>
    </row>
    <row r="722" spans="1:3">
      <c r="A722" s="193" t="s">
        <v>657</v>
      </c>
      <c r="B722" s="193" t="s">
        <v>656</v>
      </c>
      <c r="C722" s="193" t="s">
        <v>649</v>
      </c>
    </row>
    <row r="723" spans="1:3">
      <c r="A723" s="193" t="s">
        <v>649</v>
      </c>
      <c r="B723" s="193"/>
      <c r="C723" s="193"/>
    </row>
    <row r="724" spans="1:3">
      <c r="A724" s="193" t="s">
        <v>649</v>
      </c>
      <c r="B724" s="193" t="s">
        <v>986</v>
      </c>
      <c r="C724" s="193" t="s">
        <v>653</v>
      </c>
    </row>
    <row r="725" spans="1:3">
      <c r="A725" s="193" t="s">
        <v>657</v>
      </c>
      <c r="B725" s="193" t="s">
        <v>659</v>
      </c>
      <c r="C725" s="193"/>
    </row>
    <row r="726" spans="1:3">
      <c r="A726" s="193" t="s">
        <v>1019</v>
      </c>
      <c r="B726" s="193"/>
      <c r="C726" s="193"/>
    </row>
    <row r="727" spans="1:3">
      <c r="A727" s="193" t="s">
        <v>657</v>
      </c>
      <c r="B727" s="193" t="s">
        <v>653</v>
      </c>
      <c r="C727" s="193"/>
    </row>
    <row r="728" spans="1:3">
      <c r="A728" s="193" t="s">
        <v>986</v>
      </c>
      <c r="B728" s="193" t="s">
        <v>658</v>
      </c>
      <c r="C728" s="193" t="s">
        <v>1000</v>
      </c>
    </row>
    <row r="729" spans="1:3">
      <c r="A729" s="193" t="s">
        <v>654</v>
      </c>
      <c r="B729" s="193" t="s">
        <v>659</v>
      </c>
      <c r="C729" s="193"/>
    </row>
    <row r="730" spans="1:3">
      <c r="A730" s="193" t="s">
        <v>1007</v>
      </c>
      <c r="B730" s="193" t="s">
        <v>655</v>
      </c>
      <c r="C730" s="193" t="s">
        <v>657</v>
      </c>
    </row>
    <row r="731" spans="1:3">
      <c r="A731" s="193" t="s">
        <v>654</v>
      </c>
      <c r="B731" s="193" t="s">
        <v>659</v>
      </c>
      <c r="C731" s="193" t="s">
        <v>652</v>
      </c>
    </row>
    <row r="732" spans="1:3">
      <c r="A732" s="193" t="s">
        <v>653</v>
      </c>
      <c r="B732" s="193" t="s">
        <v>657</v>
      </c>
      <c r="C732" s="193"/>
    </row>
    <row r="733" spans="1:3">
      <c r="A733" s="193" t="s">
        <v>653</v>
      </c>
      <c r="B733" s="193" t="s">
        <v>654</v>
      </c>
      <c r="C733" s="193"/>
    </row>
    <row r="734" spans="1:3">
      <c r="A734" s="193" t="s">
        <v>986</v>
      </c>
      <c r="B734" s="193"/>
      <c r="C734" s="193"/>
    </row>
    <row r="735" spans="1:3">
      <c r="A735" s="193" t="s">
        <v>1000</v>
      </c>
      <c r="B735" s="193" t="s">
        <v>994</v>
      </c>
      <c r="C735" s="193" t="s">
        <v>653</v>
      </c>
    </row>
    <row r="736" spans="1:3">
      <c r="A736" s="193" t="s">
        <v>654</v>
      </c>
      <c r="B736" s="193" t="s">
        <v>987</v>
      </c>
      <c r="C736" s="193"/>
    </row>
    <row r="737" spans="1:3">
      <c r="A737" s="193" t="s">
        <v>653</v>
      </c>
      <c r="B737" s="193" t="s">
        <v>986</v>
      </c>
      <c r="C737" s="193"/>
    </row>
    <row r="738" spans="1:3">
      <c r="A738" s="193" t="s">
        <v>657</v>
      </c>
      <c r="B738" s="193" t="s">
        <v>649</v>
      </c>
      <c r="C738" s="193" t="s">
        <v>659</v>
      </c>
    </row>
    <row r="739" spans="1:3">
      <c r="A739" s="193" t="s">
        <v>649</v>
      </c>
      <c r="B739" s="193" t="s">
        <v>994</v>
      </c>
      <c r="C739" s="193" t="s">
        <v>987</v>
      </c>
    </row>
    <row r="740" spans="1:3">
      <c r="A740" s="193" t="s">
        <v>653</v>
      </c>
      <c r="B740" s="193" t="s">
        <v>651</v>
      </c>
      <c r="C740" s="193"/>
    </row>
    <row r="741" spans="1:3">
      <c r="A741" s="193" t="s">
        <v>1007</v>
      </c>
      <c r="B741" s="193" t="s">
        <v>994</v>
      </c>
      <c r="C741" s="193" t="s">
        <v>654</v>
      </c>
    </row>
    <row r="742" spans="1:3">
      <c r="A742" s="193" t="s">
        <v>655</v>
      </c>
      <c r="B742" s="193" t="s">
        <v>649</v>
      </c>
      <c r="C742" s="193"/>
    </row>
    <row r="743" spans="1:3">
      <c r="A743" s="193" t="s">
        <v>654</v>
      </c>
      <c r="B743" s="193"/>
      <c r="C743" s="193"/>
    </row>
    <row r="744" spans="1:3">
      <c r="A744" s="193" t="s">
        <v>649</v>
      </c>
      <c r="B744" s="193"/>
      <c r="C744" s="193"/>
    </row>
    <row r="745" spans="1:3">
      <c r="A745" s="193" t="s">
        <v>649</v>
      </c>
      <c r="B745" s="193" t="s">
        <v>654</v>
      </c>
      <c r="C745" s="193" t="s">
        <v>1087</v>
      </c>
    </row>
    <row r="746" spans="1:3">
      <c r="A746" s="193" t="s">
        <v>649</v>
      </c>
      <c r="B746" s="193" t="s">
        <v>654</v>
      </c>
      <c r="C746" s="193"/>
    </row>
    <row r="747" spans="1:3">
      <c r="A747" s="193" t="s">
        <v>653</v>
      </c>
      <c r="B747" s="193"/>
      <c r="C747" s="193"/>
    </row>
    <row r="748" spans="1:3">
      <c r="A748" s="193" t="s">
        <v>1077</v>
      </c>
      <c r="B748" s="193"/>
      <c r="C748" s="193"/>
    </row>
    <row r="749" spans="1:3">
      <c r="A749" s="193" t="s">
        <v>800</v>
      </c>
      <c r="B749" s="193" t="s">
        <v>657</v>
      </c>
      <c r="C749" s="193" t="s">
        <v>653</v>
      </c>
    </row>
    <row r="750" spans="1:3">
      <c r="A750" s="193" t="s">
        <v>649</v>
      </c>
      <c r="B750" s="193" t="s">
        <v>986</v>
      </c>
      <c r="C750" s="193" t="s">
        <v>654</v>
      </c>
    </row>
    <row r="751" spans="1:3">
      <c r="A751" s="193" t="s">
        <v>649</v>
      </c>
      <c r="B751" s="193"/>
      <c r="C751" s="193"/>
    </row>
    <row r="752" spans="1:3">
      <c r="A752" s="193" t="s">
        <v>657</v>
      </c>
      <c r="B752" s="193" t="s">
        <v>654</v>
      </c>
      <c r="C752" s="193"/>
    </row>
    <row r="753" spans="1:3">
      <c r="A753" s="193" t="s">
        <v>649</v>
      </c>
      <c r="B753" s="193" t="s">
        <v>1000</v>
      </c>
      <c r="C753" s="193" t="s">
        <v>999</v>
      </c>
    </row>
    <row r="754" spans="1:3">
      <c r="A754" s="193" t="s">
        <v>649</v>
      </c>
      <c r="B754" s="193" t="s">
        <v>987</v>
      </c>
      <c r="C754" s="193" t="s">
        <v>994</v>
      </c>
    </row>
    <row r="755" spans="1:3">
      <c r="A755" s="193" t="s">
        <v>656</v>
      </c>
      <c r="B755" s="193" t="s">
        <v>649</v>
      </c>
      <c r="C755" s="193" t="s">
        <v>659</v>
      </c>
    </row>
    <row r="756" spans="1:3">
      <c r="A756" s="193" t="s">
        <v>657</v>
      </c>
      <c r="B756" s="193" t="s">
        <v>986</v>
      </c>
      <c r="C756" s="193"/>
    </row>
    <row r="757" spans="1:3">
      <c r="A757" s="193" t="s">
        <v>649</v>
      </c>
      <c r="B757" s="193" t="s">
        <v>656</v>
      </c>
      <c r="C757" s="193"/>
    </row>
    <row r="758" spans="1:3">
      <c r="A758" s="193" t="s">
        <v>654</v>
      </c>
      <c r="B758" s="193" t="s">
        <v>986</v>
      </c>
      <c r="C758" s="193" t="s">
        <v>659</v>
      </c>
    </row>
    <row r="759" spans="1:3">
      <c r="A759" s="193" t="s">
        <v>654</v>
      </c>
      <c r="B759" s="193" t="s">
        <v>656</v>
      </c>
      <c r="C759" s="193" t="s">
        <v>649</v>
      </c>
    </row>
    <row r="760" spans="1:3">
      <c r="A760" s="193" t="s">
        <v>652</v>
      </c>
      <c r="B760" s="193" t="s">
        <v>654</v>
      </c>
      <c r="C760" s="193" t="s">
        <v>653</v>
      </c>
    </row>
    <row r="761" spans="1:3">
      <c r="A761" s="193" t="s">
        <v>654</v>
      </c>
      <c r="B761" s="193" t="s">
        <v>656</v>
      </c>
      <c r="C761" s="193" t="s">
        <v>1044</v>
      </c>
    </row>
    <row r="762" spans="1:3">
      <c r="A762" s="193" t="s">
        <v>653</v>
      </c>
      <c r="B762" s="193" t="s">
        <v>986</v>
      </c>
      <c r="C762" s="193"/>
    </row>
    <row r="763" spans="1:3">
      <c r="A763" s="193" t="s">
        <v>659</v>
      </c>
      <c r="B763" s="193" t="s">
        <v>649</v>
      </c>
      <c r="C763" s="193" t="s">
        <v>655</v>
      </c>
    </row>
    <row r="764" spans="1:3">
      <c r="A764" s="193" t="s">
        <v>649</v>
      </c>
      <c r="B764" s="193" t="s">
        <v>654</v>
      </c>
      <c r="C764" s="193"/>
    </row>
    <row r="765" spans="1:3">
      <c r="A765" s="193" t="s">
        <v>649</v>
      </c>
      <c r="B765" s="193" t="s">
        <v>659</v>
      </c>
      <c r="C765" s="193" t="s">
        <v>654</v>
      </c>
    </row>
    <row r="766" spans="1:3">
      <c r="A766" s="193" t="s">
        <v>653</v>
      </c>
      <c r="B766" s="193" t="s">
        <v>651</v>
      </c>
      <c r="C766" s="193"/>
    </row>
    <row r="767" spans="1:3">
      <c r="A767" s="193" t="s">
        <v>655</v>
      </c>
      <c r="B767" s="193" t="s">
        <v>653</v>
      </c>
      <c r="C767" s="193" t="s">
        <v>657</v>
      </c>
    </row>
    <row r="768" spans="1:3">
      <c r="A768" s="193" t="s">
        <v>655</v>
      </c>
      <c r="B768" s="193" t="s">
        <v>659</v>
      </c>
      <c r="C768" s="193" t="s">
        <v>653</v>
      </c>
    </row>
    <row r="769" spans="1:3">
      <c r="A769" s="193" t="s">
        <v>657</v>
      </c>
      <c r="B769" s="193"/>
      <c r="C769" s="193"/>
    </row>
    <row r="770" spans="1:3">
      <c r="A770" s="193" t="s">
        <v>654</v>
      </c>
      <c r="B770" s="193" t="s">
        <v>657</v>
      </c>
      <c r="C770" s="193" t="s">
        <v>659</v>
      </c>
    </row>
    <row r="771" spans="1:3">
      <c r="A771" s="193" t="s">
        <v>654</v>
      </c>
      <c r="B771" s="193" t="s">
        <v>800</v>
      </c>
      <c r="C771" s="193" t="s">
        <v>655</v>
      </c>
    </row>
    <row r="772" spans="1:3">
      <c r="A772" s="193" t="s">
        <v>654</v>
      </c>
      <c r="B772" s="193" t="s">
        <v>800</v>
      </c>
      <c r="C772" s="193" t="s">
        <v>649</v>
      </c>
    </row>
    <row r="773" spans="1:3">
      <c r="A773" s="193" t="s">
        <v>986</v>
      </c>
      <c r="B773" s="193" t="s">
        <v>649</v>
      </c>
      <c r="C773" s="193"/>
    </row>
    <row r="774" spans="1:3">
      <c r="A774" s="193" t="s">
        <v>653</v>
      </c>
      <c r="B774" s="193" t="s">
        <v>656</v>
      </c>
      <c r="C774" s="193" t="s">
        <v>649</v>
      </c>
    </row>
    <row r="775" spans="1:3">
      <c r="A775" s="193" t="s">
        <v>654</v>
      </c>
      <c r="B775" s="193" t="s">
        <v>658</v>
      </c>
      <c r="C775" s="193" t="s">
        <v>659</v>
      </c>
    </row>
    <row r="776" spans="1:3">
      <c r="A776" s="193" t="s">
        <v>653</v>
      </c>
      <c r="B776" s="193" t="s">
        <v>649</v>
      </c>
      <c r="C776" s="193"/>
    </row>
    <row r="777" spans="1:3">
      <c r="A777" s="193" t="s">
        <v>649</v>
      </c>
      <c r="B777" s="193" t="s">
        <v>656</v>
      </c>
      <c r="C777" s="193" t="s">
        <v>654</v>
      </c>
    </row>
    <row r="778" spans="1:3">
      <c r="A778" s="193" t="s">
        <v>653</v>
      </c>
      <c r="B778" s="193" t="s">
        <v>986</v>
      </c>
      <c r="C778" s="193"/>
    </row>
    <row r="779" spans="1:3">
      <c r="A779" s="193" t="s">
        <v>654</v>
      </c>
      <c r="B779" s="193" t="s">
        <v>653</v>
      </c>
      <c r="C779" s="193" t="s">
        <v>655</v>
      </c>
    </row>
    <row r="780" spans="1:3">
      <c r="A780" s="193" t="s">
        <v>1088</v>
      </c>
      <c r="B780" s="193"/>
      <c r="C780" s="193"/>
    </row>
    <row r="781" spans="1:3">
      <c r="A781" s="193" t="s">
        <v>656</v>
      </c>
      <c r="B781" s="193" t="s">
        <v>651</v>
      </c>
      <c r="C781" s="193" t="s">
        <v>987</v>
      </c>
    </row>
    <row r="782" spans="1:3">
      <c r="A782" s="193" t="s">
        <v>653</v>
      </c>
      <c r="B782" s="193" t="s">
        <v>657</v>
      </c>
      <c r="C782" s="193" t="s">
        <v>986</v>
      </c>
    </row>
    <row r="783" spans="1:3">
      <c r="A783" s="193" t="s">
        <v>658</v>
      </c>
      <c r="B783" s="193" t="s">
        <v>653</v>
      </c>
      <c r="C783" s="193" t="s">
        <v>652</v>
      </c>
    </row>
    <row r="784" spans="1:3">
      <c r="A784" s="193" t="s">
        <v>649</v>
      </c>
      <c r="B784" s="193" t="s">
        <v>986</v>
      </c>
      <c r="C784" s="193" t="s">
        <v>654</v>
      </c>
    </row>
    <row r="785" spans="1:3">
      <c r="A785" s="193" t="s">
        <v>651</v>
      </c>
      <c r="B785" s="193"/>
      <c r="C785" s="193"/>
    </row>
    <row r="786" spans="1:3">
      <c r="A786" s="193" t="s">
        <v>653</v>
      </c>
      <c r="B786" s="193" t="s">
        <v>1088</v>
      </c>
      <c r="C786" s="193"/>
    </row>
    <row r="787" spans="1:3">
      <c r="A787" s="193" t="s">
        <v>653</v>
      </c>
      <c r="B787" s="193" t="s">
        <v>654</v>
      </c>
      <c r="C787" s="193" t="s">
        <v>1088</v>
      </c>
    </row>
    <row r="788" spans="1:3">
      <c r="A788" s="193" t="s">
        <v>654</v>
      </c>
      <c r="B788" s="193" t="s">
        <v>1077</v>
      </c>
      <c r="C788" s="193"/>
    </row>
    <row r="789" spans="1:3">
      <c r="A789" s="193" t="s">
        <v>649</v>
      </c>
      <c r="B789" s="193" t="s">
        <v>654</v>
      </c>
      <c r="C789" s="193" t="s">
        <v>651</v>
      </c>
    </row>
    <row r="790" spans="1:3">
      <c r="A790" s="193" t="s">
        <v>651</v>
      </c>
      <c r="B790" s="193"/>
      <c r="C790" s="193"/>
    </row>
    <row r="791" spans="1:3">
      <c r="A791" s="193" t="s">
        <v>649</v>
      </c>
      <c r="B791" s="193"/>
      <c r="C791" s="193"/>
    </row>
    <row r="792" spans="1:3">
      <c r="A792" s="193" t="s">
        <v>986</v>
      </c>
      <c r="B792" s="193" t="s">
        <v>649</v>
      </c>
      <c r="C792" s="193"/>
    </row>
    <row r="793" spans="1:3">
      <c r="A793" s="193" t="s">
        <v>649</v>
      </c>
      <c r="B793" s="193" t="s">
        <v>654</v>
      </c>
      <c r="C793" s="193"/>
    </row>
    <row r="794" spans="1:3">
      <c r="A794" s="193" t="s">
        <v>649</v>
      </c>
      <c r="B794" s="193" t="s">
        <v>654</v>
      </c>
      <c r="C794" s="193"/>
    </row>
    <row r="795" spans="1:3">
      <c r="A795" s="193" t="s">
        <v>649</v>
      </c>
      <c r="B795" s="193" t="s">
        <v>653</v>
      </c>
      <c r="C795" s="193" t="s">
        <v>986</v>
      </c>
    </row>
    <row r="796" spans="1:3">
      <c r="A796" s="193" t="s">
        <v>649</v>
      </c>
      <c r="B796" s="193" t="s">
        <v>800</v>
      </c>
      <c r="C796" s="193"/>
    </row>
    <row r="797" spans="1:3">
      <c r="A797" s="193" t="s">
        <v>649</v>
      </c>
      <c r="B797" s="193" t="s">
        <v>654</v>
      </c>
      <c r="C797" s="193" t="s">
        <v>986</v>
      </c>
    </row>
    <row r="798" spans="1:3">
      <c r="A798" s="193" t="s">
        <v>649</v>
      </c>
      <c r="B798" s="193"/>
      <c r="C798" s="193"/>
    </row>
    <row r="799" spans="1:3">
      <c r="A799" s="193" t="s">
        <v>1073</v>
      </c>
      <c r="B799" s="193" t="s">
        <v>1085</v>
      </c>
      <c r="C799" s="193" t="s">
        <v>1089</v>
      </c>
    </row>
    <row r="800" spans="1:3">
      <c r="A800" s="193" t="s">
        <v>653</v>
      </c>
      <c r="B800" s="193"/>
      <c r="C800" s="193"/>
    </row>
    <row r="801" spans="1:3">
      <c r="A801" s="193" t="s">
        <v>649</v>
      </c>
      <c r="B801" s="193"/>
      <c r="C801" s="193"/>
    </row>
    <row r="802" spans="1:3">
      <c r="A802" s="193" t="s">
        <v>986</v>
      </c>
      <c r="B802" s="193"/>
      <c r="C802" s="193"/>
    </row>
    <row r="803" spans="1:3">
      <c r="A803" s="193" t="s">
        <v>649</v>
      </c>
      <c r="B803" s="193" t="s">
        <v>986</v>
      </c>
      <c r="C803" s="193" t="s">
        <v>654</v>
      </c>
    </row>
    <row r="804" spans="1:3">
      <c r="A804" s="193" t="s">
        <v>649</v>
      </c>
      <c r="B804" s="193"/>
      <c r="C804" s="193"/>
    </row>
    <row r="805" spans="1:3">
      <c r="A805" s="193" t="s">
        <v>649</v>
      </c>
      <c r="B805" s="193" t="s">
        <v>653</v>
      </c>
      <c r="C805" s="193"/>
    </row>
    <row r="806" spans="1:3">
      <c r="A806" s="193" t="s">
        <v>649</v>
      </c>
      <c r="B806" s="193" t="s">
        <v>803</v>
      </c>
      <c r="C806" s="193"/>
    </row>
    <row r="807" spans="1:3">
      <c r="A807" s="193" t="s">
        <v>654</v>
      </c>
      <c r="B807" s="193"/>
      <c r="C807" s="193"/>
    </row>
    <row r="808" spans="1:3">
      <c r="A808" s="193" t="s">
        <v>649</v>
      </c>
      <c r="B808" s="193" t="s">
        <v>1090</v>
      </c>
      <c r="C808" s="193"/>
    </row>
    <row r="809" spans="1:3">
      <c r="A809" s="193" t="s">
        <v>1010</v>
      </c>
      <c r="B809" s="193"/>
      <c r="C809" s="193"/>
    </row>
    <row r="810" spans="1:3">
      <c r="A810" s="193" t="s">
        <v>651</v>
      </c>
      <c r="B810" s="193"/>
      <c r="C810" s="193"/>
    </row>
    <row r="811" spans="1:3">
      <c r="A811" s="193" t="s">
        <v>653</v>
      </c>
      <c r="B811" s="193" t="s">
        <v>649</v>
      </c>
      <c r="C811" s="193" t="s">
        <v>654</v>
      </c>
    </row>
    <row r="812" spans="1:3">
      <c r="A812" s="193" t="s">
        <v>649</v>
      </c>
      <c r="B812" s="193"/>
      <c r="C812" s="193"/>
    </row>
    <row r="813" spans="1:3">
      <c r="A813" s="193" t="s">
        <v>649</v>
      </c>
      <c r="B813" s="193" t="s">
        <v>653</v>
      </c>
      <c r="C813" s="193" t="s">
        <v>986</v>
      </c>
    </row>
    <row r="814" spans="1:3">
      <c r="A814" s="193" t="s">
        <v>1019</v>
      </c>
      <c r="B814" s="193" t="s">
        <v>649</v>
      </c>
      <c r="C814" s="193"/>
    </row>
    <row r="815" spans="1:3">
      <c r="A815" s="193" t="s">
        <v>986</v>
      </c>
      <c r="B815" s="193" t="s">
        <v>649</v>
      </c>
      <c r="C815" s="193" t="s">
        <v>654</v>
      </c>
    </row>
    <row r="816" spans="1:3">
      <c r="A816" s="193" t="s">
        <v>649</v>
      </c>
      <c r="B816" s="193"/>
      <c r="C816" s="193"/>
    </row>
    <row r="817" spans="1:3">
      <c r="A817" s="193" t="s">
        <v>986</v>
      </c>
      <c r="B817" s="193" t="s">
        <v>649</v>
      </c>
      <c r="C817" s="193"/>
    </row>
    <row r="818" spans="1:3">
      <c r="A818" s="193" t="s">
        <v>649</v>
      </c>
      <c r="B818" s="193"/>
      <c r="C818" s="193"/>
    </row>
    <row r="819" spans="1:3">
      <c r="A819" s="193" t="s">
        <v>986</v>
      </c>
      <c r="B819" s="193" t="s">
        <v>649</v>
      </c>
      <c r="C819" s="193" t="s">
        <v>800</v>
      </c>
    </row>
    <row r="820" spans="1:3">
      <c r="A820" s="193" t="s">
        <v>649</v>
      </c>
      <c r="B820" s="193" t="s">
        <v>1091</v>
      </c>
      <c r="C820" s="193"/>
    </row>
    <row r="821" spans="1:3">
      <c r="A821" s="193" t="s">
        <v>651</v>
      </c>
      <c r="B821" s="193"/>
      <c r="C821" s="193"/>
    </row>
    <row r="822" spans="1:3">
      <c r="A822" s="193" t="s">
        <v>651</v>
      </c>
      <c r="B822" s="193"/>
      <c r="C822" s="193"/>
    </row>
    <row r="823" spans="1:3">
      <c r="A823" s="193" t="s">
        <v>654</v>
      </c>
      <c r="B823" s="193"/>
      <c r="C823" s="193"/>
    </row>
    <row r="824" spans="1:3">
      <c r="A824" s="193" t="s">
        <v>986</v>
      </c>
      <c r="B824" s="193" t="s">
        <v>651</v>
      </c>
      <c r="C824" s="193"/>
    </row>
    <row r="825" spans="1:3">
      <c r="A825" s="193" t="s">
        <v>649</v>
      </c>
      <c r="B825" s="193" t="s">
        <v>653</v>
      </c>
      <c r="C825" s="193"/>
    </row>
    <row r="826" spans="1:3">
      <c r="A826" s="193" t="s">
        <v>649</v>
      </c>
      <c r="B826" s="193"/>
      <c r="C826" s="193"/>
    </row>
    <row r="827" spans="1:3">
      <c r="A827" s="193" t="s">
        <v>649</v>
      </c>
      <c r="B827" s="193" t="s">
        <v>652</v>
      </c>
      <c r="C827" s="193" t="s">
        <v>654</v>
      </c>
    </row>
    <row r="828" spans="1:3">
      <c r="A828" s="193" t="s">
        <v>986</v>
      </c>
      <c r="B828" s="193"/>
      <c r="C828" s="193"/>
    </row>
    <row r="829" spans="1:3">
      <c r="A829" s="193" t="s">
        <v>649</v>
      </c>
      <c r="B829" s="193"/>
      <c r="C829" s="193"/>
    </row>
    <row r="830" spans="1:3">
      <c r="A830" s="193" t="s">
        <v>649</v>
      </c>
      <c r="B830" s="193" t="s">
        <v>651</v>
      </c>
      <c r="C830" s="193" t="s">
        <v>986</v>
      </c>
    </row>
    <row r="831" spans="1:3">
      <c r="A831" s="193" t="s">
        <v>649</v>
      </c>
      <c r="B831" s="193" t="s">
        <v>986</v>
      </c>
      <c r="C831" s="193"/>
    </row>
    <row r="832" spans="1:3">
      <c r="A832" s="193" t="s">
        <v>649</v>
      </c>
      <c r="B832" s="193" t="s">
        <v>1092</v>
      </c>
      <c r="C832" s="193" t="s">
        <v>1093</v>
      </c>
    </row>
    <row r="833" spans="1:3">
      <c r="A833" s="193" t="s">
        <v>649</v>
      </c>
      <c r="B833" s="193" t="s">
        <v>1003</v>
      </c>
      <c r="C833" s="193" t="s">
        <v>653</v>
      </c>
    </row>
    <row r="834" spans="1:3">
      <c r="A834" s="193" t="s">
        <v>649</v>
      </c>
      <c r="B834" s="193" t="s">
        <v>654</v>
      </c>
      <c r="C834" s="193"/>
    </row>
    <row r="835" spans="1:3">
      <c r="A835" s="193" t="s">
        <v>989</v>
      </c>
      <c r="B835" s="193" t="s">
        <v>649</v>
      </c>
      <c r="C835" s="193" t="s">
        <v>1030</v>
      </c>
    </row>
    <row r="836" spans="1:3">
      <c r="A836" s="193" t="s">
        <v>986</v>
      </c>
      <c r="B836" s="193" t="s">
        <v>651</v>
      </c>
      <c r="C836" s="193"/>
    </row>
    <row r="837" spans="1:3">
      <c r="A837" s="193" t="s">
        <v>649</v>
      </c>
      <c r="B837" s="193"/>
      <c r="C837" s="193"/>
    </row>
    <row r="838" spans="1:3">
      <c r="A838" s="193" t="s">
        <v>986</v>
      </c>
      <c r="B838" s="193" t="s">
        <v>649</v>
      </c>
      <c r="C838" s="193"/>
    </row>
    <row r="839" spans="1:3">
      <c r="A839" s="193" t="s">
        <v>1010</v>
      </c>
      <c r="B839" s="193"/>
      <c r="C839" s="193"/>
    </row>
    <row r="840" spans="1:3">
      <c r="A840" s="193" t="s">
        <v>1010</v>
      </c>
      <c r="B840" s="193"/>
      <c r="C840" s="193"/>
    </row>
    <row r="841" spans="1:3">
      <c r="A841" s="193" t="s">
        <v>986</v>
      </c>
      <c r="B841" s="193" t="s">
        <v>651</v>
      </c>
      <c r="C841" s="193"/>
    </row>
    <row r="842" spans="1:3">
      <c r="A842" s="193" t="s">
        <v>649</v>
      </c>
      <c r="B842" s="193"/>
      <c r="C842" s="193"/>
    </row>
    <row r="843" spans="1:3">
      <c r="A843" s="193" t="s">
        <v>1094</v>
      </c>
      <c r="B843" s="193"/>
      <c r="C843" s="193"/>
    </row>
    <row r="844" spans="1:3">
      <c r="A844" s="193" t="s">
        <v>653</v>
      </c>
      <c r="B844" s="193" t="s">
        <v>1095</v>
      </c>
      <c r="C844" s="193" t="s">
        <v>649</v>
      </c>
    </row>
    <row r="845" spans="1:3">
      <c r="A845" s="193" t="s">
        <v>649</v>
      </c>
      <c r="B845" s="193" t="s">
        <v>800</v>
      </c>
      <c r="C845" s="193"/>
    </row>
    <row r="846" spans="1:3">
      <c r="A846" s="193" t="s">
        <v>649</v>
      </c>
      <c r="B846" s="193" t="s">
        <v>1096</v>
      </c>
      <c r="C846" s="193" t="s">
        <v>1097</v>
      </c>
    </row>
    <row r="847" spans="1:3">
      <c r="A847" s="193" t="s">
        <v>649</v>
      </c>
      <c r="B847" s="193"/>
      <c r="C847" s="193"/>
    </row>
    <row r="848" spans="1:3">
      <c r="A848" s="193" t="s">
        <v>649</v>
      </c>
      <c r="B848" s="193" t="s">
        <v>654</v>
      </c>
      <c r="C848" s="193" t="s">
        <v>651</v>
      </c>
    </row>
    <row r="849" spans="1:3">
      <c r="A849" s="193" t="s">
        <v>652</v>
      </c>
      <c r="B849" s="193" t="s">
        <v>649</v>
      </c>
      <c r="C849" s="193" t="s">
        <v>1019</v>
      </c>
    </row>
    <row r="850" spans="1:3">
      <c r="A850" s="193" t="s">
        <v>649</v>
      </c>
      <c r="B850" s="193"/>
      <c r="C850" s="193"/>
    </row>
    <row r="851" spans="1:3">
      <c r="A851" s="193" t="s">
        <v>986</v>
      </c>
      <c r="B851" s="193"/>
      <c r="C851" s="193"/>
    </row>
    <row r="852" spans="1:3">
      <c r="A852" s="193" t="s">
        <v>649</v>
      </c>
      <c r="B852" s="193" t="s">
        <v>651</v>
      </c>
      <c r="C852" s="193" t="s">
        <v>654</v>
      </c>
    </row>
    <row r="853" spans="1:3">
      <c r="A853" s="193" t="s">
        <v>649</v>
      </c>
      <c r="B853" s="193" t="s">
        <v>986</v>
      </c>
      <c r="C853" s="193" t="s">
        <v>653</v>
      </c>
    </row>
    <row r="854" spans="1:3">
      <c r="A854" s="193" t="s">
        <v>651</v>
      </c>
      <c r="B854" s="193"/>
      <c r="C854" s="193"/>
    </row>
    <row r="855" spans="1:3">
      <c r="A855" s="193" t="s">
        <v>649</v>
      </c>
      <c r="B855" s="193" t="s">
        <v>994</v>
      </c>
      <c r="C855" s="193" t="s">
        <v>1007</v>
      </c>
    </row>
    <row r="856" spans="1:3">
      <c r="A856" s="193" t="s">
        <v>654</v>
      </c>
      <c r="B856" s="193"/>
      <c r="C856" s="193"/>
    </row>
    <row r="857" spans="1:3">
      <c r="A857" s="193" t="s">
        <v>649</v>
      </c>
      <c r="B857" s="193"/>
      <c r="C857" s="193"/>
    </row>
    <row r="858" spans="1:3">
      <c r="A858" s="193" t="s">
        <v>649</v>
      </c>
      <c r="B858" s="193" t="s">
        <v>986</v>
      </c>
      <c r="C858" s="193" t="s">
        <v>1098</v>
      </c>
    </row>
    <row r="859" spans="1:3">
      <c r="A859" s="193" t="s">
        <v>649</v>
      </c>
      <c r="B859" s="193" t="s">
        <v>654</v>
      </c>
      <c r="C859" s="193" t="s">
        <v>986</v>
      </c>
    </row>
    <row r="860" spans="1:3">
      <c r="A860" s="193" t="s">
        <v>986</v>
      </c>
      <c r="B860" s="193"/>
      <c r="C860" s="193"/>
    </row>
    <row r="861" spans="1:3">
      <c r="A861" s="193" t="s">
        <v>649</v>
      </c>
      <c r="B861" s="193"/>
      <c r="C861" s="193"/>
    </row>
    <row r="862" spans="1:3">
      <c r="A862" s="193" t="s">
        <v>649</v>
      </c>
      <c r="B862" s="193" t="s">
        <v>651</v>
      </c>
      <c r="C862" s="193" t="s">
        <v>653</v>
      </c>
    </row>
    <row r="863" spans="1:3">
      <c r="A863" s="193" t="s">
        <v>657</v>
      </c>
      <c r="B863" s="193" t="s">
        <v>649</v>
      </c>
      <c r="C863" s="193"/>
    </row>
    <row r="864" spans="1:3">
      <c r="A864" s="193" t="s">
        <v>649</v>
      </c>
      <c r="B864" s="193"/>
      <c r="C864" s="193"/>
    </row>
    <row r="865" spans="1:3">
      <c r="A865" s="193" t="s">
        <v>999</v>
      </c>
      <c r="B865" s="193"/>
      <c r="C865" s="193"/>
    </row>
    <row r="866" spans="1:3">
      <c r="A866" s="193" t="s">
        <v>649</v>
      </c>
      <c r="B866" s="193" t="s">
        <v>654</v>
      </c>
      <c r="C866" s="193"/>
    </row>
    <row r="867" spans="1:3">
      <c r="A867" s="193" t="s">
        <v>993</v>
      </c>
      <c r="B867" s="193"/>
      <c r="C867" s="193"/>
    </row>
    <row r="868" spans="1:3">
      <c r="A868" s="193" t="s">
        <v>649</v>
      </c>
      <c r="B868" s="193" t="s">
        <v>655</v>
      </c>
      <c r="C868" s="193" t="s">
        <v>1000</v>
      </c>
    </row>
    <row r="869" spans="1:3">
      <c r="A869" s="193" t="s">
        <v>649</v>
      </c>
      <c r="B869" s="193"/>
      <c r="C869" s="193"/>
    </row>
    <row r="870" spans="1:3">
      <c r="A870" s="193" t="s">
        <v>651</v>
      </c>
      <c r="B870" s="193" t="s">
        <v>649</v>
      </c>
      <c r="C870" s="193" t="s">
        <v>654</v>
      </c>
    </row>
    <row r="871" spans="1:3">
      <c r="A871" s="193" t="s">
        <v>649</v>
      </c>
      <c r="B871" s="193"/>
      <c r="C871" s="193"/>
    </row>
    <row r="872" spans="1:3">
      <c r="A872" s="193" t="s">
        <v>659</v>
      </c>
      <c r="B872" s="193" t="s">
        <v>654</v>
      </c>
      <c r="C872" s="193" t="s">
        <v>1099</v>
      </c>
    </row>
    <row r="873" spans="1:3">
      <c r="A873" s="193" t="s">
        <v>986</v>
      </c>
      <c r="B873" s="193" t="s">
        <v>651</v>
      </c>
      <c r="C873" s="193"/>
    </row>
    <row r="874" spans="1:3">
      <c r="A874" s="193" t="s">
        <v>986</v>
      </c>
      <c r="B874" s="193" t="s">
        <v>649</v>
      </c>
      <c r="C874" s="193"/>
    </row>
    <row r="875" spans="1:3">
      <c r="A875" s="193" t="s">
        <v>649</v>
      </c>
      <c r="B875" s="193"/>
      <c r="C875" s="193"/>
    </row>
    <row r="876" spans="1:3">
      <c r="A876" s="193" t="s">
        <v>649</v>
      </c>
      <c r="B876" s="193" t="s">
        <v>986</v>
      </c>
      <c r="C876" s="193" t="s">
        <v>659</v>
      </c>
    </row>
    <row r="877" spans="1:3">
      <c r="A877" s="193" t="s">
        <v>649</v>
      </c>
      <c r="B877" s="193" t="s">
        <v>986</v>
      </c>
      <c r="C877" s="193"/>
    </row>
    <row r="878" spans="1:3">
      <c r="A878" s="193" t="s">
        <v>649</v>
      </c>
      <c r="B878" s="193"/>
      <c r="C878" s="193"/>
    </row>
    <row r="879" spans="1:3">
      <c r="A879" s="193" t="s">
        <v>649</v>
      </c>
      <c r="B879" s="193"/>
      <c r="C879" s="193"/>
    </row>
    <row r="880" spans="1:3">
      <c r="A880" s="193" t="s">
        <v>649</v>
      </c>
      <c r="B880" s="193" t="s">
        <v>653</v>
      </c>
      <c r="C880" s="193"/>
    </row>
    <row r="881" spans="1:3">
      <c r="A881" s="193" t="s">
        <v>649</v>
      </c>
      <c r="B881" s="193" t="s">
        <v>654</v>
      </c>
      <c r="C881" s="193" t="s">
        <v>652</v>
      </c>
    </row>
    <row r="882" spans="1:3">
      <c r="A882" s="193" t="s">
        <v>1100</v>
      </c>
      <c r="B882" s="193"/>
      <c r="C882" s="193"/>
    </row>
    <row r="883" spans="1:3">
      <c r="A883" s="193" t="s">
        <v>654</v>
      </c>
      <c r="B883" s="193" t="s">
        <v>649</v>
      </c>
      <c r="C883" s="193" t="s">
        <v>652</v>
      </c>
    </row>
    <row r="884" spans="1:3">
      <c r="A884" s="193" t="s">
        <v>1101</v>
      </c>
      <c r="B884" s="193" t="s">
        <v>651</v>
      </c>
      <c r="C884" s="193"/>
    </row>
    <row r="885" spans="1:3">
      <c r="A885" s="193" t="s">
        <v>649</v>
      </c>
      <c r="B885" s="193" t="s">
        <v>651</v>
      </c>
      <c r="C885" s="193"/>
    </row>
    <row r="886" spans="1:3">
      <c r="A886" s="193" t="s">
        <v>654</v>
      </c>
      <c r="B886" s="193" t="s">
        <v>1102</v>
      </c>
      <c r="C886" s="193"/>
    </row>
    <row r="887" spans="1:3">
      <c r="A887" s="193" t="s">
        <v>649</v>
      </c>
      <c r="B887" s="193"/>
      <c r="C887" s="193"/>
    </row>
    <row r="888" spans="1:3">
      <c r="A888" s="193" t="s">
        <v>649</v>
      </c>
      <c r="B888" s="193" t="s">
        <v>653</v>
      </c>
      <c r="C888" s="193" t="s">
        <v>1079</v>
      </c>
    </row>
    <row r="889" spans="1:3">
      <c r="A889" s="193" t="s">
        <v>649</v>
      </c>
      <c r="B889" s="193"/>
      <c r="C889" s="193"/>
    </row>
    <row r="890" spans="1:3">
      <c r="A890" s="193" t="s">
        <v>649</v>
      </c>
      <c r="B890" s="193" t="s">
        <v>986</v>
      </c>
      <c r="C890" s="193"/>
    </row>
    <row r="891" spans="1:3">
      <c r="A891" s="193" t="s">
        <v>649</v>
      </c>
      <c r="B891" s="193" t="s">
        <v>654</v>
      </c>
      <c r="C891" s="193" t="s">
        <v>800</v>
      </c>
    </row>
    <row r="892" spans="1:3">
      <c r="A892" s="193" t="s">
        <v>649</v>
      </c>
      <c r="B892" s="193" t="s">
        <v>802</v>
      </c>
      <c r="C892" s="193" t="s">
        <v>986</v>
      </c>
    </row>
    <row r="893" spans="1:3">
      <c r="A893" s="193" t="s">
        <v>986</v>
      </c>
      <c r="B893" s="193" t="s">
        <v>649</v>
      </c>
      <c r="C893" s="193" t="s">
        <v>652</v>
      </c>
    </row>
    <row r="894" spans="1:3">
      <c r="A894" s="193" t="s">
        <v>986</v>
      </c>
      <c r="B894" s="193" t="s">
        <v>651</v>
      </c>
      <c r="C894" s="193" t="s">
        <v>799</v>
      </c>
    </row>
    <row r="895" spans="1:3">
      <c r="A895" s="193" t="s">
        <v>1103</v>
      </c>
      <c r="B895" s="193"/>
      <c r="C895" s="193"/>
    </row>
    <row r="896" spans="1:3">
      <c r="A896" s="193" t="s">
        <v>649</v>
      </c>
      <c r="B896" s="193" t="s">
        <v>653</v>
      </c>
      <c r="C896" s="193"/>
    </row>
    <row r="897" spans="1:3">
      <c r="A897" s="193" t="s">
        <v>14</v>
      </c>
      <c r="B897" s="193" t="s">
        <v>1104</v>
      </c>
      <c r="C897" s="193"/>
    </row>
    <row r="898" spans="1:3">
      <c r="A898" s="193" t="s">
        <v>649</v>
      </c>
      <c r="B898" s="193"/>
      <c r="C898" s="193"/>
    </row>
    <row r="899" spans="1:3">
      <c r="A899" s="193" t="s">
        <v>1035</v>
      </c>
      <c r="B899" s="193" t="s">
        <v>994</v>
      </c>
      <c r="C899" s="193"/>
    </row>
    <row r="900" spans="1:3">
      <c r="A900" s="193" t="s">
        <v>986</v>
      </c>
      <c r="B900" s="193" t="s">
        <v>1105</v>
      </c>
      <c r="C900" s="193"/>
    </row>
    <row r="901" spans="1:3">
      <c r="A901" s="193" t="s">
        <v>651</v>
      </c>
      <c r="B901" s="193" t="s">
        <v>986</v>
      </c>
      <c r="C901" s="193" t="s">
        <v>649</v>
      </c>
    </row>
    <row r="902" spans="1:3">
      <c r="A902" s="193" t="s">
        <v>649</v>
      </c>
      <c r="B902" s="193"/>
      <c r="C902" s="193"/>
    </row>
    <row r="903" spans="1:3">
      <c r="A903" s="193" t="s">
        <v>986</v>
      </c>
      <c r="B903" s="193" t="s">
        <v>649</v>
      </c>
      <c r="C903" s="193"/>
    </row>
    <row r="904" spans="1:3">
      <c r="A904" s="193" t="s">
        <v>649</v>
      </c>
      <c r="B904" s="193" t="s">
        <v>1033</v>
      </c>
      <c r="C904" s="193"/>
    </row>
    <row r="905" spans="1:3">
      <c r="A905" s="193" t="s">
        <v>986</v>
      </c>
      <c r="B905" s="193" t="s">
        <v>649</v>
      </c>
      <c r="C905" s="193"/>
    </row>
    <row r="906" spans="1:3">
      <c r="A906" s="193" t="s">
        <v>649</v>
      </c>
      <c r="B906" s="193" t="s">
        <v>659</v>
      </c>
      <c r="C906" s="193"/>
    </row>
    <row r="907" spans="1:3">
      <c r="A907" s="193" t="s">
        <v>649</v>
      </c>
      <c r="B907" s="193"/>
      <c r="C907" s="193"/>
    </row>
    <row r="908" spans="1:3">
      <c r="A908" s="193" t="s">
        <v>659</v>
      </c>
      <c r="B908" s="193"/>
      <c r="C908" s="193"/>
    </row>
    <row r="909" spans="1:3">
      <c r="A909" s="193" t="s">
        <v>986</v>
      </c>
      <c r="B909" s="193" t="s">
        <v>649</v>
      </c>
      <c r="C909" s="193" t="s">
        <v>653</v>
      </c>
    </row>
    <row r="910" spans="1:3">
      <c r="A910" s="193" t="s">
        <v>1106</v>
      </c>
      <c r="B910" s="193" t="s">
        <v>1107</v>
      </c>
      <c r="C910" s="193"/>
    </row>
    <row r="911" spans="1:3">
      <c r="A911" s="193" t="s">
        <v>649</v>
      </c>
      <c r="B911" s="193"/>
      <c r="C911" s="193"/>
    </row>
    <row r="912" spans="1:3">
      <c r="A912" s="193" t="s">
        <v>649</v>
      </c>
      <c r="B912" s="193" t="s">
        <v>986</v>
      </c>
      <c r="C912" s="193" t="s">
        <v>800</v>
      </c>
    </row>
    <row r="913" spans="1:3">
      <c r="A913" s="193" t="s">
        <v>657</v>
      </c>
      <c r="B913" s="193"/>
      <c r="C913" s="193"/>
    </row>
    <row r="914" spans="1:3">
      <c r="A914" s="193" t="s">
        <v>651</v>
      </c>
      <c r="B914" s="193" t="s">
        <v>1053</v>
      </c>
      <c r="C914" s="193" t="s">
        <v>649</v>
      </c>
    </row>
    <row r="915" spans="1:3">
      <c r="A915" s="193" t="s">
        <v>1108</v>
      </c>
      <c r="B915" s="193"/>
      <c r="C915" s="193"/>
    </row>
    <row r="916" spans="1:3">
      <c r="A916" s="193" t="s">
        <v>654</v>
      </c>
      <c r="B916" s="193" t="s">
        <v>649</v>
      </c>
      <c r="C916" s="193"/>
    </row>
    <row r="917" spans="1:3">
      <c r="A917" s="193" t="s">
        <v>986</v>
      </c>
      <c r="B917" s="193"/>
      <c r="C917" s="193"/>
    </row>
    <row r="918" spans="1:3">
      <c r="A918" s="193" t="s">
        <v>649</v>
      </c>
      <c r="B918" s="193"/>
      <c r="C918" s="193"/>
    </row>
    <row r="919" spans="1:3">
      <c r="A919" s="193" t="s">
        <v>657</v>
      </c>
      <c r="B919" s="193" t="s">
        <v>999</v>
      </c>
      <c r="C919" s="193"/>
    </row>
    <row r="920" spans="1:3">
      <c r="A920" s="193" t="s">
        <v>986</v>
      </c>
      <c r="B920" s="193"/>
      <c r="C920" s="193"/>
    </row>
    <row r="921" spans="1:3">
      <c r="A921" s="193" t="s">
        <v>649</v>
      </c>
      <c r="B921" s="193"/>
      <c r="C921" s="193"/>
    </row>
    <row r="922" spans="1:3">
      <c r="A922" s="193" t="s">
        <v>649</v>
      </c>
      <c r="B922" s="193"/>
      <c r="C922" s="193"/>
    </row>
    <row r="923" spans="1:3">
      <c r="A923" s="193" t="s">
        <v>653</v>
      </c>
      <c r="B923" s="193" t="s">
        <v>649</v>
      </c>
      <c r="C923" s="193"/>
    </row>
    <row r="924" spans="1:3">
      <c r="A924" s="193" t="s">
        <v>803</v>
      </c>
      <c r="B924" s="193" t="s">
        <v>986</v>
      </c>
      <c r="C924" s="193" t="s">
        <v>649</v>
      </c>
    </row>
    <row r="925" spans="1:3">
      <c r="A925" s="193" t="s">
        <v>651</v>
      </c>
      <c r="B925" s="193"/>
      <c r="C925" s="193"/>
    </row>
    <row r="926" spans="1:3">
      <c r="A926" s="193" t="s">
        <v>1003</v>
      </c>
      <c r="B926" s="193"/>
      <c r="C926" s="193"/>
    </row>
    <row r="927" spans="1:3">
      <c r="A927" s="193" t="s">
        <v>659</v>
      </c>
      <c r="B927" s="193"/>
      <c r="C927" s="193"/>
    </row>
    <row r="928" spans="1:3">
      <c r="A928" s="193" t="s">
        <v>649</v>
      </c>
      <c r="B928" s="193" t="s">
        <v>654</v>
      </c>
      <c r="C928" s="193"/>
    </row>
    <row r="929" spans="1:3">
      <c r="A929" s="193" t="s">
        <v>653</v>
      </c>
      <c r="B929" s="193"/>
      <c r="C929" s="193"/>
    </row>
    <row r="930" spans="1:3">
      <c r="A930" s="193" t="s">
        <v>649</v>
      </c>
      <c r="B930" s="193"/>
      <c r="C930" s="193"/>
    </row>
    <row r="931" spans="1:3">
      <c r="A931" s="193" t="s">
        <v>649</v>
      </c>
      <c r="B931" s="193"/>
      <c r="C931" s="193"/>
    </row>
    <row r="932" spans="1:3">
      <c r="A932" s="193" t="s">
        <v>651</v>
      </c>
      <c r="B932" s="193" t="s">
        <v>649</v>
      </c>
      <c r="C932" s="193" t="s">
        <v>989</v>
      </c>
    </row>
    <row r="933" spans="1:3">
      <c r="A933" s="193" t="s">
        <v>986</v>
      </c>
      <c r="B933" s="193"/>
      <c r="C933" s="193"/>
    </row>
    <row r="934" spans="1:3">
      <c r="A934" s="193" t="s">
        <v>649</v>
      </c>
      <c r="B934" s="193" t="s">
        <v>800</v>
      </c>
      <c r="C934" s="193"/>
    </row>
    <row r="935" spans="1:3">
      <c r="A935" s="193" t="s">
        <v>800</v>
      </c>
      <c r="B935" s="193"/>
      <c r="C935" s="193"/>
    </row>
    <row r="936" spans="1:3">
      <c r="A936" s="193" t="s">
        <v>651</v>
      </c>
      <c r="B936" s="193"/>
      <c r="C936" s="193"/>
    </row>
    <row r="937" spans="1:3">
      <c r="A937" s="193" t="s">
        <v>1109</v>
      </c>
      <c r="B937" s="193"/>
      <c r="C937" s="193"/>
    </row>
    <row r="938" spans="1:3">
      <c r="A938" s="193" t="s">
        <v>654</v>
      </c>
      <c r="B938" s="193"/>
      <c r="C938" s="193"/>
    </row>
    <row r="939" spans="1:3">
      <c r="A939" s="193" t="s">
        <v>649</v>
      </c>
      <c r="B939" s="193"/>
      <c r="C939" s="193"/>
    </row>
    <row r="940" spans="1:3">
      <c r="A940" s="193" t="s">
        <v>654</v>
      </c>
      <c r="B940" s="193" t="s">
        <v>649</v>
      </c>
      <c r="C940" s="193"/>
    </row>
    <row r="941" spans="1:3">
      <c r="A941" s="193" t="s">
        <v>651</v>
      </c>
      <c r="B941" s="193" t="s">
        <v>649</v>
      </c>
      <c r="C941" s="193"/>
    </row>
    <row r="942" spans="1:3">
      <c r="A942" s="193" t="s">
        <v>649</v>
      </c>
      <c r="B942" s="193" t="s">
        <v>994</v>
      </c>
      <c r="C942" s="193"/>
    </row>
    <row r="943" spans="1:3">
      <c r="A943" s="193" t="s">
        <v>649</v>
      </c>
      <c r="B943" s="193" t="s">
        <v>986</v>
      </c>
      <c r="C943" s="193" t="s">
        <v>654</v>
      </c>
    </row>
    <row r="944" spans="1:3">
      <c r="A944" s="193" t="s">
        <v>657</v>
      </c>
      <c r="B944" s="193"/>
      <c r="C944" s="193"/>
    </row>
    <row r="945" spans="1:3">
      <c r="A945" s="193" t="s">
        <v>649</v>
      </c>
      <c r="B945" s="193"/>
      <c r="C945" s="193"/>
    </row>
    <row r="946" spans="1:3">
      <c r="A946" s="193" t="s">
        <v>1080</v>
      </c>
      <c r="B946" s="193"/>
      <c r="C946" s="193"/>
    </row>
    <row r="947" spans="1:3">
      <c r="A947" s="193" t="s">
        <v>989</v>
      </c>
      <c r="B947" s="193"/>
      <c r="C947" s="193"/>
    </row>
    <row r="948" spans="1:3">
      <c r="A948" s="193" t="s">
        <v>649</v>
      </c>
      <c r="B948" s="193" t="s">
        <v>653</v>
      </c>
      <c r="C948" s="193"/>
    </row>
    <row r="949" spans="1:3">
      <c r="A949" s="193" t="s">
        <v>649</v>
      </c>
      <c r="B949" s="193" t="s">
        <v>1030</v>
      </c>
      <c r="C949" s="193"/>
    </row>
    <row r="950" spans="1:3">
      <c r="A950" s="193" t="s">
        <v>649</v>
      </c>
      <c r="B950" s="193" t="s">
        <v>986</v>
      </c>
      <c r="C950" s="193"/>
    </row>
    <row r="951" spans="1:3">
      <c r="A951" s="193" t="s">
        <v>994</v>
      </c>
      <c r="B951" s="193" t="s">
        <v>649</v>
      </c>
      <c r="C951" s="193"/>
    </row>
    <row r="952" spans="1:3">
      <c r="A952" s="193" t="s">
        <v>649</v>
      </c>
      <c r="B952" s="193"/>
      <c r="C952" s="193"/>
    </row>
    <row r="953" spans="1:3">
      <c r="A953" s="193" t="s">
        <v>649</v>
      </c>
      <c r="B953" s="193" t="s">
        <v>986</v>
      </c>
      <c r="C953" s="193" t="s">
        <v>989</v>
      </c>
    </row>
    <row r="954" spans="1:3">
      <c r="A954" s="193" t="s">
        <v>649</v>
      </c>
      <c r="B954" s="193"/>
      <c r="C954" s="193"/>
    </row>
    <row r="955" spans="1:3">
      <c r="A955" s="193" t="s">
        <v>649</v>
      </c>
      <c r="B955" s="193"/>
      <c r="C955" s="193"/>
    </row>
    <row r="956" spans="1:3">
      <c r="A956" s="193" t="s">
        <v>649</v>
      </c>
      <c r="B956" s="193"/>
      <c r="C956" s="193"/>
    </row>
    <row r="957" spans="1:3">
      <c r="A957" s="193" t="s">
        <v>649</v>
      </c>
      <c r="B957" s="193" t="s">
        <v>800</v>
      </c>
      <c r="C957" s="193"/>
    </row>
    <row r="958" spans="1:3">
      <c r="A958" s="193" t="s">
        <v>1007</v>
      </c>
      <c r="B958" s="193" t="s">
        <v>1110</v>
      </c>
      <c r="C958" s="193" t="s">
        <v>994</v>
      </c>
    </row>
    <row r="959" spans="1:3">
      <c r="A959" s="193" t="s">
        <v>659</v>
      </c>
      <c r="B959" s="193"/>
      <c r="C959" s="193"/>
    </row>
    <row r="960" spans="1:3">
      <c r="A960" s="193" t="s">
        <v>986</v>
      </c>
      <c r="B960" s="193"/>
      <c r="C960" s="193"/>
    </row>
    <row r="961" spans="1:3">
      <c r="A961" s="193" t="s">
        <v>649</v>
      </c>
      <c r="B961" s="193" t="s">
        <v>653</v>
      </c>
      <c r="C961" s="193" t="s">
        <v>659</v>
      </c>
    </row>
    <row r="962" spans="1:3">
      <c r="A962" s="193" t="s">
        <v>654</v>
      </c>
      <c r="B962" s="193" t="s">
        <v>649</v>
      </c>
      <c r="C962" s="193" t="s">
        <v>1111</v>
      </c>
    </row>
    <row r="963" spans="1:3">
      <c r="A963" s="193" t="s">
        <v>649</v>
      </c>
      <c r="B963" s="193" t="s">
        <v>1060</v>
      </c>
      <c r="C963" s="193"/>
    </row>
    <row r="964" spans="1:3">
      <c r="A964" s="193" t="s">
        <v>649</v>
      </c>
      <c r="B964" s="193"/>
      <c r="C964" s="193"/>
    </row>
    <row r="965" spans="1:3">
      <c r="A965" s="193" t="s">
        <v>992</v>
      </c>
      <c r="B965" s="193" t="s">
        <v>654</v>
      </c>
      <c r="C965" s="193" t="s">
        <v>651</v>
      </c>
    </row>
    <row r="966" spans="1:3">
      <c r="A966" s="193" t="s">
        <v>649</v>
      </c>
      <c r="B966" s="193" t="s">
        <v>1112</v>
      </c>
      <c r="C966" s="193"/>
    </row>
    <row r="967" spans="1:3">
      <c r="A967" s="193" t="s">
        <v>649</v>
      </c>
      <c r="B967" s="193"/>
      <c r="C967" s="193"/>
    </row>
    <row r="968" spans="1:3">
      <c r="A968" s="193" t="s">
        <v>649</v>
      </c>
      <c r="B968" s="193" t="s">
        <v>802</v>
      </c>
      <c r="C968" s="193" t="s">
        <v>658</v>
      </c>
    </row>
    <row r="969" spans="1:3">
      <c r="A969" s="193" t="s">
        <v>649</v>
      </c>
      <c r="B969" s="193" t="s">
        <v>658</v>
      </c>
      <c r="C969" s="193" t="s">
        <v>802</v>
      </c>
    </row>
    <row r="970" spans="1:3">
      <c r="A970" s="193" t="s">
        <v>649</v>
      </c>
      <c r="B970" s="193" t="s">
        <v>654</v>
      </c>
      <c r="C970" s="193"/>
    </row>
    <row r="971" spans="1:3">
      <c r="A971" s="193" t="s">
        <v>649</v>
      </c>
      <c r="B971" s="193" t="s">
        <v>986</v>
      </c>
      <c r="C971" s="193" t="s">
        <v>1005</v>
      </c>
    </row>
    <row r="972" spans="1:3">
      <c r="A972" s="193" t="s">
        <v>649</v>
      </c>
      <c r="B972" s="193" t="s">
        <v>1113</v>
      </c>
      <c r="C972" s="193" t="s">
        <v>1049</v>
      </c>
    </row>
    <row r="973" spans="1:3">
      <c r="A973" s="193" t="s">
        <v>649</v>
      </c>
      <c r="B973" s="193" t="s">
        <v>986</v>
      </c>
      <c r="C973" s="193"/>
    </row>
    <row r="974" spans="1:3">
      <c r="A974" s="193" t="s">
        <v>649</v>
      </c>
      <c r="B974" s="193"/>
      <c r="C974" s="193"/>
    </row>
    <row r="975" spans="1:3">
      <c r="A975" s="193" t="s">
        <v>658</v>
      </c>
      <c r="B975" s="193" t="s">
        <v>1049</v>
      </c>
      <c r="C975" s="193"/>
    </row>
    <row r="976" spans="1:3">
      <c r="A976" s="193" t="s">
        <v>649</v>
      </c>
      <c r="B976" s="193" t="s">
        <v>654</v>
      </c>
      <c r="C976" s="193" t="s">
        <v>986</v>
      </c>
    </row>
    <row r="977" spans="1:3">
      <c r="A977" s="193" t="s">
        <v>986</v>
      </c>
      <c r="B977" s="193"/>
      <c r="C977" s="193"/>
    </row>
    <row r="978" spans="1:3">
      <c r="A978" s="193" t="s">
        <v>659</v>
      </c>
      <c r="B978" s="193" t="s">
        <v>649</v>
      </c>
      <c r="C978" s="193"/>
    </row>
    <row r="979" spans="1:3">
      <c r="A979" s="193" t="s">
        <v>649</v>
      </c>
      <c r="B979" s="193" t="s">
        <v>1033</v>
      </c>
      <c r="C979" s="193"/>
    </row>
    <row r="980" spans="1:3">
      <c r="A980" s="193" t="s">
        <v>649</v>
      </c>
      <c r="B980" s="193" t="s">
        <v>987</v>
      </c>
      <c r="C980" s="193" t="s">
        <v>655</v>
      </c>
    </row>
    <row r="981" spans="1:3">
      <c r="A981" s="193" t="s">
        <v>649</v>
      </c>
      <c r="B981" s="193"/>
      <c r="C981" s="193"/>
    </row>
    <row r="982" spans="1:3">
      <c r="A982" s="193" t="s">
        <v>986</v>
      </c>
      <c r="B982" s="193"/>
      <c r="C982" s="193"/>
    </row>
    <row r="983" spans="1:3">
      <c r="A983" s="193" t="s">
        <v>649</v>
      </c>
      <c r="B983" s="193"/>
      <c r="C983" s="193"/>
    </row>
    <row r="984" spans="1:3">
      <c r="A984" s="193" t="s">
        <v>1049</v>
      </c>
      <c r="B984" s="193"/>
      <c r="C984" s="193"/>
    </row>
    <row r="985" spans="1:3">
      <c r="A985" s="193" t="s">
        <v>994</v>
      </c>
      <c r="B985" s="193" t="s">
        <v>649</v>
      </c>
      <c r="C985" s="193"/>
    </row>
    <row r="986" spans="1:3">
      <c r="A986" s="193" t="s">
        <v>649</v>
      </c>
      <c r="B986" s="193" t="s">
        <v>653</v>
      </c>
      <c r="C986" s="193"/>
    </row>
    <row r="987" spans="1:3">
      <c r="A987" s="193" t="s">
        <v>649</v>
      </c>
      <c r="B987" s="193"/>
      <c r="C987" s="193"/>
    </row>
    <row r="988" spans="1:3">
      <c r="A988" s="193" t="s">
        <v>649</v>
      </c>
      <c r="B988" s="193" t="s">
        <v>986</v>
      </c>
      <c r="C988" s="193" t="s">
        <v>800</v>
      </c>
    </row>
    <row r="989" spans="1:3">
      <c r="A989" s="193" t="s">
        <v>649</v>
      </c>
      <c r="B989" s="193"/>
      <c r="C989" s="193"/>
    </row>
    <row r="990" spans="1:3">
      <c r="A990" s="193" t="s">
        <v>649</v>
      </c>
      <c r="B990" s="193" t="s">
        <v>651</v>
      </c>
      <c r="C990" s="193" t="s">
        <v>653</v>
      </c>
    </row>
    <row r="991" spans="1:3">
      <c r="A991" s="193" t="s">
        <v>649</v>
      </c>
      <c r="B991" s="193"/>
      <c r="C991" s="193"/>
    </row>
    <row r="992" spans="1:3">
      <c r="A992" s="193" t="s">
        <v>649</v>
      </c>
      <c r="B992" s="193"/>
      <c r="C992" s="193"/>
    </row>
    <row r="993" spans="1:3">
      <c r="A993" s="193" t="s">
        <v>649</v>
      </c>
      <c r="B993" s="193" t="s">
        <v>653</v>
      </c>
      <c r="C993" s="193" t="s">
        <v>986</v>
      </c>
    </row>
    <row r="994" spans="1:3">
      <c r="A994" s="193" t="s">
        <v>649</v>
      </c>
      <c r="B994" s="193"/>
      <c r="C994" s="193"/>
    </row>
    <row r="995" spans="1:3">
      <c r="A995" s="193" t="s">
        <v>649</v>
      </c>
      <c r="B995" s="193"/>
      <c r="C995" s="193"/>
    </row>
    <row r="996" spans="1:3">
      <c r="A996" s="193" t="s">
        <v>649</v>
      </c>
      <c r="B996" s="193"/>
      <c r="C996" s="193"/>
    </row>
    <row r="997" spans="1:3">
      <c r="A997" s="193" t="s">
        <v>649</v>
      </c>
      <c r="B997" s="193"/>
      <c r="C997" s="193"/>
    </row>
    <row r="998" spans="1:3">
      <c r="A998" s="193" t="s">
        <v>649</v>
      </c>
      <c r="B998" s="193" t="s">
        <v>986</v>
      </c>
      <c r="C998" s="193"/>
    </row>
    <row r="999" spans="1:3">
      <c r="A999" s="193" t="s">
        <v>649</v>
      </c>
      <c r="B999" s="193"/>
      <c r="C999" s="193"/>
    </row>
    <row r="1000" spans="1:3">
      <c r="A1000" s="193" t="s">
        <v>649</v>
      </c>
      <c r="B1000" s="193" t="s">
        <v>653</v>
      </c>
      <c r="C1000" s="193"/>
    </row>
    <row r="1001" spans="1:3">
      <c r="A1001" s="193" t="s">
        <v>649</v>
      </c>
      <c r="B1001" s="193"/>
      <c r="C1001" s="193"/>
    </row>
    <row r="1002" spans="1:3">
      <c r="A1002" s="193" t="s">
        <v>649</v>
      </c>
      <c r="B1002" s="193"/>
      <c r="C1002" s="193"/>
    </row>
    <row r="1003" spans="1:3">
      <c r="A1003" s="193" t="s">
        <v>649</v>
      </c>
      <c r="B1003" s="193" t="s">
        <v>986</v>
      </c>
      <c r="C1003" s="193"/>
    </row>
    <row r="1004" spans="1:3">
      <c r="A1004" s="193" t="s">
        <v>649</v>
      </c>
      <c r="B1004" s="193"/>
      <c r="C1004" s="193"/>
    </row>
    <row r="1005" spans="1:3">
      <c r="A1005" s="193" t="s">
        <v>649</v>
      </c>
      <c r="B1005" s="193" t="s">
        <v>994</v>
      </c>
      <c r="C1005" s="193" t="s">
        <v>1007</v>
      </c>
    </row>
    <row r="1006" spans="1:3">
      <c r="A1006" s="193" t="s">
        <v>649</v>
      </c>
      <c r="B1006" s="193"/>
      <c r="C1006" s="193"/>
    </row>
    <row r="1007" spans="1:3">
      <c r="A1007" s="193" t="s">
        <v>649</v>
      </c>
      <c r="B1007" s="193"/>
      <c r="C1007" s="193"/>
    </row>
    <row r="1008" spans="1:3">
      <c r="A1008" s="193" t="s">
        <v>653</v>
      </c>
      <c r="B1008" s="193"/>
      <c r="C1008" s="193"/>
    </row>
    <row r="1009" spans="1:3">
      <c r="A1009" s="193" t="s">
        <v>649</v>
      </c>
      <c r="B1009" s="193"/>
      <c r="C1009" s="193"/>
    </row>
    <row r="1010" spans="1:3">
      <c r="A1010" s="193" t="s">
        <v>653</v>
      </c>
      <c r="B1010" s="193"/>
      <c r="C1010" s="193"/>
    </row>
    <row r="1011" spans="1:3">
      <c r="A1011" s="193" t="s">
        <v>653</v>
      </c>
      <c r="B1011" s="193"/>
      <c r="C1011" s="193"/>
    </row>
    <row r="1012" spans="1:3">
      <c r="A1012" s="193" t="s">
        <v>653</v>
      </c>
      <c r="B1012" s="193" t="s">
        <v>986</v>
      </c>
      <c r="C1012" s="193"/>
    </row>
    <row r="1013" spans="1:3">
      <c r="A1013" s="193" t="s">
        <v>649</v>
      </c>
      <c r="B1013" s="193" t="s">
        <v>1088</v>
      </c>
      <c r="C1013" s="193" t="s">
        <v>653</v>
      </c>
    </row>
    <row r="1014" spans="1:3">
      <c r="A1014" s="193" t="s">
        <v>649</v>
      </c>
      <c r="B1014" s="193"/>
      <c r="C1014" s="193"/>
    </row>
    <row r="1015" spans="1:3">
      <c r="A1015" s="193" t="s">
        <v>649</v>
      </c>
      <c r="B1015" s="193" t="s">
        <v>986</v>
      </c>
      <c r="C1015" s="193" t="s">
        <v>1019</v>
      </c>
    </row>
    <row r="1016" spans="1:3">
      <c r="A1016" s="193" t="s">
        <v>986</v>
      </c>
      <c r="B1016" s="193"/>
      <c r="C1016" s="193"/>
    </row>
    <row r="1017" spans="1:3">
      <c r="A1017" s="193" t="s">
        <v>649</v>
      </c>
      <c r="B1017" s="193" t="s">
        <v>986</v>
      </c>
      <c r="C1017" s="193" t="s">
        <v>654</v>
      </c>
    </row>
    <row r="1018" spans="1:3">
      <c r="A1018" s="193" t="s">
        <v>649</v>
      </c>
      <c r="B1018" s="193" t="s">
        <v>653</v>
      </c>
      <c r="C1018" s="193"/>
    </row>
    <row r="1019" spans="1:3">
      <c r="A1019" s="193" t="s">
        <v>649</v>
      </c>
      <c r="B1019" s="193" t="s">
        <v>986</v>
      </c>
      <c r="C1019" s="193" t="s">
        <v>653</v>
      </c>
    </row>
    <row r="1020" spans="1:3">
      <c r="A1020" s="193" t="s">
        <v>649</v>
      </c>
      <c r="B1020" s="193" t="s">
        <v>653</v>
      </c>
      <c r="C1020" s="193"/>
    </row>
    <row r="1021" spans="1:3">
      <c r="A1021" s="193" t="s">
        <v>649</v>
      </c>
      <c r="B1021" s="193"/>
      <c r="C1021" s="193"/>
    </row>
    <row r="1022" spans="1:3">
      <c r="A1022" s="193" t="s">
        <v>649</v>
      </c>
      <c r="B1022" s="193" t="s">
        <v>986</v>
      </c>
      <c r="C1022" s="193" t="s">
        <v>658</v>
      </c>
    </row>
    <row r="1023" spans="1:3">
      <c r="A1023" s="193" t="s">
        <v>649</v>
      </c>
      <c r="B1023" s="193" t="s">
        <v>986</v>
      </c>
      <c r="C1023" s="193"/>
    </row>
    <row r="1024" spans="1:3">
      <c r="A1024" s="193" t="s">
        <v>986</v>
      </c>
      <c r="B1024" s="193" t="s">
        <v>1044</v>
      </c>
      <c r="C1024" s="193"/>
    </row>
    <row r="1025" spans="1:3">
      <c r="A1025" s="193" t="s">
        <v>802</v>
      </c>
      <c r="B1025" s="193" t="s">
        <v>986</v>
      </c>
      <c r="C1025" s="193" t="s">
        <v>1114</v>
      </c>
    </row>
    <row r="1026" spans="1:3">
      <c r="A1026" s="193" t="s">
        <v>649</v>
      </c>
      <c r="B1026" s="193" t="s">
        <v>651</v>
      </c>
      <c r="C1026" s="193" t="s">
        <v>653</v>
      </c>
    </row>
    <row r="1027" spans="1:3">
      <c r="A1027" s="193" t="s">
        <v>649</v>
      </c>
      <c r="B1027" s="193" t="s">
        <v>994</v>
      </c>
      <c r="C1027" s="193" t="s">
        <v>987</v>
      </c>
    </row>
    <row r="1028" spans="1:3">
      <c r="A1028" s="193" t="s">
        <v>649</v>
      </c>
      <c r="B1028" s="193" t="s">
        <v>986</v>
      </c>
      <c r="C1028" s="193"/>
    </row>
    <row r="1029" spans="1:3">
      <c r="A1029" s="193" t="s">
        <v>649</v>
      </c>
      <c r="B1029" s="193" t="s">
        <v>657</v>
      </c>
      <c r="C1029" s="193" t="s">
        <v>1010</v>
      </c>
    </row>
    <row r="1030" spans="1:3">
      <c r="A1030" s="193" t="s">
        <v>1115</v>
      </c>
      <c r="B1030" s="193" t="s">
        <v>1116</v>
      </c>
      <c r="C1030" s="193" t="s">
        <v>802</v>
      </c>
    </row>
    <row r="1031" spans="1:3">
      <c r="A1031" s="193" t="s">
        <v>653</v>
      </c>
      <c r="B1031" s="193" t="s">
        <v>657</v>
      </c>
      <c r="C1031" s="193" t="s">
        <v>649</v>
      </c>
    </row>
    <row r="1032" spans="1:3">
      <c r="A1032" s="193" t="s">
        <v>986</v>
      </c>
      <c r="B1032" s="193" t="s">
        <v>649</v>
      </c>
      <c r="C1032" s="193" t="s">
        <v>1117</v>
      </c>
    </row>
    <row r="1033" spans="1:3">
      <c r="A1033" s="193" t="s">
        <v>1019</v>
      </c>
      <c r="B1033" s="193" t="s">
        <v>649</v>
      </c>
      <c r="C1033" s="193" t="s">
        <v>654</v>
      </c>
    </row>
    <row r="1034" spans="1:3">
      <c r="A1034" s="193" t="s">
        <v>649</v>
      </c>
      <c r="B1034" s="193"/>
      <c r="C1034" s="193"/>
    </row>
    <row r="1035" spans="1:3">
      <c r="A1035" s="193" t="s">
        <v>986</v>
      </c>
      <c r="B1035" s="193" t="s">
        <v>649</v>
      </c>
      <c r="C1035" s="193"/>
    </row>
    <row r="1036" spans="1:3">
      <c r="A1036" s="193" t="s">
        <v>1118</v>
      </c>
      <c r="B1036" s="193"/>
      <c r="C1036" s="193"/>
    </row>
    <row r="1037" spans="1:3">
      <c r="A1037" s="193" t="s">
        <v>799</v>
      </c>
      <c r="B1037" s="193" t="s">
        <v>1010</v>
      </c>
      <c r="C1037" s="193" t="s">
        <v>800</v>
      </c>
    </row>
    <row r="1038" spans="1:3">
      <c r="A1038" s="193" t="s">
        <v>1119</v>
      </c>
      <c r="B1038" s="193" t="s">
        <v>1120</v>
      </c>
      <c r="C1038" s="193"/>
    </row>
    <row r="1039" spans="1:3">
      <c r="A1039" s="193" t="s">
        <v>649</v>
      </c>
      <c r="B1039" s="193"/>
      <c r="C1039" s="193"/>
    </row>
    <row r="1040" spans="1:3">
      <c r="A1040" s="193" t="s">
        <v>649</v>
      </c>
      <c r="B1040" s="193"/>
      <c r="C1040" s="193"/>
    </row>
    <row r="1041" spans="1:3">
      <c r="A1041" s="193" t="s">
        <v>651</v>
      </c>
      <c r="B1041" s="193"/>
      <c r="C1041" s="193"/>
    </row>
    <row r="1042" spans="1:3">
      <c r="A1042" s="193" t="s">
        <v>653</v>
      </c>
      <c r="B1042" s="193" t="s">
        <v>649</v>
      </c>
      <c r="C1042" s="193" t="s">
        <v>656</v>
      </c>
    </row>
    <row r="1043" spans="1:3">
      <c r="A1043" s="193" t="s">
        <v>654</v>
      </c>
      <c r="B1043" s="193" t="s">
        <v>649</v>
      </c>
      <c r="C1043" s="193"/>
    </row>
    <row r="1044" spans="1:3">
      <c r="A1044" s="193" t="s">
        <v>649</v>
      </c>
      <c r="B1044" s="193" t="s">
        <v>654</v>
      </c>
      <c r="C1044" s="193"/>
    </row>
    <row r="1045" spans="1:3">
      <c r="A1045" s="193" t="s">
        <v>649</v>
      </c>
      <c r="B1045" s="193" t="s">
        <v>654</v>
      </c>
      <c r="C1045" s="193"/>
    </row>
    <row r="1046" spans="1:3">
      <c r="A1046" s="193" t="s">
        <v>649</v>
      </c>
      <c r="B1046" s="193" t="s">
        <v>803</v>
      </c>
      <c r="C1046" s="193"/>
    </row>
    <row r="1047" spans="1:3">
      <c r="A1047" s="193" t="s">
        <v>649</v>
      </c>
      <c r="B1047" s="193" t="s">
        <v>986</v>
      </c>
      <c r="C1047" s="193" t="s">
        <v>651</v>
      </c>
    </row>
    <row r="1048" spans="1:3">
      <c r="A1048" s="193" t="s">
        <v>649</v>
      </c>
      <c r="B1048" s="193"/>
      <c r="C1048" s="193"/>
    </row>
    <row r="1049" spans="1:3">
      <c r="A1049" s="193" t="s">
        <v>649</v>
      </c>
      <c r="B1049" s="193" t="s">
        <v>1121</v>
      </c>
      <c r="C1049" s="193"/>
    </row>
    <row r="1050" spans="1:3">
      <c r="A1050" s="193" t="s">
        <v>653</v>
      </c>
      <c r="B1050" s="193"/>
      <c r="C1050" s="193"/>
    </row>
    <row r="1051" spans="1:3">
      <c r="A1051" s="193" t="s">
        <v>649</v>
      </c>
      <c r="B1051" s="193"/>
      <c r="C1051" s="193"/>
    </row>
    <row r="1052" spans="1:3">
      <c r="A1052" s="193" t="s">
        <v>654</v>
      </c>
      <c r="B1052" s="193" t="s">
        <v>986</v>
      </c>
      <c r="C1052" s="193"/>
    </row>
    <row r="1053" spans="1:3">
      <c r="A1053" s="193" t="s">
        <v>1122</v>
      </c>
      <c r="B1053" s="193"/>
      <c r="C1053" s="193"/>
    </row>
    <row r="1054" spans="1:3">
      <c r="A1054" s="193" t="s">
        <v>986</v>
      </c>
      <c r="B1054" s="193" t="s">
        <v>649</v>
      </c>
      <c r="C1054" s="193"/>
    </row>
    <row r="1055" spans="1:3">
      <c r="A1055" s="193" t="s">
        <v>649</v>
      </c>
      <c r="B1055" s="193" t="s">
        <v>654</v>
      </c>
      <c r="C1055" s="193"/>
    </row>
    <row r="1056" spans="1:3">
      <c r="A1056" s="193" t="s">
        <v>659</v>
      </c>
      <c r="B1056" s="193"/>
      <c r="C1056" s="193"/>
    </row>
    <row r="1057" spans="1:3">
      <c r="A1057" s="193" t="s">
        <v>651</v>
      </c>
      <c r="B1057" s="193" t="s">
        <v>649</v>
      </c>
      <c r="C1057" s="193" t="s">
        <v>986</v>
      </c>
    </row>
    <row r="1058" spans="1:3">
      <c r="A1058" s="193" t="s">
        <v>649</v>
      </c>
      <c r="B1058" s="193" t="s">
        <v>986</v>
      </c>
      <c r="C1058" s="193" t="s">
        <v>803</v>
      </c>
    </row>
    <row r="1059" spans="1:3">
      <c r="A1059" s="193" t="s">
        <v>649</v>
      </c>
      <c r="B1059" s="193"/>
      <c r="C1059" s="193"/>
    </row>
    <row r="1060" spans="1:3">
      <c r="A1060" s="193" t="s">
        <v>649</v>
      </c>
      <c r="B1060" s="193" t="s">
        <v>986</v>
      </c>
      <c r="C1060" s="193" t="s">
        <v>652</v>
      </c>
    </row>
    <row r="1061" spans="1:3">
      <c r="A1061" s="193" t="s">
        <v>1116</v>
      </c>
      <c r="B1061" s="193" t="s">
        <v>649</v>
      </c>
      <c r="C1061" s="193" t="s">
        <v>654</v>
      </c>
    </row>
    <row r="1062" spans="1:3">
      <c r="A1062" s="193" t="s">
        <v>651</v>
      </c>
      <c r="B1062" s="193" t="s">
        <v>986</v>
      </c>
      <c r="C1062" s="193" t="s">
        <v>649</v>
      </c>
    </row>
    <row r="1063" spans="1:3">
      <c r="A1063" s="193" t="s">
        <v>653</v>
      </c>
      <c r="B1063" s="193" t="s">
        <v>649</v>
      </c>
      <c r="C1063" s="193" t="s">
        <v>657</v>
      </c>
    </row>
    <row r="1064" spans="1:3">
      <c r="A1064" s="193" t="s">
        <v>649</v>
      </c>
      <c r="B1064" s="193"/>
      <c r="C1064" s="193"/>
    </row>
    <row r="1065" spans="1:3">
      <c r="A1065" s="193" t="s">
        <v>649</v>
      </c>
      <c r="B1065" s="193"/>
      <c r="C1065" s="193"/>
    </row>
    <row r="1066" spans="1:3">
      <c r="A1066" s="193" t="s">
        <v>651</v>
      </c>
      <c r="B1066" s="193" t="s">
        <v>649</v>
      </c>
      <c r="C1066" s="193"/>
    </row>
    <row r="1067" spans="1:3">
      <c r="A1067" s="193" t="s">
        <v>1123</v>
      </c>
      <c r="B1067" s="193" t="s">
        <v>649</v>
      </c>
      <c r="C1067" s="193" t="s">
        <v>652</v>
      </c>
    </row>
    <row r="1068" spans="1:3">
      <c r="A1068" s="193" t="s">
        <v>649</v>
      </c>
      <c r="B1068" s="193" t="s">
        <v>1124</v>
      </c>
      <c r="C1068" s="193"/>
    </row>
    <row r="1069" spans="1:3">
      <c r="A1069" s="193" t="s">
        <v>649</v>
      </c>
      <c r="B1069" s="193" t="s">
        <v>986</v>
      </c>
      <c r="C1069" s="193" t="s">
        <v>800</v>
      </c>
    </row>
    <row r="1070" spans="1:3">
      <c r="A1070" s="193" t="s">
        <v>649</v>
      </c>
      <c r="B1070" s="193"/>
      <c r="C1070" s="193"/>
    </row>
    <row r="1071" spans="1:3">
      <c r="A1071" s="193" t="s">
        <v>649</v>
      </c>
      <c r="B1071" s="193" t="s">
        <v>994</v>
      </c>
      <c r="C1071" s="193" t="s">
        <v>987</v>
      </c>
    </row>
    <row r="1072" spans="1:3">
      <c r="A1072" s="193" t="s">
        <v>649</v>
      </c>
      <c r="B1072" s="193"/>
      <c r="C1072" s="193"/>
    </row>
    <row r="1073" spans="1:3">
      <c r="A1073" s="193" t="s">
        <v>986</v>
      </c>
      <c r="B1073" s="193" t="s">
        <v>803</v>
      </c>
      <c r="C1073" s="193" t="s">
        <v>653</v>
      </c>
    </row>
    <row r="1074" spans="1:3">
      <c r="A1074" s="193" t="s">
        <v>649</v>
      </c>
      <c r="B1074" s="193" t="s">
        <v>655</v>
      </c>
      <c r="C1074" s="193" t="s">
        <v>654</v>
      </c>
    </row>
    <row r="1075" spans="1:3">
      <c r="A1075" s="193" t="s">
        <v>1080</v>
      </c>
      <c r="B1075" s="193"/>
      <c r="C1075" s="193"/>
    </row>
    <row r="1076" spans="1:3">
      <c r="A1076" s="193" t="s">
        <v>649</v>
      </c>
      <c r="B1076" s="193"/>
      <c r="C1076" s="193"/>
    </row>
    <row r="1077" spans="1:3">
      <c r="A1077" s="193" t="s">
        <v>986</v>
      </c>
      <c r="B1077" s="193" t="s">
        <v>649</v>
      </c>
      <c r="C1077" s="193"/>
    </row>
    <row r="1078" spans="1:3">
      <c r="A1078" s="193" t="s">
        <v>649</v>
      </c>
      <c r="B1078" s="193"/>
      <c r="C1078" s="193"/>
    </row>
    <row r="1079" spans="1:3">
      <c r="A1079" s="193" t="s">
        <v>649</v>
      </c>
      <c r="B1079" s="193" t="s">
        <v>986</v>
      </c>
      <c r="C1079" s="193" t="s">
        <v>652</v>
      </c>
    </row>
    <row r="1080" spans="1:3">
      <c r="A1080" s="193" t="s">
        <v>649</v>
      </c>
      <c r="B1080" s="193" t="s">
        <v>994</v>
      </c>
      <c r="C1080" s="193" t="s">
        <v>1007</v>
      </c>
    </row>
    <row r="1081" spans="1:3">
      <c r="A1081" s="193" t="s">
        <v>649</v>
      </c>
      <c r="B1081" s="193"/>
      <c r="C1081" s="193"/>
    </row>
    <row r="1082" spans="1:3">
      <c r="A1082" s="193" t="s">
        <v>649</v>
      </c>
      <c r="B1082" s="193" t="s">
        <v>654</v>
      </c>
      <c r="C1082" s="193" t="s">
        <v>653</v>
      </c>
    </row>
    <row r="1083" spans="1:3">
      <c r="A1083" s="193" t="s">
        <v>649</v>
      </c>
      <c r="B1083" s="193"/>
      <c r="C1083" s="193"/>
    </row>
    <row r="1084" spans="1:3">
      <c r="A1084" s="193" t="s">
        <v>652</v>
      </c>
      <c r="B1084" s="193" t="s">
        <v>649</v>
      </c>
      <c r="C1084" s="193"/>
    </row>
    <row r="1085" spans="1:3">
      <c r="A1085" s="193" t="s">
        <v>649</v>
      </c>
      <c r="B1085" s="193" t="s">
        <v>654</v>
      </c>
      <c r="C1085" s="193"/>
    </row>
    <row r="1086" spans="1:3">
      <c r="A1086" s="193" t="s">
        <v>1125</v>
      </c>
      <c r="B1086" s="193" t="s">
        <v>802</v>
      </c>
      <c r="C1086" s="193" t="s">
        <v>651</v>
      </c>
    </row>
    <row r="1087" spans="1:3">
      <c r="A1087" s="193" t="s">
        <v>986</v>
      </c>
      <c r="B1087" s="193"/>
      <c r="C1087" s="193"/>
    </row>
    <row r="1088" spans="1:3">
      <c r="A1088" s="193" t="s">
        <v>986</v>
      </c>
      <c r="B1088" s="193"/>
      <c r="C1088" s="193"/>
    </row>
    <row r="1089" spans="1:3">
      <c r="A1089" s="193" t="s">
        <v>649</v>
      </c>
      <c r="B1089" s="193"/>
      <c r="C1089" s="193"/>
    </row>
    <row r="1090" spans="1:3">
      <c r="A1090" s="193" t="s">
        <v>649</v>
      </c>
      <c r="B1090" s="193" t="s">
        <v>658</v>
      </c>
      <c r="C1090" s="193" t="s">
        <v>802</v>
      </c>
    </row>
    <row r="1091" spans="1:3">
      <c r="A1091" s="193" t="s">
        <v>649</v>
      </c>
      <c r="B1091" s="193"/>
      <c r="C1091" s="193"/>
    </row>
    <row r="1092" spans="1:3">
      <c r="A1092" s="193" t="s">
        <v>649</v>
      </c>
      <c r="B1092" s="193"/>
      <c r="C1092" s="193"/>
    </row>
    <row r="1093" spans="1:3">
      <c r="A1093" s="193" t="s">
        <v>649</v>
      </c>
      <c r="B1093" s="193" t="s">
        <v>986</v>
      </c>
      <c r="C1093" s="193"/>
    </row>
    <row r="1094" spans="1:3">
      <c r="A1094" s="193" t="s">
        <v>649</v>
      </c>
      <c r="B1094" s="193" t="s">
        <v>986</v>
      </c>
      <c r="C1094" s="193"/>
    </row>
    <row r="1095" spans="1:3">
      <c r="A1095" s="193" t="s">
        <v>649</v>
      </c>
      <c r="B1095" s="193" t="s">
        <v>986</v>
      </c>
      <c r="C1095" s="193" t="s">
        <v>802</v>
      </c>
    </row>
    <row r="1096" spans="1:3">
      <c r="A1096" s="193" t="s">
        <v>1126</v>
      </c>
      <c r="B1096" s="193"/>
      <c r="C1096" s="193"/>
    </row>
    <row r="1097" spans="1:3">
      <c r="A1097" s="193" t="s">
        <v>649</v>
      </c>
      <c r="B1097" s="193" t="s">
        <v>651</v>
      </c>
      <c r="C1097" s="193"/>
    </row>
    <row r="1098" spans="1:3">
      <c r="A1098" s="193" t="s">
        <v>649</v>
      </c>
      <c r="B1098" s="193" t="s">
        <v>994</v>
      </c>
      <c r="C1098" s="193" t="s">
        <v>999</v>
      </c>
    </row>
    <row r="1099" spans="1:3">
      <c r="A1099" s="193" t="s">
        <v>986</v>
      </c>
      <c r="B1099" s="193" t="s">
        <v>653</v>
      </c>
      <c r="C1099" s="193"/>
    </row>
    <row r="1100" spans="1:3">
      <c r="A1100" s="193" t="s">
        <v>651</v>
      </c>
      <c r="B1100" s="193" t="s">
        <v>649</v>
      </c>
      <c r="C1100" s="193"/>
    </row>
    <row r="1101" spans="1:3">
      <c r="A1101" s="193" t="s">
        <v>649</v>
      </c>
      <c r="B1101" s="193"/>
      <c r="C1101" s="193"/>
    </row>
    <row r="1102" spans="1:3">
      <c r="A1102" s="193" t="s">
        <v>649</v>
      </c>
      <c r="B1102" s="193" t="s">
        <v>802</v>
      </c>
      <c r="C1102" s="193" t="s">
        <v>1015</v>
      </c>
    </row>
    <row r="1103" spans="1:3">
      <c r="A1103" s="193" t="s">
        <v>649</v>
      </c>
      <c r="B1103" s="193" t="s">
        <v>1127</v>
      </c>
      <c r="C1103" s="193" t="s">
        <v>652</v>
      </c>
    </row>
    <row r="1104" spans="1:3">
      <c r="A1104" s="193" t="s">
        <v>649</v>
      </c>
      <c r="B1104" s="193"/>
      <c r="C1104" s="193"/>
    </row>
    <row r="1105" spans="1:3">
      <c r="A1105" s="193" t="s">
        <v>649</v>
      </c>
      <c r="B1105" s="193" t="s">
        <v>986</v>
      </c>
      <c r="C1105" s="193"/>
    </row>
    <row r="1106" spans="1:3">
      <c r="A1106" s="193" t="s">
        <v>649</v>
      </c>
      <c r="B1106" s="193" t="s">
        <v>651</v>
      </c>
      <c r="C1106" s="193" t="s">
        <v>986</v>
      </c>
    </row>
    <row r="1107" spans="1:3">
      <c r="A1107" s="193" t="s">
        <v>649</v>
      </c>
      <c r="B1107" s="193"/>
      <c r="C1107" s="193"/>
    </row>
    <row r="1108" spans="1:3">
      <c r="A1108" s="193" t="s">
        <v>649</v>
      </c>
      <c r="B1108" s="193" t="s">
        <v>986</v>
      </c>
      <c r="C1108" s="193" t="s">
        <v>653</v>
      </c>
    </row>
    <row r="1109" spans="1:3">
      <c r="A1109" s="193" t="s">
        <v>649</v>
      </c>
      <c r="B1109" s="193" t="s">
        <v>651</v>
      </c>
      <c r="C1109" s="193" t="s">
        <v>986</v>
      </c>
    </row>
    <row r="1110" spans="1:3">
      <c r="A1110" s="193" t="s">
        <v>986</v>
      </c>
      <c r="B1110" s="193"/>
      <c r="C1110" s="193"/>
    </row>
    <row r="1111" spans="1:3">
      <c r="A1111" s="193" t="s">
        <v>649</v>
      </c>
      <c r="B1111" s="193" t="s">
        <v>653</v>
      </c>
      <c r="C1111" s="193" t="s">
        <v>657</v>
      </c>
    </row>
    <row r="1112" spans="1:3">
      <c r="A1112" s="193" t="s">
        <v>649</v>
      </c>
      <c r="B1112" s="193" t="s">
        <v>986</v>
      </c>
      <c r="C1112" s="193"/>
    </row>
    <row r="1113" spans="1:3">
      <c r="A1113" s="193" t="s">
        <v>986</v>
      </c>
      <c r="B1113" s="193" t="s">
        <v>649</v>
      </c>
      <c r="C1113" s="193"/>
    </row>
    <row r="1114" spans="1:3">
      <c r="A1114" s="193" t="s">
        <v>986</v>
      </c>
      <c r="B1114" s="193"/>
      <c r="C1114" s="193"/>
    </row>
    <row r="1115" spans="1:3">
      <c r="A1115" s="193" t="s">
        <v>649</v>
      </c>
      <c r="B1115" s="193"/>
      <c r="C1115" s="193"/>
    </row>
    <row r="1116" spans="1:3">
      <c r="A1116" s="193" t="s">
        <v>649</v>
      </c>
      <c r="B1116" s="193" t="s">
        <v>993</v>
      </c>
      <c r="C1116" s="193"/>
    </row>
    <row r="1117" spans="1:3">
      <c r="A1117" s="193" t="s">
        <v>649</v>
      </c>
      <c r="B1117" s="193" t="s">
        <v>1095</v>
      </c>
      <c r="C1117" s="193"/>
    </row>
    <row r="1118" spans="1:3">
      <c r="A1118" s="193" t="s">
        <v>649</v>
      </c>
      <c r="B1118" s="193" t="s">
        <v>989</v>
      </c>
      <c r="C1118" s="193" t="s">
        <v>653</v>
      </c>
    </row>
    <row r="1119" spans="1:3">
      <c r="A1119" s="193" t="s">
        <v>653</v>
      </c>
      <c r="B1119" s="193" t="s">
        <v>649</v>
      </c>
      <c r="C1119" s="193" t="s">
        <v>986</v>
      </c>
    </row>
    <row r="1120" spans="1:3">
      <c r="A1120" s="193" t="s">
        <v>649</v>
      </c>
      <c r="B1120" s="193" t="s">
        <v>653</v>
      </c>
      <c r="C1120" s="193"/>
    </row>
    <row r="1121" spans="1:3">
      <c r="A1121" s="193" t="s">
        <v>649</v>
      </c>
      <c r="B1121" s="193" t="s">
        <v>654</v>
      </c>
      <c r="C1121" s="193" t="s">
        <v>653</v>
      </c>
    </row>
    <row r="1122" spans="1:3">
      <c r="A1122" s="193" t="s">
        <v>1128</v>
      </c>
      <c r="B1122" s="193" t="s">
        <v>653</v>
      </c>
      <c r="C1122" s="193" t="s">
        <v>1046</v>
      </c>
    </row>
    <row r="1123" spans="1:3">
      <c r="A1123" s="193" t="s">
        <v>653</v>
      </c>
      <c r="B1123" s="193" t="s">
        <v>986</v>
      </c>
      <c r="C1123" s="193" t="s">
        <v>1046</v>
      </c>
    </row>
    <row r="1124" spans="1:3">
      <c r="A1124" s="193" t="s">
        <v>986</v>
      </c>
      <c r="B1124" s="193" t="s">
        <v>649</v>
      </c>
      <c r="C1124" s="193"/>
    </row>
    <row r="1125" spans="1:3">
      <c r="A1125" s="193" t="s">
        <v>1033</v>
      </c>
      <c r="B1125" s="193"/>
      <c r="C1125" s="193"/>
    </row>
    <row r="1126" spans="1:3">
      <c r="A1126" s="193" t="s">
        <v>649</v>
      </c>
      <c r="B1126" s="193" t="s">
        <v>986</v>
      </c>
      <c r="C1126" s="193" t="s">
        <v>655</v>
      </c>
    </row>
    <row r="1127" spans="1:3">
      <c r="A1127" s="193" t="s">
        <v>649</v>
      </c>
      <c r="B1127" s="193"/>
      <c r="C1127" s="193"/>
    </row>
    <row r="1128" spans="1:3">
      <c r="A1128" s="193" t="s">
        <v>649</v>
      </c>
      <c r="B1128" s="193"/>
      <c r="C1128" s="193"/>
    </row>
    <row r="1129" spans="1:3">
      <c r="A1129" s="193" t="s">
        <v>649</v>
      </c>
      <c r="B1129" s="193"/>
      <c r="C1129" s="193"/>
    </row>
    <row r="1130" spans="1:3">
      <c r="A1130" s="193" t="s">
        <v>649</v>
      </c>
      <c r="B1130" s="193" t="s">
        <v>986</v>
      </c>
      <c r="C1130" s="193"/>
    </row>
    <row r="1131" spans="1:3">
      <c r="A1131" s="193" t="s">
        <v>649</v>
      </c>
      <c r="B1131" s="193" t="s">
        <v>986</v>
      </c>
      <c r="C1131" s="193"/>
    </row>
    <row r="1132" spans="1:3">
      <c r="A1132" s="193" t="s">
        <v>649</v>
      </c>
      <c r="B1132" s="193" t="s">
        <v>654</v>
      </c>
      <c r="C1132" s="193"/>
    </row>
    <row r="1133" spans="1:3">
      <c r="A1133" s="193" t="s">
        <v>649</v>
      </c>
      <c r="B1133" s="193" t="s">
        <v>653</v>
      </c>
      <c r="C1133" s="193" t="s">
        <v>993</v>
      </c>
    </row>
    <row r="1134" spans="1:3">
      <c r="A1134" s="193" t="s">
        <v>653</v>
      </c>
      <c r="B1134" s="193" t="s">
        <v>649</v>
      </c>
      <c r="C1134" s="193"/>
    </row>
    <row r="1135" spans="1:3">
      <c r="A1135" s="193" t="s">
        <v>986</v>
      </c>
      <c r="B1135" s="193"/>
      <c r="C1135" s="193"/>
    </row>
    <row r="1136" spans="1:3">
      <c r="A1136" s="193" t="s">
        <v>649</v>
      </c>
      <c r="B1136" s="193" t="s">
        <v>989</v>
      </c>
      <c r="C1136" s="193" t="s">
        <v>653</v>
      </c>
    </row>
    <row r="1137" spans="1:3">
      <c r="A1137" s="193" t="s">
        <v>649</v>
      </c>
      <c r="B1137" s="193"/>
      <c r="C1137" s="193"/>
    </row>
    <row r="1138" spans="1:3">
      <c r="A1138" s="193" t="s">
        <v>986</v>
      </c>
      <c r="B1138" s="193" t="s">
        <v>651</v>
      </c>
      <c r="C1138" s="193" t="s">
        <v>800</v>
      </c>
    </row>
    <row r="1139" spans="1:3">
      <c r="A1139" s="193" t="s">
        <v>649</v>
      </c>
      <c r="B1139" s="193" t="s">
        <v>653</v>
      </c>
      <c r="C1139" s="193" t="s">
        <v>1129</v>
      </c>
    </row>
    <row r="1140" spans="1:3">
      <c r="A1140" s="193" t="s">
        <v>649</v>
      </c>
      <c r="B1140" s="193"/>
      <c r="C1140" s="193"/>
    </row>
    <row r="1141" spans="1:3">
      <c r="A1141" s="193" t="s">
        <v>649</v>
      </c>
      <c r="B1141" s="193" t="s">
        <v>986</v>
      </c>
      <c r="C1141" s="193" t="s">
        <v>659</v>
      </c>
    </row>
    <row r="1142" spans="1:3">
      <c r="A1142" s="193" t="s">
        <v>986</v>
      </c>
      <c r="B1142" s="193"/>
      <c r="C1142" s="193"/>
    </row>
    <row r="1143" spans="1:3">
      <c r="A1143" s="193" t="s">
        <v>649</v>
      </c>
      <c r="B1143" s="193" t="s">
        <v>993</v>
      </c>
      <c r="C1143" s="193"/>
    </row>
    <row r="1144" spans="1:3">
      <c r="A1144" s="193" t="s">
        <v>1019</v>
      </c>
      <c r="B1144" s="193"/>
      <c r="C1144" s="193"/>
    </row>
    <row r="1145" spans="1:3">
      <c r="A1145" s="193" t="s">
        <v>649</v>
      </c>
      <c r="B1145" s="193" t="s">
        <v>653</v>
      </c>
      <c r="C1145" s="193" t="s">
        <v>1046</v>
      </c>
    </row>
    <row r="1146" spans="1:3">
      <c r="A1146" s="193" t="s">
        <v>649</v>
      </c>
      <c r="B1146" s="193" t="s">
        <v>1046</v>
      </c>
      <c r="C1146" s="193" t="s">
        <v>653</v>
      </c>
    </row>
    <row r="1147" spans="1:3">
      <c r="A1147" s="193" t="s">
        <v>649</v>
      </c>
      <c r="B1147" s="193" t="s">
        <v>1035</v>
      </c>
      <c r="C1147" s="193" t="s">
        <v>656</v>
      </c>
    </row>
    <row r="1148" spans="1:3">
      <c r="A1148" s="193" t="s">
        <v>649</v>
      </c>
      <c r="B1148" s="193"/>
      <c r="C1148" s="193"/>
    </row>
    <row r="1149" spans="1:3">
      <c r="A1149" s="193" t="s">
        <v>649</v>
      </c>
      <c r="B1149" s="193" t="s">
        <v>651</v>
      </c>
      <c r="C1149" s="193"/>
    </row>
    <row r="1150" spans="1:3">
      <c r="A1150" s="193" t="s">
        <v>649</v>
      </c>
      <c r="B1150" s="193"/>
      <c r="C1150" s="193"/>
    </row>
    <row r="1151" spans="1:3">
      <c r="A1151" s="193" t="s">
        <v>659</v>
      </c>
      <c r="B1151" s="193" t="s">
        <v>657</v>
      </c>
      <c r="C1151" s="193"/>
    </row>
    <row r="1152" spans="1:3">
      <c r="A1152" s="193" t="s">
        <v>649</v>
      </c>
      <c r="B1152" s="193"/>
      <c r="C1152" s="193"/>
    </row>
    <row r="1153" spans="1:3">
      <c r="A1153" s="193" t="s">
        <v>649</v>
      </c>
      <c r="B1153" s="193" t="s">
        <v>651</v>
      </c>
      <c r="C1153" s="193"/>
    </row>
    <row r="1154" spans="1:3">
      <c r="A1154" s="193" t="s">
        <v>649</v>
      </c>
      <c r="B1154" s="193"/>
      <c r="C1154" s="193"/>
    </row>
    <row r="1155" spans="1:3">
      <c r="A1155" s="193" t="s">
        <v>649</v>
      </c>
      <c r="B1155" s="193" t="s">
        <v>652</v>
      </c>
      <c r="C1155" s="193" t="s">
        <v>653</v>
      </c>
    </row>
    <row r="1156" spans="1:3">
      <c r="A1156" s="193" t="s">
        <v>986</v>
      </c>
      <c r="B1156" s="193" t="s">
        <v>803</v>
      </c>
      <c r="C1156" s="193"/>
    </row>
    <row r="1157" spans="1:3">
      <c r="A1157" s="193" t="s">
        <v>986</v>
      </c>
      <c r="B1157" s="193"/>
      <c r="C1157" s="193"/>
    </row>
    <row r="1158" spans="1:3">
      <c r="A1158" s="193" t="s">
        <v>649</v>
      </c>
      <c r="B1158" s="193" t="s">
        <v>659</v>
      </c>
      <c r="C1158" s="193"/>
    </row>
    <row r="1159" spans="1:3">
      <c r="A1159" s="193" t="s">
        <v>649</v>
      </c>
      <c r="B1159" s="193"/>
      <c r="C1159" s="193"/>
    </row>
    <row r="1160" spans="1:3">
      <c r="A1160" s="193" t="s">
        <v>649</v>
      </c>
      <c r="B1160" s="193"/>
      <c r="C1160" s="193"/>
    </row>
    <row r="1161" spans="1:3">
      <c r="A1161" s="193" t="s">
        <v>994</v>
      </c>
      <c r="B1161" s="193" t="s">
        <v>1035</v>
      </c>
      <c r="C1161" s="193"/>
    </row>
    <row r="1162" spans="1:3">
      <c r="A1162" s="193" t="s">
        <v>986</v>
      </c>
      <c r="B1162" s="193"/>
      <c r="C1162" s="193"/>
    </row>
    <row r="1163" spans="1:3">
      <c r="A1163" s="193" t="s">
        <v>649</v>
      </c>
      <c r="B1163" s="193"/>
      <c r="C1163" s="193"/>
    </row>
    <row r="1164" spans="1:3">
      <c r="A1164" s="193" t="s">
        <v>649</v>
      </c>
      <c r="B1164" s="193"/>
      <c r="C1164" s="193"/>
    </row>
    <row r="1165" spans="1:3">
      <c r="A1165" s="193" t="s">
        <v>649</v>
      </c>
      <c r="B1165" s="193" t="s">
        <v>651</v>
      </c>
      <c r="C1165" s="193" t="s">
        <v>802</v>
      </c>
    </row>
    <row r="1166" spans="1:3">
      <c r="A1166" s="193" t="s">
        <v>649</v>
      </c>
      <c r="B1166" s="193"/>
      <c r="C1166" s="193"/>
    </row>
    <row r="1167" spans="1:3">
      <c r="A1167" s="193" t="s">
        <v>986</v>
      </c>
      <c r="B1167" s="193" t="s">
        <v>649</v>
      </c>
      <c r="C1167" s="193"/>
    </row>
    <row r="1168" spans="1:3">
      <c r="A1168" s="193" t="s">
        <v>986</v>
      </c>
      <c r="B1168" s="193" t="s">
        <v>649</v>
      </c>
      <c r="C1168" s="193"/>
    </row>
    <row r="1169" spans="1:3">
      <c r="A1169" s="193" t="s">
        <v>649</v>
      </c>
      <c r="B1169" s="193" t="s">
        <v>986</v>
      </c>
      <c r="C1169" s="193" t="s">
        <v>659</v>
      </c>
    </row>
    <row r="1170" spans="1:3">
      <c r="A1170" s="193" t="s">
        <v>986</v>
      </c>
      <c r="B1170" s="193"/>
      <c r="C1170" s="193"/>
    </row>
    <row r="1171" spans="1:3">
      <c r="A1171" s="193" t="s">
        <v>649</v>
      </c>
      <c r="B1171" s="193" t="s">
        <v>986</v>
      </c>
      <c r="C1171" s="193" t="s">
        <v>652</v>
      </c>
    </row>
    <row r="1172" spans="1:3">
      <c r="A1172" s="193" t="s">
        <v>649</v>
      </c>
      <c r="B1172" s="193"/>
      <c r="C1172" s="193"/>
    </row>
    <row r="1173" spans="1:3">
      <c r="A1173" s="193" t="s">
        <v>649</v>
      </c>
      <c r="B1173" s="193"/>
      <c r="C1173" s="193"/>
    </row>
    <row r="1174" spans="1:3">
      <c r="A1174" s="193" t="s">
        <v>986</v>
      </c>
      <c r="B1174" s="193"/>
      <c r="C1174" s="193"/>
    </row>
    <row r="1175" spans="1:3">
      <c r="A1175" s="193" t="s">
        <v>649</v>
      </c>
      <c r="B1175" s="193" t="s">
        <v>999</v>
      </c>
      <c r="C1175" s="193" t="s">
        <v>1130</v>
      </c>
    </row>
    <row r="1176" spans="1:3">
      <c r="A1176" s="193" t="s">
        <v>649</v>
      </c>
      <c r="B1176" s="193" t="s">
        <v>999</v>
      </c>
      <c r="C1176" s="193" t="s">
        <v>994</v>
      </c>
    </row>
    <row r="1177" spans="1:3">
      <c r="A1177" s="193" t="s">
        <v>654</v>
      </c>
      <c r="B1177" s="193" t="s">
        <v>649</v>
      </c>
      <c r="C1177" s="193" t="s">
        <v>653</v>
      </c>
    </row>
    <row r="1178" spans="1:3">
      <c r="A1178" s="193" t="s">
        <v>986</v>
      </c>
      <c r="B1178" s="193" t="s">
        <v>649</v>
      </c>
      <c r="C1178" s="193"/>
    </row>
    <row r="1179" spans="1:3">
      <c r="A1179" s="193" t="s">
        <v>1131</v>
      </c>
      <c r="B1179" s="193" t="s">
        <v>1132</v>
      </c>
      <c r="C1179" s="193"/>
    </row>
    <row r="1180" spans="1:3">
      <c r="A1180" s="193" t="s">
        <v>649</v>
      </c>
      <c r="B1180" s="193" t="s">
        <v>986</v>
      </c>
      <c r="C1180" s="193" t="s">
        <v>653</v>
      </c>
    </row>
    <row r="1181" spans="1:3">
      <c r="A1181" s="193" t="s">
        <v>653</v>
      </c>
      <c r="B1181" s="193"/>
      <c r="C1181" s="193"/>
    </row>
    <row r="1182" spans="1:3">
      <c r="A1182" s="193" t="s">
        <v>986</v>
      </c>
      <c r="B1182" s="193"/>
      <c r="C1182" s="193"/>
    </row>
    <row r="1183" spans="1:3">
      <c r="A1183" s="193" t="s">
        <v>649</v>
      </c>
      <c r="B1183" s="193" t="s">
        <v>1133</v>
      </c>
      <c r="C1183" s="193" t="s">
        <v>986</v>
      </c>
    </row>
    <row r="1184" spans="1:3">
      <c r="A1184" s="193" t="s">
        <v>649</v>
      </c>
      <c r="B1184" s="193"/>
      <c r="C1184" s="193"/>
    </row>
    <row r="1185" spans="1:3">
      <c r="A1185" s="193" t="s">
        <v>649</v>
      </c>
      <c r="B1185" s="193" t="s">
        <v>986</v>
      </c>
      <c r="C1185" s="193" t="s">
        <v>655</v>
      </c>
    </row>
    <row r="1186" spans="1:3">
      <c r="A1186" s="193" t="s">
        <v>986</v>
      </c>
      <c r="B1186" s="193" t="s">
        <v>649</v>
      </c>
      <c r="C1186" s="193" t="s">
        <v>653</v>
      </c>
    </row>
    <row r="1187" spans="1:3">
      <c r="A1187" s="193" t="s">
        <v>649</v>
      </c>
      <c r="B1187" s="193" t="s">
        <v>986</v>
      </c>
      <c r="C1187" s="193"/>
    </row>
    <row r="1188" spans="1:3">
      <c r="A1188" s="193" t="s">
        <v>649</v>
      </c>
      <c r="B1188" s="193" t="s">
        <v>651</v>
      </c>
      <c r="C1188" s="193" t="s">
        <v>1000</v>
      </c>
    </row>
    <row r="1189" spans="1:3">
      <c r="A1189" s="193" t="s">
        <v>654</v>
      </c>
      <c r="B1189" s="193" t="s">
        <v>649</v>
      </c>
      <c r="C1189" s="193"/>
    </row>
    <row r="1190" spans="1:3">
      <c r="A1190" s="193" t="s">
        <v>1134</v>
      </c>
      <c r="B1190" s="193" t="s">
        <v>649</v>
      </c>
      <c r="C1190" s="193"/>
    </row>
    <row r="1191" spans="1:3">
      <c r="A1191" s="193" t="s">
        <v>986</v>
      </c>
      <c r="B1191" s="193"/>
      <c r="C1191" s="193"/>
    </row>
    <row r="1192" spans="1:3">
      <c r="A1192" s="193" t="s">
        <v>1046</v>
      </c>
      <c r="B1192" s="193"/>
      <c r="C1192" s="193"/>
    </row>
    <row r="1193" spans="1:3">
      <c r="A1193" s="193" t="s">
        <v>799</v>
      </c>
      <c r="B1193" s="193"/>
      <c r="C1193" s="193"/>
    </row>
    <row r="1194" spans="1:3">
      <c r="A1194" s="193" t="s">
        <v>649</v>
      </c>
      <c r="B1194" s="193" t="s">
        <v>653</v>
      </c>
      <c r="C1194" s="193" t="s">
        <v>986</v>
      </c>
    </row>
    <row r="1195" spans="1:3">
      <c r="A1195" s="193" t="s">
        <v>649</v>
      </c>
      <c r="B1195" s="193" t="s">
        <v>653</v>
      </c>
      <c r="C1195" s="193" t="s">
        <v>986</v>
      </c>
    </row>
    <row r="1196" spans="1:3">
      <c r="A1196" s="193" t="s">
        <v>649</v>
      </c>
      <c r="B1196" s="193"/>
      <c r="C1196" s="193"/>
    </row>
    <row r="1197" spans="1:3">
      <c r="A1197" s="193" t="s">
        <v>649</v>
      </c>
      <c r="B1197" s="193"/>
      <c r="C1197" s="193"/>
    </row>
    <row r="1198" spans="1:3">
      <c r="A1198" s="193" t="s">
        <v>654</v>
      </c>
      <c r="B1198" s="193"/>
      <c r="C1198" s="193"/>
    </row>
    <row r="1199" spans="1:3">
      <c r="A1199" s="193" t="s">
        <v>656</v>
      </c>
      <c r="B1199" s="193"/>
      <c r="C1199" s="193"/>
    </row>
    <row r="1200" spans="1:3">
      <c r="A1200" s="193" t="s">
        <v>659</v>
      </c>
      <c r="B1200" s="193"/>
      <c r="C1200" s="193"/>
    </row>
    <row r="1201" spans="1:3">
      <c r="A1201" s="193" t="s">
        <v>651</v>
      </c>
      <c r="B1201" s="193"/>
      <c r="C1201" s="193"/>
    </row>
    <row r="1202" spans="1:3">
      <c r="A1202" s="193" t="s">
        <v>1135</v>
      </c>
      <c r="B1202" s="193"/>
      <c r="C1202" s="193"/>
    </row>
    <row r="1203" spans="1:3">
      <c r="A1203" s="193" t="s">
        <v>649</v>
      </c>
      <c r="B1203" s="193"/>
      <c r="C1203" s="193"/>
    </row>
    <row r="1204" spans="1:3">
      <c r="A1204" s="193" t="s">
        <v>649</v>
      </c>
      <c r="B1204" s="193" t="s">
        <v>986</v>
      </c>
      <c r="C1204" s="193"/>
    </row>
    <row r="1205" spans="1:3">
      <c r="A1205" s="193" t="s">
        <v>655</v>
      </c>
      <c r="B1205" s="193"/>
      <c r="C1205" s="193"/>
    </row>
    <row r="1206" spans="1:3">
      <c r="A1206" s="193" t="s">
        <v>649</v>
      </c>
      <c r="B1206" s="193"/>
      <c r="C1206" s="193"/>
    </row>
    <row r="1207" spans="1:3">
      <c r="A1207" s="193" t="s">
        <v>649</v>
      </c>
      <c r="B1207" s="193"/>
      <c r="C1207" s="193"/>
    </row>
    <row r="1208" spans="1:3">
      <c r="A1208" s="193" t="s">
        <v>649</v>
      </c>
      <c r="B1208" s="193" t="s">
        <v>651</v>
      </c>
      <c r="C1208" s="193" t="s">
        <v>986</v>
      </c>
    </row>
    <row r="1209" spans="1:3">
      <c r="A1209" s="193" t="s">
        <v>656</v>
      </c>
      <c r="B1209" s="193" t="s">
        <v>658</v>
      </c>
      <c r="C1209" s="193"/>
    </row>
    <row r="1210" spans="1:3">
      <c r="A1210" s="193" t="s">
        <v>651</v>
      </c>
      <c r="B1210" s="193" t="s">
        <v>657</v>
      </c>
      <c r="C1210" s="193"/>
    </row>
    <row r="1211" spans="1:3">
      <c r="A1211" s="193" t="s">
        <v>658</v>
      </c>
      <c r="B1211" s="193" t="s">
        <v>653</v>
      </c>
      <c r="C1211" s="193"/>
    </row>
    <row r="1212" spans="1:3">
      <c r="A1212" s="193" t="s">
        <v>649</v>
      </c>
      <c r="B1212" s="193" t="s">
        <v>986</v>
      </c>
      <c r="C1212" s="193" t="s">
        <v>654</v>
      </c>
    </row>
    <row r="1213" spans="1:3">
      <c r="A1213" s="193" t="s">
        <v>657</v>
      </c>
      <c r="B1213" s="193" t="s">
        <v>654</v>
      </c>
      <c r="C1213" s="193"/>
    </row>
    <row r="1214" spans="1:3">
      <c r="A1214" s="193" t="s">
        <v>659</v>
      </c>
      <c r="B1214" s="193"/>
      <c r="C1214" s="193"/>
    </row>
    <row r="1215" spans="1:3">
      <c r="A1215" s="193" t="s">
        <v>649</v>
      </c>
      <c r="B1215" s="193" t="s">
        <v>986</v>
      </c>
      <c r="C1215" s="193" t="s">
        <v>654</v>
      </c>
    </row>
    <row r="1216" spans="1:3">
      <c r="A1216" s="193" t="s">
        <v>654</v>
      </c>
      <c r="B1216" s="193"/>
      <c r="C1216" s="193"/>
    </row>
    <row r="1217" spans="1:3">
      <c r="A1217" s="193" t="s">
        <v>1136</v>
      </c>
      <c r="B1217" s="193" t="s">
        <v>1137</v>
      </c>
      <c r="C1217" s="193"/>
    </row>
    <row r="1218" spans="1:3">
      <c r="A1218" s="193" t="s">
        <v>649</v>
      </c>
      <c r="B1218" s="193" t="s">
        <v>655</v>
      </c>
      <c r="C1218" s="193" t="s">
        <v>987</v>
      </c>
    </row>
    <row r="1219" spans="1:3">
      <c r="A1219" s="193" t="s">
        <v>649</v>
      </c>
      <c r="B1219" s="193" t="s">
        <v>659</v>
      </c>
      <c r="C1219" s="193"/>
    </row>
    <row r="1220" spans="1:3">
      <c r="A1220" s="193" t="s">
        <v>659</v>
      </c>
      <c r="B1220" s="193"/>
      <c r="C1220" s="193"/>
    </row>
    <row r="1221" spans="1:3">
      <c r="A1221" s="193" t="s">
        <v>1135</v>
      </c>
      <c r="B1221" s="193"/>
      <c r="C1221" s="193"/>
    </row>
    <row r="1222" spans="1:3">
      <c r="A1222" s="193" t="s">
        <v>649</v>
      </c>
      <c r="B1222" s="193" t="s">
        <v>986</v>
      </c>
      <c r="C1222" s="193" t="s">
        <v>653</v>
      </c>
    </row>
    <row r="1223" spans="1:3">
      <c r="A1223" s="193" t="s">
        <v>800</v>
      </c>
      <c r="B1223" s="193"/>
      <c r="C1223" s="193"/>
    </row>
    <row r="1224" spans="1:3">
      <c r="A1224" s="193" t="s">
        <v>649</v>
      </c>
      <c r="B1224" s="193"/>
      <c r="C1224" s="193"/>
    </row>
    <row r="1225" spans="1:3">
      <c r="A1225" s="193" t="s">
        <v>654</v>
      </c>
      <c r="B1225" s="193" t="s">
        <v>649</v>
      </c>
      <c r="C1225" s="193"/>
    </row>
    <row r="1226" spans="1:3">
      <c r="A1226" s="193" t="s">
        <v>649</v>
      </c>
      <c r="B1226" s="193" t="s">
        <v>653</v>
      </c>
      <c r="C1226" s="193" t="s">
        <v>659</v>
      </c>
    </row>
    <row r="1227" spans="1:3">
      <c r="A1227" s="193" t="s">
        <v>614</v>
      </c>
      <c r="B1227" s="193"/>
      <c r="C1227" s="193"/>
    </row>
    <row r="1228" spans="1:3">
      <c r="A1228" s="193" t="s">
        <v>654</v>
      </c>
      <c r="B1228" s="193"/>
      <c r="C1228" s="193"/>
    </row>
    <row r="1229" spans="1:3">
      <c r="A1229" s="193" t="s">
        <v>986</v>
      </c>
      <c r="B1229" s="193" t="s">
        <v>649</v>
      </c>
      <c r="C1229" s="193" t="s">
        <v>653</v>
      </c>
    </row>
    <row r="1230" spans="1:3">
      <c r="A1230" s="193" t="s">
        <v>992</v>
      </c>
      <c r="B1230" s="193" t="s">
        <v>986</v>
      </c>
      <c r="C1230" s="193"/>
    </row>
    <row r="1231" spans="1:3">
      <c r="A1231" s="193" t="s">
        <v>649</v>
      </c>
      <c r="B1231" s="193"/>
      <c r="C1231" s="193"/>
    </row>
    <row r="1232" spans="1:3">
      <c r="A1232" s="193" t="s">
        <v>1138</v>
      </c>
      <c r="B1232" s="193" t="s">
        <v>1139</v>
      </c>
      <c r="C1232" s="193"/>
    </row>
    <row r="1233" spans="1:3">
      <c r="A1233" s="193" t="s">
        <v>649</v>
      </c>
      <c r="B1233" s="193"/>
      <c r="C1233" s="193"/>
    </row>
    <row r="1234" spans="1:3">
      <c r="A1234" s="193" t="s">
        <v>649</v>
      </c>
      <c r="B1234" s="193"/>
      <c r="C1234" s="193"/>
    </row>
    <row r="1235" spans="1:3">
      <c r="A1235" s="193" t="s">
        <v>649</v>
      </c>
      <c r="B1235" s="193" t="s">
        <v>986</v>
      </c>
      <c r="C1235" s="193"/>
    </row>
    <row r="1236" spans="1:3">
      <c r="A1236" s="193" t="s">
        <v>649</v>
      </c>
      <c r="B1236" s="193"/>
      <c r="C1236" s="193"/>
    </row>
    <row r="1237" spans="1:3">
      <c r="A1237" s="193" t="s">
        <v>986</v>
      </c>
      <c r="B1237" s="193" t="s">
        <v>654</v>
      </c>
      <c r="C1237" s="193" t="s">
        <v>649</v>
      </c>
    </row>
    <row r="1238" spans="1:3">
      <c r="A1238" s="193" t="s">
        <v>986</v>
      </c>
      <c r="B1238" s="193"/>
      <c r="C1238" s="193"/>
    </row>
    <row r="1239" spans="1:3">
      <c r="A1239" s="193" t="s">
        <v>649</v>
      </c>
      <c r="B1239" s="193" t="s">
        <v>986</v>
      </c>
      <c r="C1239" s="193" t="s">
        <v>653</v>
      </c>
    </row>
    <row r="1240" spans="1:3">
      <c r="A1240" s="193" t="s">
        <v>649</v>
      </c>
      <c r="B1240" s="193"/>
      <c r="C1240" s="193"/>
    </row>
    <row r="1241" spans="1:3">
      <c r="A1241" s="193" t="s">
        <v>649</v>
      </c>
      <c r="B1241" s="193" t="s">
        <v>986</v>
      </c>
      <c r="C1241" s="193"/>
    </row>
    <row r="1242" spans="1:3">
      <c r="A1242" s="193" t="s">
        <v>654</v>
      </c>
      <c r="B1242" s="193"/>
      <c r="C1242" s="193"/>
    </row>
    <row r="1243" spans="1:3">
      <c r="A1243" s="193" t="s">
        <v>986</v>
      </c>
      <c r="B1243" s="193" t="s">
        <v>649</v>
      </c>
      <c r="C1243" s="193" t="s">
        <v>654</v>
      </c>
    </row>
    <row r="1244" spans="1:3">
      <c r="A1244" s="193" t="s">
        <v>649</v>
      </c>
      <c r="B1244" s="193" t="s">
        <v>986</v>
      </c>
      <c r="C1244" s="193" t="s">
        <v>989</v>
      </c>
    </row>
    <row r="1245" spans="1:3">
      <c r="A1245" s="193" t="s">
        <v>986</v>
      </c>
      <c r="B1245" s="193"/>
      <c r="C1245" s="193"/>
    </row>
    <row r="1246" spans="1:3">
      <c r="A1246" s="193" t="s">
        <v>649</v>
      </c>
      <c r="B1246" s="193"/>
      <c r="C1246" s="193"/>
    </row>
    <row r="1247" spans="1:3">
      <c r="A1247" s="193" t="s">
        <v>649</v>
      </c>
      <c r="B1247" s="193"/>
      <c r="C1247" s="193"/>
    </row>
    <row r="1248" spans="1:3">
      <c r="A1248" s="193" t="s">
        <v>649</v>
      </c>
      <c r="B1248" s="193"/>
      <c r="C1248" s="193"/>
    </row>
    <row r="1249" spans="1:3">
      <c r="A1249" s="193" t="s">
        <v>649</v>
      </c>
      <c r="B1249" s="193" t="s">
        <v>651</v>
      </c>
      <c r="C1249" s="193" t="s">
        <v>986</v>
      </c>
    </row>
    <row r="1250" spans="1:3">
      <c r="A1250" s="193" t="s">
        <v>649</v>
      </c>
      <c r="B1250" s="193" t="s">
        <v>986</v>
      </c>
      <c r="C1250" s="193"/>
    </row>
    <row r="1251" spans="1:3">
      <c r="A1251" s="193" t="s">
        <v>986</v>
      </c>
      <c r="B1251" s="193"/>
      <c r="C1251" s="193"/>
    </row>
  </sheetData>
  <phoneticPr fontId="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K823"/>
  <sheetViews>
    <sheetView workbookViewId="0">
      <selection activeCell="A2" sqref="A2:B823"/>
    </sheetView>
  </sheetViews>
  <sheetFormatPr defaultColWidth="9.109375" defaultRowHeight="12" customHeight="1"/>
  <cols>
    <col min="1" max="16384" width="9.109375" style="1"/>
  </cols>
  <sheetData>
    <row r="1" spans="1:11" ht="12" customHeight="1">
      <c r="A1" s="1" t="s">
        <v>0</v>
      </c>
      <c r="B1" s="1" t="s">
        <v>3120</v>
      </c>
    </row>
    <row r="2" spans="1:11" ht="12" customHeight="1">
      <c r="A2" s="705" t="s">
        <v>2362</v>
      </c>
      <c r="B2" s="706">
        <v>1</v>
      </c>
    </row>
    <row r="3" spans="1:11" ht="12" customHeight="1">
      <c r="A3" s="705" t="s">
        <v>3121</v>
      </c>
      <c r="B3" s="706">
        <v>1</v>
      </c>
    </row>
    <row r="4" spans="1:11" ht="12" customHeight="1">
      <c r="A4" s="705" t="s">
        <v>2363</v>
      </c>
      <c r="B4" s="706">
        <v>1</v>
      </c>
    </row>
    <row r="5" spans="1:11" ht="12" customHeight="1">
      <c r="A5" s="705" t="s">
        <v>2364</v>
      </c>
      <c r="B5" s="706">
        <v>1</v>
      </c>
    </row>
    <row r="6" spans="1:11" ht="12" customHeight="1">
      <c r="A6" s="705" t="s">
        <v>2365</v>
      </c>
      <c r="B6" s="706">
        <v>1</v>
      </c>
    </row>
    <row r="7" spans="1:11" ht="12" customHeight="1">
      <c r="A7" s="705" t="s">
        <v>2366</v>
      </c>
      <c r="B7" s="706">
        <v>1</v>
      </c>
    </row>
    <row r="8" spans="1:11" ht="12" customHeight="1">
      <c r="A8" s="705" t="s">
        <v>2367</v>
      </c>
      <c r="B8" s="706">
        <v>1</v>
      </c>
      <c r="G8"/>
      <c r="H8"/>
      <c r="I8"/>
      <c r="J8"/>
      <c r="K8"/>
    </row>
    <row r="9" spans="1:11" ht="12" customHeight="1">
      <c r="A9" s="705" t="s">
        <v>2368</v>
      </c>
      <c r="B9" s="706">
        <v>1</v>
      </c>
      <c r="G9"/>
      <c r="H9"/>
      <c r="I9"/>
      <c r="J9"/>
      <c r="K9"/>
    </row>
    <row r="10" spans="1:11" ht="12" customHeight="1">
      <c r="A10" s="705" t="s">
        <v>2369</v>
      </c>
      <c r="B10" s="706">
        <v>1</v>
      </c>
      <c r="G10"/>
      <c r="H10"/>
      <c r="I10"/>
      <c r="J10"/>
      <c r="K10"/>
    </row>
    <row r="11" spans="1:11" ht="12" customHeight="1">
      <c r="A11" s="705" t="s">
        <v>2370</v>
      </c>
      <c r="B11" s="706">
        <v>1</v>
      </c>
      <c r="G11"/>
      <c r="H11"/>
      <c r="I11"/>
      <c r="J11"/>
      <c r="K11"/>
    </row>
    <row r="12" spans="1:11" ht="12" customHeight="1">
      <c r="A12" s="705" t="s">
        <v>2371</v>
      </c>
      <c r="B12" s="706">
        <v>1</v>
      </c>
      <c r="G12"/>
      <c r="H12"/>
      <c r="I12"/>
      <c r="J12"/>
      <c r="K12"/>
    </row>
    <row r="13" spans="1:11" ht="12" customHeight="1">
      <c r="A13" s="705" t="s">
        <v>2372</v>
      </c>
      <c r="B13" s="706">
        <v>1</v>
      </c>
      <c r="G13"/>
      <c r="H13"/>
      <c r="I13"/>
      <c r="J13"/>
      <c r="K13"/>
    </row>
    <row r="14" spans="1:11" ht="12" customHeight="1">
      <c r="A14" s="705" t="s">
        <v>2373</v>
      </c>
      <c r="B14" s="706">
        <v>1</v>
      </c>
      <c r="G14"/>
      <c r="H14"/>
      <c r="I14"/>
      <c r="J14"/>
      <c r="K14"/>
    </row>
    <row r="15" spans="1:11" ht="12" customHeight="1">
      <c r="A15" s="705" t="s">
        <v>3122</v>
      </c>
      <c r="B15" s="706">
        <v>1</v>
      </c>
      <c r="G15"/>
      <c r="H15"/>
      <c r="I15"/>
      <c r="J15"/>
      <c r="K15"/>
    </row>
    <row r="16" spans="1:11" ht="12" customHeight="1">
      <c r="A16" s="707" t="s">
        <v>2374</v>
      </c>
      <c r="B16" s="706">
        <v>1</v>
      </c>
      <c r="G16"/>
      <c r="H16"/>
      <c r="I16"/>
      <c r="J16"/>
      <c r="K16"/>
    </row>
    <row r="17" spans="1:2" ht="12" customHeight="1">
      <c r="A17" s="708" t="s">
        <v>2375</v>
      </c>
      <c r="B17" s="706">
        <v>1</v>
      </c>
    </row>
    <row r="18" spans="1:2" ht="12" customHeight="1">
      <c r="A18" s="708" t="s">
        <v>2376</v>
      </c>
      <c r="B18" s="706">
        <v>1</v>
      </c>
    </row>
    <row r="19" spans="1:2" ht="12" customHeight="1">
      <c r="A19" s="705" t="s">
        <v>2377</v>
      </c>
      <c r="B19" s="706">
        <v>2</v>
      </c>
    </row>
    <row r="20" spans="1:2" ht="12" customHeight="1">
      <c r="A20" s="705" t="s">
        <v>2378</v>
      </c>
      <c r="B20" s="706">
        <v>2</v>
      </c>
    </row>
    <row r="21" spans="1:2" ht="12" customHeight="1">
      <c r="A21" s="705" t="s">
        <v>2379</v>
      </c>
      <c r="B21" s="706">
        <v>2</v>
      </c>
    </row>
    <row r="22" spans="1:2" ht="12" customHeight="1">
      <c r="A22" s="705" t="s">
        <v>2380</v>
      </c>
      <c r="B22" s="706">
        <v>2</v>
      </c>
    </row>
    <row r="23" spans="1:2" ht="12" customHeight="1">
      <c r="A23" s="705" t="s">
        <v>2381</v>
      </c>
      <c r="B23" s="706">
        <v>2</v>
      </c>
    </row>
    <row r="24" spans="1:2" ht="12" customHeight="1">
      <c r="A24" s="705" t="s">
        <v>2382</v>
      </c>
      <c r="B24" s="706">
        <v>2</v>
      </c>
    </row>
    <row r="25" spans="1:2" ht="12" customHeight="1">
      <c r="A25" s="705" t="s">
        <v>2383</v>
      </c>
      <c r="B25" s="706">
        <v>2</v>
      </c>
    </row>
    <row r="26" spans="1:2" ht="12" customHeight="1">
      <c r="A26" s="705" t="s">
        <v>2384</v>
      </c>
      <c r="B26" s="706">
        <v>2</v>
      </c>
    </row>
    <row r="27" spans="1:2" ht="12" customHeight="1">
      <c r="A27" s="705" t="s">
        <v>2385</v>
      </c>
      <c r="B27" s="706">
        <v>2</v>
      </c>
    </row>
    <row r="28" spans="1:2" ht="12" customHeight="1">
      <c r="A28" s="705" t="s">
        <v>3099</v>
      </c>
      <c r="B28" s="706">
        <v>3</v>
      </c>
    </row>
    <row r="29" spans="1:2" ht="12" customHeight="1">
      <c r="A29" s="705" t="s">
        <v>2386</v>
      </c>
      <c r="B29" s="706">
        <v>3</v>
      </c>
    </row>
    <row r="30" spans="1:2" ht="12" customHeight="1">
      <c r="A30" s="709" t="s">
        <v>2387</v>
      </c>
      <c r="B30" s="706">
        <v>3</v>
      </c>
    </row>
    <row r="31" spans="1:2" ht="12" customHeight="1">
      <c r="A31" s="705" t="s">
        <v>3123</v>
      </c>
      <c r="B31" s="706">
        <v>3</v>
      </c>
    </row>
    <row r="32" spans="1:2" ht="12" customHeight="1">
      <c r="A32" s="705" t="s">
        <v>2388</v>
      </c>
      <c r="B32" s="706">
        <v>3</v>
      </c>
    </row>
    <row r="33" spans="1:2" ht="12" customHeight="1">
      <c r="A33" s="705" t="s">
        <v>3124</v>
      </c>
      <c r="B33" s="706">
        <v>3</v>
      </c>
    </row>
    <row r="34" spans="1:2" ht="12" customHeight="1">
      <c r="A34" s="705" t="s">
        <v>2389</v>
      </c>
      <c r="B34" s="706">
        <v>3</v>
      </c>
    </row>
    <row r="35" spans="1:2" ht="12" customHeight="1">
      <c r="A35" s="707" t="s">
        <v>2390</v>
      </c>
      <c r="B35" s="706">
        <v>3</v>
      </c>
    </row>
    <row r="36" spans="1:2" ht="12" customHeight="1">
      <c r="A36" s="707" t="s">
        <v>2391</v>
      </c>
      <c r="B36" s="706">
        <v>3</v>
      </c>
    </row>
    <row r="37" spans="1:2" ht="12" customHeight="1">
      <c r="A37" s="708" t="s">
        <v>2392</v>
      </c>
      <c r="B37" s="706">
        <v>3</v>
      </c>
    </row>
    <row r="38" spans="1:2" ht="12" customHeight="1">
      <c r="A38" s="705" t="s">
        <v>2393</v>
      </c>
      <c r="B38" s="706">
        <v>4</v>
      </c>
    </row>
    <row r="39" spans="1:2" ht="12" customHeight="1">
      <c r="A39" s="705" t="s">
        <v>2394</v>
      </c>
      <c r="B39" s="706">
        <v>4</v>
      </c>
    </row>
    <row r="40" spans="1:2" ht="12" customHeight="1">
      <c r="A40" s="705" t="s">
        <v>2395</v>
      </c>
      <c r="B40" s="706">
        <v>4</v>
      </c>
    </row>
    <row r="41" spans="1:2" ht="12" customHeight="1">
      <c r="A41" s="705" t="s">
        <v>2396</v>
      </c>
      <c r="B41" s="706">
        <v>4</v>
      </c>
    </row>
    <row r="42" spans="1:2" ht="12" customHeight="1">
      <c r="A42" s="705" t="s">
        <v>2397</v>
      </c>
      <c r="B42" s="706">
        <v>4</v>
      </c>
    </row>
    <row r="43" spans="1:2" ht="12" customHeight="1">
      <c r="A43" s="705" t="s">
        <v>2398</v>
      </c>
      <c r="B43" s="706">
        <v>4</v>
      </c>
    </row>
    <row r="44" spans="1:2" ht="12" customHeight="1">
      <c r="A44" s="705" t="s">
        <v>3125</v>
      </c>
      <c r="B44" s="706">
        <v>4</v>
      </c>
    </row>
    <row r="45" spans="1:2" ht="12" customHeight="1">
      <c r="A45" s="705" t="s">
        <v>3126</v>
      </c>
      <c r="B45" s="706">
        <v>4</v>
      </c>
    </row>
    <row r="46" spans="1:2" ht="12" customHeight="1">
      <c r="A46" s="705" t="s">
        <v>3127</v>
      </c>
      <c r="B46" s="706">
        <v>4</v>
      </c>
    </row>
    <row r="47" spans="1:2" ht="12" customHeight="1">
      <c r="A47" s="705" t="s">
        <v>3128</v>
      </c>
      <c r="B47" s="706">
        <v>4</v>
      </c>
    </row>
    <row r="48" spans="1:2" ht="12" customHeight="1">
      <c r="A48" s="707" t="s">
        <v>2399</v>
      </c>
      <c r="B48" s="706">
        <v>4</v>
      </c>
    </row>
    <row r="49" spans="1:2" ht="12" customHeight="1">
      <c r="A49" s="705" t="s">
        <v>3100</v>
      </c>
      <c r="B49" s="706">
        <v>5</v>
      </c>
    </row>
    <row r="50" spans="1:2" ht="12" customHeight="1">
      <c r="A50" s="705" t="s">
        <v>3129</v>
      </c>
      <c r="B50" s="706">
        <v>5</v>
      </c>
    </row>
    <row r="51" spans="1:2" ht="12" customHeight="1">
      <c r="A51" s="705" t="s">
        <v>2400</v>
      </c>
      <c r="B51" s="706">
        <v>5</v>
      </c>
    </row>
    <row r="52" spans="1:2" ht="12" customHeight="1">
      <c r="A52" s="705" t="s">
        <v>2401</v>
      </c>
      <c r="B52" s="706">
        <v>5</v>
      </c>
    </row>
    <row r="53" spans="1:2" ht="12" customHeight="1">
      <c r="A53" s="705" t="s">
        <v>2402</v>
      </c>
      <c r="B53" s="706">
        <v>5</v>
      </c>
    </row>
    <row r="54" spans="1:2" ht="12" customHeight="1">
      <c r="A54" s="705" t="s">
        <v>3130</v>
      </c>
      <c r="B54" s="706">
        <v>5</v>
      </c>
    </row>
    <row r="55" spans="1:2" ht="12" customHeight="1">
      <c r="A55" s="705" t="s">
        <v>2403</v>
      </c>
      <c r="B55" s="706">
        <v>5</v>
      </c>
    </row>
    <row r="56" spans="1:2" ht="12" customHeight="1">
      <c r="A56" s="705" t="s">
        <v>2404</v>
      </c>
      <c r="B56" s="706">
        <v>5</v>
      </c>
    </row>
    <row r="57" spans="1:2" ht="12" customHeight="1">
      <c r="A57" s="705" t="s">
        <v>2405</v>
      </c>
      <c r="B57" s="706">
        <v>5</v>
      </c>
    </row>
    <row r="58" spans="1:2" ht="12" customHeight="1">
      <c r="A58" s="705" t="s">
        <v>2406</v>
      </c>
      <c r="B58" s="706">
        <v>5</v>
      </c>
    </row>
    <row r="59" spans="1:2" ht="12" customHeight="1">
      <c r="A59" s="707" t="s">
        <v>2407</v>
      </c>
      <c r="B59" s="706">
        <v>5</v>
      </c>
    </row>
    <row r="60" spans="1:2" ht="12" customHeight="1">
      <c r="A60" s="705" t="s">
        <v>3101</v>
      </c>
      <c r="B60" s="706">
        <v>6</v>
      </c>
    </row>
    <row r="61" spans="1:2" ht="12" customHeight="1">
      <c r="A61" s="705" t="s">
        <v>2408</v>
      </c>
      <c r="B61" s="706">
        <v>6</v>
      </c>
    </row>
    <row r="62" spans="1:2" ht="12" customHeight="1">
      <c r="A62" s="705" t="s">
        <v>2409</v>
      </c>
      <c r="B62" s="706">
        <v>7</v>
      </c>
    </row>
    <row r="63" spans="1:2" ht="12" customHeight="1">
      <c r="A63" s="705" t="s">
        <v>2410</v>
      </c>
      <c r="B63" s="706">
        <v>7</v>
      </c>
    </row>
    <row r="64" spans="1:2" ht="12" customHeight="1">
      <c r="A64" s="705" t="s">
        <v>2411</v>
      </c>
      <c r="B64" s="706">
        <v>8</v>
      </c>
    </row>
    <row r="65" spans="1:2" ht="12" customHeight="1">
      <c r="A65" s="705" t="s">
        <v>2412</v>
      </c>
      <c r="B65" s="706">
        <v>8</v>
      </c>
    </row>
    <row r="66" spans="1:2" ht="12" customHeight="1">
      <c r="A66" s="705" t="s">
        <v>2413</v>
      </c>
      <c r="B66" s="706">
        <v>8</v>
      </c>
    </row>
    <row r="67" spans="1:2" ht="12" customHeight="1">
      <c r="A67" s="705" t="s">
        <v>2414</v>
      </c>
      <c r="B67" s="706">
        <v>8</v>
      </c>
    </row>
    <row r="68" spans="1:2" ht="12" customHeight="1">
      <c r="A68" s="705" t="s">
        <v>2415</v>
      </c>
      <c r="B68" s="706">
        <v>8</v>
      </c>
    </row>
    <row r="69" spans="1:2" ht="12" customHeight="1">
      <c r="A69" s="705" t="s">
        <v>2416</v>
      </c>
      <c r="B69" s="706">
        <v>8</v>
      </c>
    </row>
    <row r="70" spans="1:2" ht="12" customHeight="1">
      <c r="A70" s="705" t="s">
        <v>2417</v>
      </c>
      <c r="B70" s="706">
        <v>8</v>
      </c>
    </row>
    <row r="71" spans="1:2" ht="12" customHeight="1">
      <c r="A71" s="707" t="s">
        <v>2418</v>
      </c>
      <c r="B71" s="706">
        <v>8</v>
      </c>
    </row>
    <row r="72" spans="1:2" ht="12" customHeight="1">
      <c r="A72" s="707" t="s">
        <v>2419</v>
      </c>
      <c r="B72" s="706">
        <v>8</v>
      </c>
    </row>
    <row r="73" spans="1:2" ht="12" customHeight="1">
      <c r="A73" s="709" t="s">
        <v>2420</v>
      </c>
      <c r="B73" s="706">
        <v>9</v>
      </c>
    </row>
    <row r="74" spans="1:2" ht="12" customHeight="1">
      <c r="A74" s="709" t="s">
        <v>2421</v>
      </c>
      <c r="B74" s="706">
        <v>9</v>
      </c>
    </row>
    <row r="75" spans="1:2" ht="12" customHeight="1">
      <c r="A75" s="709" t="s">
        <v>2420</v>
      </c>
      <c r="B75" s="706">
        <v>9</v>
      </c>
    </row>
    <row r="76" spans="1:2" ht="12" customHeight="1">
      <c r="A76" s="709" t="s">
        <v>2422</v>
      </c>
      <c r="B76" s="706">
        <v>9</v>
      </c>
    </row>
    <row r="77" spans="1:2" ht="12" customHeight="1">
      <c r="A77" s="709" t="s">
        <v>2423</v>
      </c>
      <c r="B77" s="706">
        <v>9</v>
      </c>
    </row>
    <row r="78" spans="1:2" ht="12" customHeight="1">
      <c r="A78" s="709" t="s">
        <v>2424</v>
      </c>
      <c r="B78" s="706">
        <v>9</v>
      </c>
    </row>
    <row r="79" spans="1:2" ht="12" customHeight="1">
      <c r="A79" s="709" t="s">
        <v>2424</v>
      </c>
      <c r="B79" s="706">
        <v>9</v>
      </c>
    </row>
    <row r="80" spans="1:2" ht="12" customHeight="1">
      <c r="A80" s="705" t="s">
        <v>2425</v>
      </c>
      <c r="B80" s="706">
        <v>9</v>
      </c>
    </row>
    <row r="81" spans="1:2" ht="12" customHeight="1">
      <c r="A81" s="709" t="s">
        <v>2426</v>
      </c>
      <c r="B81" s="706">
        <v>9</v>
      </c>
    </row>
    <row r="82" spans="1:2" ht="12" customHeight="1">
      <c r="A82" s="709" t="s">
        <v>3131</v>
      </c>
      <c r="B82" s="706">
        <v>9</v>
      </c>
    </row>
    <row r="83" spans="1:2" ht="12" customHeight="1">
      <c r="A83" s="709" t="s">
        <v>2427</v>
      </c>
      <c r="B83" s="706">
        <v>9</v>
      </c>
    </row>
    <row r="84" spans="1:2" ht="12" customHeight="1">
      <c r="A84" s="709" t="s">
        <v>2428</v>
      </c>
      <c r="B84" s="706">
        <v>9</v>
      </c>
    </row>
    <row r="85" spans="1:2" ht="12" customHeight="1">
      <c r="A85" s="709" t="s">
        <v>2429</v>
      </c>
      <c r="B85" s="706">
        <v>9</v>
      </c>
    </row>
    <row r="86" spans="1:2" ht="12" customHeight="1">
      <c r="A86" s="709" t="s">
        <v>2430</v>
      </c>
      <c r="B86" s="706">
        <v>9</v>
      </c>
    </row>
    <row r="87" spans="1:2" ht="12" customHeight="1">
      <c r="A87" s="709" t="s">
        <v>2431</v>
      </c>
      <c r="B87" s="706">
        <v>9</v>
      </c>
    </row>
    <row r="88" spans="1:2" ht="12" customHeight="1">
      <c r="A88" s="709" t="s">
        <v>2432</v>
      </c>
      <c r="B88" s="706">
        <v>9</v>
      </c>
    </row>
    <row r="89" spans="1:2" ht="12" customHeight="1">
      <c r="A89" s="708" t="s">
        <v>3132</v>
      </c>
      <c r="B89" s="706">
        <v>9</v>
      </c>
    </row>
    <row r="90" spans="1:2" ht="12" customHeight="1">
      <c r="A90" s="705" t="s">
        <v>3102</v>
      </c>
      <c r="B90" s="706">
        <v>10</v>
      </c>
    </row>
    <row r="91" spans="1:2" ht="12" customHeight="1">
      <c r="A91" s="708" t="s">
        <v>2433</v>
      </c>
      <c r="B91" s="706">
        <v>10</v>
      </c>
    </row>
    <row r="92" spans="1:2" ht="12" customHeight="1">
      <c r="A92" s="709" t="s">
        <v>2434</v>
      </c>
      <c r="B92" s="706">
        <v>11</v>
      </c>
    </row>
    <row r="93" spans="1:2" ht="12" customHeight="1">
      <c r="A93" s="709" t="s">
        <v>2435</v>
      </c>
      <c r="B93" s="706">
        <v>11</v>
      </c>
    </row>
    <row r="94" spans="1:2" ht="12" customHeight="1">
      <c r="A94" s="709" t="s">
        <v>2436</v>
      </c>
      <c r="B94" s="706">
        <v>11</v>
      </c>
    </row>
    <row r="95" spans="1:2" ht="12" customHeight="1">
      <c r="A95" s="705" t="s">
        <v>3103</v>
      </c>
      <c r="B95" s="706">
        <v>12</v>
      </c>
    </row>
    <row r="96" spans="1:2" ht="12" customHeight="1">
      <c r="A96" s="705" t="s">
        <v>2437</v>
      </c>
      <c r="B96" s="706">
        <v>12</v>
      </c>
    </row>
    <row r="97" spans="1:2" ht="12" customHeight="1">
      <c r="A97" s="705" t="s">
        <v>2438</v>
      </c>
      <c r="B97" s="706">
        <v>13</v>
      </c>
    </row>
    <row r="98" spans="1:2" ht="12" customHeight="1">
      <c r="A98" s="705" t="s">
        <v>2439</v>
      </c>
      <c r="B98" s="706">
        <v>13</v>
      </c>
    </row>
    <row r="99" spans="1:2" ht="12" customHeight="1">
      <c r="A99" s="705" t="s">
        <v>2440</v>
      </c>
      <c r="B99" s="706">
        <v>14</v>
      </c>
    </row>
    <row r="100" spans="1:2" ht="12" customHeight="1">
      <c r="A100" s="709" t="s">
        <v>2441</v>
      </c>
      <c r="B100" s="706">
        <v>14</v>
      </c>
    </row>
    <row r="101" spans="1:2" ht="12" customHeight="1">
      <c r="A101" s="707" t="s">
        <v>2442</v>
      </c>
      <c r="B101" s="706">
        <v>14</v>
      </c>
    </row>
    <row r="102" spans="1:2" ht="12" customHeight="1">
      <c r="A102" s="705" t="s">
        <v>2443</v>
      </c>
      <c r="B102" s="706">
        <v>15</v>
      </c>
    </row>
    <row r="103" spans="1:2" ht="12" customHeight="1">
      <c r="A103" s="705" t="s">
        <v>2444</v>
      </c>
      <c r="B103" s="706">
        <v>15</v>
      </c>
    </row>
    <row r="104" spans="1:2" ht="12" customHeight="1">
      <c r="A104" s="705" t="s">
        <v>2445</v>
      </c>
      <c r="B104" s="706">
        <v>15</v>
      </c>
    </row>
    <row r="105" spans="1:2" ht="12" customHeight="1">
      <c r="A105" s="705" t="s">
        <v>2446</v>
      </c>
      <c r="B105" s="706">
        <v>16</v>
      </c>
    </row>
    <row r="106" spans="1:2" ht="12" customHeight="1">
      <c r="A106" s="705" t="s">
        <v>2447</v>
      </c>
      <c r="B106" s="706">
        <v>16</v>
      </c>
    </row>
    <row r="107" spans="1:2" ht="12" customHeight="1">
      <c r="A107" s="705" t="s">
        <v>2448</v>
      </c>
      <c r="B107" s="706">
        <v>17</v>
      </c>
    </row>
    <row r="108" spans="1:2" ht="12" customHeight="1">
      <c r="A108" s="705" t="s">
        <v>2449</v>
      </c>
      <c r="B108" s="706">
        <v>18</v>
      </c>
    </row>
    <row r="109" spans="1:2" ht="12" customHeight="1">
      <c r="A109" s="705" t="s">
        <v>3133</v>
      </c>
      <c r="B109" s="706">
        <v>18</v>
      </c>
    </row>
    <row r="110" spans="1:2" ht="12" customHeight="1">
      <c r="A110" s="705" t="s">
        <v>2450</v>
      </c>
      <c r="B110" s="706">
        <v>19</v>
      </c>
    </row>
    <row r="111" spans="1:2" ht="12" customHeight="1">
      <c r="A111" s="705" t="s">
        <v>2451</v>
      </c>
      <c r="B111" s="706">
        <v>19</v>
      </c>
    </row>
    <row r="112" spans="1:2" ht="12" customHeight="1">
      <c r="A112" s="705" t="s">
        <v>2451</v>
      </c>
      <c r="B112" s="706">
        <v>19</v>
      </c>
    </row>
    <row r="113" spans="1:2" ht="12" customHeight="1">
      <c r="A113" s="705" t="s">
        <v>2452</v>
      </c>
      <c r="B113" s="706">
        <v>20</v>
      </c>
    </row>
    <row r="114" spans="1:2" ht="12" customHeight="1">
      <c r="A114" s="705" t="s">
        <v>2453</v>
      </c>
      <c r="B114" s="706">
        <v>20</v>
      </c>
    </row>
    <row r="115" spans="1:2" ht="12" customHeight="1">
      <c r="A115" s="705" t="s">
        <v>2454</v>
      </c>
      <c r="B115" s="706">
        <v>20</v>
      </c>
    </row>
    <row r="116" spans="1:2" ht="12" customHeight="1">
      <c r="A116" s="705" t="s">
        <v>2455</v>
      </c>
      <c r="B116" s="706">
        <v>20</v>
      </c>
    </row>
    <row r="117" spans="1:2" ht="12" customHeight="1">
      <c r="A117" s="705" t="s">
        <v>2456</v>
      </c>
      <c r="B117" s="706">
        <v>20</v>
      </c>
    </row>
    <row r="118" spans="1:2" ht="12" customHeight="1">
      <c r="A118" s="705" t="s">
        <v>2457</v>
      </c>
      <c r="B118" s="706">
        <v>20</v>
      </c>
    </row>
    <row r="119" spans="1:2" ht="12" customHeight="1">
      <c r="A119" s="705" t="s">
        <v>2458</v>
      </c>
      <c r="B119" s="706">
        <v>20</v>
      </c>
    </row>
    <row r="120" spans="1:2" ht="12" customHeight="1">
      <c r="A120" s="705" t="s">
        <v>2459</v>
      </c>
      <c r="B120" s="706">
        <v>23</v>
      </c>
    </row>
    <row r="121" spans="1:2" ht="12" customHeight="1">
      <c r="A121" s="705" t="s">
        <v>2460</v>
      </c>
      <c r="B121" s="706">
        <v>23</v>
      </c>
    </row>
    <row r="122" spans="1:2" ht="12" customHeight="1">
      <c r="A122" s="705" t="s">
        <v>2461</v>
      </c>
      <c r="B122" s="706">
        <v>23</v>
      </c>
    </row>
    <row r="123" spans="1:2" ht="12" customHeight="1">
      <c r="A123" s="705" t="s">
        <v>2462</v>
      </c>
      <c r="B123" s="706">
        <v>24</v>
      </c>
    </row>
    <row r="124" spans="1:2" ht="12" customHeight="1">
      <c r="A124" s="705" t="s">
        <v>2463</v>
      </c>
      <c r="B124" s="706">
        <v>24</v>
      </c>
    </row>
    <row r="125" spans="1:2" ht="12" customHeight="1">
      <c r="A125" s="705" t="s">
        <v>2464</v>
      </c>
      <c r="B125" s="706">
        <v>25</v>
      </c>
    </row>
    <row r="126" spans="1:2" ht="12" customHeight="1">
      <c r="A126" s="707" t="s">
        <v>2465</v>
      </c>
      <c r="B126" s="706">
        <v>26</v>
      </c>
    </row>
    <row r="127" spans="1:2" ht="12" customHeight="1">
      <c r="A127" s="705" t="s">
        <v>3104</v>
      </c>
      <c r="B127" s="706">
        <v>23</v>
      </c>
    </row>
    <row r="128" spans="1:2" ht="12" customHeight="1">
      <c r="A128" s="705" t="s">
        <v>2466</v>
      </c>
      <c r="B128" s="706">
        <v>24</v>
      </c>
    </row>
    <row r="129" spans="1:2" ht="12" customHeight="1">
      <c r="A129" s="705" t="s">
        <v>3105</v>
      </c>
      <c r="B129" s="706">
        <v>25</v>
      </c>
    </row>
    <row r="130" spans="1:2" ht="12" customHeight="1">
      <c r="A130" s="705" t="s">
        <v>2467</v>
      </c>
      <c r="B130" s="706">
        <v>26</v>
      </c>
    </row>
    <row r="131" spans="1:2" ht="12" customHeight="1">
      <c r="A131" s="705" t="s">
        <v>3106</v>
      </c>
      <c r="B131" s="706">
        <v>27</v>
      </c>
    </row>
    <row r="132" spans="1:2" ht="12" customHeight="1">
      <c r="A132" s="705" t="s">
        <v>2468</v>
      </c>
      <c r="B132" s="706">
        <v>28</v>
      </c>
    </row>
    <row r="133" spans="1:2" ht="12" customHeight="1">
      <c r="A133" s="705" t="s">
        <v>3107</v>
      </c>
      <c r="B133" s="706">
        <v>29</v>
      </c>
    </row>
    <row r="134" spans="1:2" ht="12" customHeight="1">
      <c r="A134" s="705" t="s">
        <v>2469</v>
      </c>
      <c r="B134" s="706">
        <v>30</v>
      </c>
    </row>
    <row r="135" spans="1:2" ht="12" customHeight="1">
      <c r="A135" s="709" t="s">
        <v>1933</v>
      </c>
      <c r="B135" s="706">
        <v>32</v>
      </c>
    </row>
    <row r="136" spans="1:2" ht="12" customHeight="1">
      <c r="A136" s="708" t="s">
        <v>1118</v>
      </c>
      <c r="B136" s="706">
        <v>32</v>
      </c>
    </row>
    <row r="137" spans="1:2" ht="12" customHeight="1">
      <c r="A137" s="708" t="s">
        <v>2470</v>
      </c>
      <c r="B137" s="706">
        <v>32</v>
      </c>
    </row>
    <row r="138" spans="1:2" ht="12" customHeight="1">
      <c r="A138" s="708" t="s">
        <v>2471</v>
      </c>
      <c r="B138" s="706">
        <v>32</v>
      </c>
    </row>
    <row r="139" spans="1:2" ht="12" customHeight="1">
      <c r="A139" s="708" t="s">
        <v>2472</v>
      </c>
      <c r="B139" s="706">
        <v>32</v>
      </c>
    </row>
    <row r="140" spans="1:2" ht="12" customHeight="1">
      <c r="A140" s="708" t="s">
        <v>2473</v>
      </c>
      <c r="B140" s="706">
        <v>32</v>
      </c>
    </row>
    <row r="141" spans="1:2" ht="12" customHeight="1">
      <c r="A141" s="708" t="s">
        <v>2474</v>
      </c>
      <c r="B141" s="706">
        <v>32</v>
      </c>
    </row>
    <row r="142" spans="1:2" ht="12" customHeight="1">
      <c r="A142" s="708" t="s">
        <v>2357</v>
      </c>
      <c r="B142" s="706">
        <v>32</v>
      </c>
    </row>
    <row r="143" spans="1:2" ht="12" customHeight="1">
      <c r="A143" s="708" t="s">
        <v>2475</v>
      </c>
      <c r="B143" s="706">
        <v>32</v>
      </c>
    </row>
    <row r="144" spans="1:2" ht="12" customHeight="1">
      <c r="A144" s="707" t="s">
        <v>2476</v>
      </c>
      <c r="B144" s="706">
        <v>32</v>
      </c>
    </row>
    <row r="145" spans="1:2" ht="12" customHeight="1">
      <c r="A145" s="707" t="s">
        <v>2477</v>
      </c>
      <c r="B145" s="706">
        <v>32</v>
      </c>
    </row>
    <row r="146" spans="1:2" ht="12" customHeight="1">
      <c r="A146" s="709" t="s">
        <v>620</v>
      </c>
      <c r="B146" s="706">
        <v>31</v>
      </c>
    </row>
    <row r="147" spans="1:2" ht="12" customHeight="1">
      <c r="A147" s="709" t="s">
        <v>2478</v>
      </c>
      <c r="B147" s="706">
        <v>31</v>
      </c>
    </row>
    <row r="148" spans="1:2" ht="12" customHeight="1">
      <c r="A148" s="709" t="s">
        <v>2479</v>
      </c>
      <c r="B148" s="706">
        <v>31</v>
      </c>
    </row>
    <row r="149" spans="1:2" ht="12" customHeight="1">
      <c r="A149" s="709" t="s">
        <v>2480</v>
      </c>
      <c r="B149" s="706">
        <v>31</v>
      </c>
    </row>
    <row r="150" spans="1:2" ht="12" customHeight="1">
      <c r="A150" s="709" t="s">
        <v>2481</v>
      </c>
      <c r="B150" s="706">
        <v>31</v>
      </c>
    </row>
    <row r="151" spans="1:2" ht="12" customHeight="1">
      <c r="A151" s="709" t="s">
        <v>2482</v>
      </c>
      <c r="B151" s="706">
        <v>31</v>
      </c>
    </row>
    <row r="152" spans="1:2" ht="12" customHeight="1">
      <c r="A152" s="709" t="s">
        <v>2483</v>
      </c>
      <c r="B152" s="706">
        <v>31</v>
      </c>
    </row>
    <row r="153" spans="1:2" ht="12" customHeight="1">
      <c r="A153" s="709" t="s">
        <v>2484</v>
      </c>
      <c r="B153" s="706">
        <v>31</v>
      </c>
    </row>
    <row r="154" spans="1:2" ht="12" customHeight="1">
      <c r="A154" s="709" t="s">
        <v>2485</v>
      </c>
      <c r="B154" s="706">
        <v>31</v>
      </c>
    </row>
    <row r="155" spans="1:2" ht="12" customHeight="1">
      <c r="A155" s="709" t="s">
        <v>14</v>
      </c>
      <c r="B155" s="706">
        <v>31</v>
      </c>
    </row>
    <row r="156" spans="1:2" ht="12" customHeight="1">
      <c r="A156" s="709" t="s">
        <v>2486</v>
      </c>
      <c r="B156" s="706">
        <v>31</v>
      </c>
    </row>
    <row r="157" spans="1:2" ht="12" customHeight="1">
      <c r="A157" s="709" t="s">
        <v>2487</v>
      </c>
      <c r="B157" s="706">
        <v>31</v>
      </c>
    </row>
    <row r="158" spans="1:2" ht="12" customHeight="1">
      <c r="A158" s="709" t="s">
        <v>2488</v>
      </c>
      <c r="B158" s="706">
        <v>31</v>
      </c>
    </row>
    <row r="159" spans="1:2" ht="12" customHeight="1">
      <c r="A159" s="709" t="s">
        <v>2489</v>
      </c>
      <c r="B159" s="706">
        <v>31</v>
      </c>
    </row>
    <row r="160" spans="1:2" ht="12" customHeight="1">
      <c r="A160" s="709" t="s">
        <v>2490</v>
      </c>
      <c r="B160" s="706">
        <v>31</v>
      </c>
    </row>
    <row r="161" spans="1:2" ht="12" customHeight="1">
      <c r="A161" s="709" t="s">
        <v>2491</v>
      </c>
      <c r="B161" s="706">
        <v>31</v>
      </c>
    </row>
    <row r="162" spans="1:2" ht="12" customHeight="1">
      <c r="A162" s="709" t="s">
        <v>2492</v>
      </c>
      <c r="B162" s="706">
        <v>31</v>
      </c>
    </row>
    <row r="163" spans="1:2" ht="12" customHeight="1">
      <c r="A163" s="709" t="s">
        <v>2493</v>
      </c>
      <c r="B163" s="706">
        <v>31</v>
      </c>
    </row>
    <row r="164" spans="1:2" ht="12" customHeight="1">
      <c r="A164" s="709" t="s">
        <v>2494</v>
      </c>
      <c r="B164" s="706">
        <v>31</v>
      </c>
    </row>
    <row r="165" spans="1:2" ht="12" customHeight="1">
      <c r="A165" s="709" t="s">
        <v>2495</v>
      </c>
      <c r="B165" s="706">
        <v>31</v>
      </c>
    </row>
    <row r="166" spans="1:2" ht="12" customHeight="1">
      <c r="A166" s="709" t="s">
        <v>2496</v>
      </c>
      <c r="B166" s="706">
        <v>31</v>
      </c>
    </row>
    <row r="167" spans="1:2" ht="12" customHeight="1">
      <c r="A167" s="709" t="s">
        <v>2497</v>
      </c>
      <c r="B167" s="706">
        <v>31</v>
      </c>
    </row>
    <row r="168" spans="1:2" ht="12" customHeight="1">
      <c r="A168" s="709" t="s">
        <v>2498</v>
      </c>
      <c r="B168" s="706">
        <v>31</v>
      </c>
    </row>
    <row r="169" spans="1:2" ht="12" customHeight="1">
      <c r="A169" s="709" t="s">
        <v>2499</v>
      </c>
      <c r="B169" s="706">
        <v>31</v>
      </c>
    </row>
    <row r="170" spans="1:2" ht="12" customHeight="1">
      <c r="A170" s="709" t="s">
        <v>2500</v>
      </c>
      <c r="B170" s="706">
        <v>31</v>
      </c>
    </row>
    <row r="171" spans="1:2" ht="12" customHeight="1">
      <c r="A171" s="709" t="s">
        <v>2501</v>
      </c>
      <c r="B171" s="706">
        <v>31</v>
      </c>
    </row>
    <row r="172" spans="1:2" ht="12" customHeight="1">
      <c r="A172" s="709" t="s">
        <v>2502</v>
      </c>
      <c r="B172" s="706">
        <v>31</v>
      </c>
    </row>
    <row r="173" spans="1:2" ht="12" customHeight="1">
      <c r="A173" s="709" t="s">
        <v>2503</v>
      </c>
      <c r="B173" s="706">
        <v>31</v>
      </c>
    </row>
    <row r="174" spans="1:2" ht="12" customHeight="1">
      <c r="A174" s="709" t="s">
        <v>2504</v>
      </c>
      <c r="B174" s="706">
        <v>31</v>
      </c>
    </row>
    <row r="175" spans="1:2" ht="12" customHeight="1">
      <c r="A175" s="709" t="s">
        <v>2505</v>
      </c>
      <c r="B175" s="706">
        <v>31</v>
      </c>
    </row>
    <row r="176" spans="1:2" ht="12" customHeight="1">
      <c r="A176" s="709" t="s">
        <v>2506</v>
      </c>
      <c r="B176" s="706">
        <v>31</v>
      </c>
    </row>
    <row r="177" spans="1:2" ht="12" customHeight="1">
      <c r="A177" s="709" t="s">
        <v>2507</v>
      </c>
      <c r="B177" s="706">
        <v>31</v>
      </c>
    </row>
    <row r="178" spans="1:2" ht="12" customHeight="1">
      <c r="A178" s="709" t="s">
        <v>2508</v>
      </c>
      <c r="B178" s="706">
        <v>31</v>
      </c>
    </row>
    <row r="179" spans="1:2" ht="12" customHeight="1">
      <c r="A179" s="709" t="s">
        <v>1013</v>
      </c>
      <c r="B179" s="706">
        <v>31</v>
      </c>
    </row>
    <row r="180" spans="1:2" ht="12" customHeight="1">
      <c r="A180" s="709" t="s">
        <v>2509</v>
      </c>
      <c r="B180" s="706">
        <v>31</v>
      </c>
    </row>
    <row r="181" spans="1:2" ht="12" customHeight="1">
      <c r="A181" s="709" t="s">
        <v>2510</v>
      </c>
      <c r="B181" s="706">
        <v>31</v>
      </c>
    </row>
    <row r="182" spans="1:2" ht="12" customHeight="1">
      <c r="A182" s="709" t="s">
        <v>2511</v>
      </c>
      <c r="B182" s="706">
        <v>31</v>
      </c>
    </row>
    <row r="183" spans="1:2" ht="12" customHeight="1">
      <c r="A183" s="709" t="s">
        <v>2512</v>
      </c>
      <c r="B183" s="706">
        <v>31</v>
      </c>
    </row>
    <row r="184" spans="1:2" ht="12" customHeight="1">
      <c r="A184" s="709" t="s">
        <v>2513</v>
      </c>
      <c r="B184" s="706">
        <v>31</v>
      </c>
    </row>
    <row r="185" spans="1:2" ht="12" customHeight="1">
      <c r="A185" s="709" t="s">
        <v>2514</v>
      </c>
      <c r="B185" s="706">
        <v>31</v>
      </c>
    </row>
    <row r="186" spans="1:2" ht="12" customHeight="1">
      <c r="A186" s="709" t="s">
        <v>2515</v>
      </c>
      <c r="B186" s="706">
        <v>31</v>
      </c>
    </row>
    <row r="187" spans="1:2" ht="12" customHeight="1">
      <c r="A187" s="709" t="s">
        <v>2516</v>
      </c>
      <c r="B187" s="706">
        <v>31</v>
      </c>
    </row>
    <row r="188" spans="1:2" ht="12" customHeight="1">
      <c r="A188" s="709" t="s">
        <v>2517</v>
      </c>
      <c r="B188" s="706">
        <v>31</v>
      </c>
    </row>
    <row r="189" spans="1:2" ht="12" customHeight="1">
      <c r="A189" s="709" t="s">
        <v>2518</v>
      </c>
      <c r="B189" s="706">
        <v>31</v>
      </c>
    </row>
    <row r="190" spans="1:2" ht="12" customHeight="1">
      <c r="A190" s="709" t="s">
        <v>2519</v>
      </c>
      <c r="B190" s="706">
        <v>31</v>
      </c>
    </row>
    <row r="191" spans="1:2" ht="12" customHeight="1">
      <c r="A191" s="709" t="s">
        <v>2520</v>
      </c>
      <c r="B191" s="706">
        <v>31</v>
      </c>
    </row>
    <row r="192" spans="1:2" ht="12" customHeight="1">
      <c r="A192" s="709" t="s">
        <v>2521</v>
      </c>
      <c r="B192" s="706">
        <v>31</v>
      </c>
    </row>
    <row r="193" spans="1:2" ht="12" customHeight="1">
      <c r="A193" s="709" t="s">
        <v>2522</v>
      </c>
      <c r="B193" s="706">
        <v>31</v>
      </c>
    </row>
    <row r="194" spans="1:2" ht="12" customHeight="1">
      <c r="A194" s="709" t="s">
        <v>2523</v>
      </c>
      <c r="B194" s="706">
        <v>31</v>
      </c>
    </row>
    <row r="195" spans="1:2" ht="12" customHeight="1">
      <c r="A195" s="709" t="s">
        <v>2524</v>
      </c>
      <c r="B195" s="706">
        <v>31</v>
      </c>
    </row>
    <row r="196" spans="1:2" ht="12" customHeight="1">
      <c r="A196" s="709" t="s">
        <v>2525</v>
      </c>
      <c r="B196" s="706">
        <v>31</v>
      </c>
    </row>
    <row r="197" spans="1:2" ht="12" customHeight="1">
      <c r="A197" s="709" t="s">
        <v>2526</v>
      </c>
      <c r="B197" s="706">
        <v>31</v>
      </c>
    </row>
    <row r="198" spans="1:2" ht="12" customHeight="1">
      <c r="A198" s="709" t="s">
        <v>2527</v>
      </c>
      <c r="B198" s="706">
        <v>31</v>
      </c>
    </row>
    <row r="199" spans="1:2" ht="12" customHeight="1">
      <c r="A199" s="709" t="s">
        <v>2528</v>
      </c>
      <c r="B199" s="706">
        <v>31</v>
      </c>
    </row>
    <row r="200" spans="1:2" ht="12" customHeight="1">
      <c r="A200" s="709" t="s">
        <v>2529</v>
      </c>
      <c r="B200" s="706">
        <v>31</v>
      </c>
    </row>
    <row r="201" spans="1:2" ht="12" customHeight="1">
      <c r="A201" s="709" t="s">
        <v>2530</v>
      </c>
      <c r="B201" s="706">
        <v>31</v>
      </c>
    </row>
    <row r="202" spans="1:2" ht="12" customHeight="1">
      <c r="A202" s="709" t="s">
        <v>2531</v>
      </c>
      <c r="B202" s="706">
        <v>31</v>
      </c>
    </row>
    <row r="203" spans="1:2" ht="12" customHeight="1">
      <c r="A203" s="709" t="s">
        <v>2532</v>
      </c>
      <c r="B203" s="706">
        <v>31</v>
      </c>
    </row>
    <row r="204" spans="1:2" ht="12" customHeight="1">
      <c r="A204" s="709" t="s">
        <v>1090</v>
      </c>
      <c r="B204" s="706">
        <v>31</v>
      </c>
    </row>
    <row r="205" spans="1:2" ht="12" customHeight="1">
      <c r="A205" s="709" t="s">
        <v>2533</v>
      </c>
      <c r="B205" s="706">
        <v>31</v>
      </c>
    </row>
    <row r="206" spans="1:2" ht="12" customHeight="1">
      <c r="A206" s="709" t="s">
        <v>2534</v>
      </c>
      <c r="B206" s="706">
        <v>31</v>
      </c>
    </row>
    <row r="207" spans="1:2" ht="12" customHeight="1">
      <c r="A207" s="709" t="s">
        <v>2535</v>
      </c>
      <c r="B207" s="706">
        <v>31</v>
      </c>
    </row>
    <row r="208" spans="1:2" ht="12" customHeight="1">
      <c r="A208" s="709" t="s">
        <v>2536</v>
      </c>
      <c r="B208" s="706">
        <v>31</v>
      </c>
    </row>
    <row r="209" spans="1:2" ht="12" customHeight="1">
      <c r="A209" s="709" t="s">
        <v>2537</v>
      </c>
      <c r="B209" s="706">
        <v>31</v>
      </c>
    </row>
    <row r="210" spans="1:2" ht="12" customHeight="1">
      <c r="A210" s="709" t="s">
        <v>2538</v>
      </c>
      <c r="B210" s="706">
        <v>31</v>
      </c>
    </row>
    <row r="211" spans="1:2" ht="12" customHeight="1">
      <c r="A211" s="709" t="s">
        <v>2539</v>
      </c>
      <c r="B211" s="706">
        <v>31</v>
      </c>
    </row>
    <row r="212" spans="1:2" ht="12" customHeight="1">
      <c r="A212" s="709" t="s">
        <v>2540</v>
      </c>
      <c r="B212" s="706">
        <v>31</v>
      </c>
    </row>
    <row r="213" spans="1:2" ht="12" customHeight="1">
      <c r="A213" s="709" t="s">
        <v>2541</v>
      </c>
      <c r="B213" s="706">
        <v>31</v>
      </c>
    </row>
    <row r="214" spans="1:2" ht="12" customHeight="1">
      <c r="A214" s="709" t="s">
        <v>2542</v>
      </c>
      <c r="B214" s="706">
        <v>31</v>
      </c>
    </row>
    <row r="215" spans="1:2" ht="12" customHeight="1">
      <c r="A215" s="709" t="s">
        <v>3134</v>
      </c>
      <c r="B215" s="706">
        <v>31</v>
      </c>
    </row>
    <row r="216" spans="1:2" ht="12" customHeight="1">
      <c r="A216" s="709" t="s">
        <v>2543</v>
      </c>
      <c r="B216" s="706">
        <v>31</v>
      </c>
    </row>
    <row r="217" spans="1:2" ht="12" customHeight="1">
      <c r="A217" s="709" t="s">
        <v>2544</v>
      </c>
      <c r="B217" s="706">
        <v>31</v>
      </c>
    </row>
    <row r="218" spans="1:2" ht="12" customHeight="1">
      <c r="A218" s="709" t="s">
        <v>2545</v>
      </c>
      <c r="B218" s="706">
        <v>31</v>
      </c>
    </row>
    <row r="219" spans="1:2" ht="12" customHeight="1">
      <c r="A219" s="709" t="s">
        <v>2546</v>
      </c>
      <c r="B219" s="706">
        <v>31</v>
      </c>
    </row>
    <row r="220" spans="1:2" ht="12" customHeight="1">
      <c r="A220" s="709" t="s">
        <v>2547</v>
      </c>
      <c r="B220" s="706">
        <v>31</v>
      </c>
    </row>
    <row r="221" spans="1:2" ht="12" customHeight="1">
      <c r="A221" s="709" t="s">
        <v>2548</v>
      </c>
      <c r="B221" s="706">
        <v>31</v>
      </c>
    </row>
    <row r="222" spans="1:2" ht="12" customHeight="1">
      <c r="A222" s="709" t="s">
        <v>2549</v>
      </c>
      <c r="B222" s="706">
        <v>31</v>
      </c>
    </row>
    <row r="223" spans="1:2" ht="12" customHeight="1">
      <c r="A223" s="709" t="s">
        <v>2550</v>
      </c>
      <c r="B223" s="706">
        <v>31</v>
      </c>
    </row>
    <row r="224" spans="1:2" ht="12" customHeight="1">
      <c r="A224" s="709" t="s">
        <v>2551</v>
      </c>
      <c r="B224" s="706">
        <v>31</v>
      </c>
    </row>
    <row r="225" spans="1:2" ht="12" customHeight="1">
      <c r="A225" s="709" t="s">
        <v>2552</v>
      </c>
      <c r="B225" s="706">
        <v>31</v>
      </c>
    </row>
    <row r="226" spans="1:2" ht="12" customHeight="1">
      <c r="A226" s="709" t="s">
        <v>2553</v>
      </c>
      <c r="B226" s="706">
        <v>31</v>
      </c>
    </row>
    <row r="227" spans="1:2" ht="12" customHeight="1">
      <c r="A227" s="709" t="s">
        <v>2554</v>
      </c>
      <c r="B227" s="706">
        <v>31</v>
      </c>
    </row>
    <row r="228" spans="1:2" ht="12" customHeight="1">
      <c r="A228" s="709" t="s">
        <v>2555</v>
      </c>
      <c r="B228" s="706">
        <v>31</v>
      </c>
    </row>
    <row r="229" spans="1:2" ht="12" customHeight="1">
      <c r="A229" s="709" t="s">
        <v>2556</v>
      </c>
      <c r="B229" s="706">
        <v>31</v>
      </c>
    </row>
    <row r="230" spans="1:2" ht="12" customHeight="1">
      <c r="A230" s="709" t="s">
        <v>2557</v>
      </c>
      <c r="B230" s="706">
        <v>31</v>
      </c>
    </row>
    <row r="231" spans="1:2" ht="12" customHeight="1">
      <c r="A231" s="709" t="s">
        <v>2558</v>
      </c>
      <c r="B231" s="706">
        <v>31</v>
      </c>
    </row>
    <row r="232" spans="1:2" ht="12" customHeight="1">
      <c r="A232" s="709" t="s">
        <v>2559</v>
      </c>
      <c r="B232" s="706">
        <v>31</v>
      </c>
    </row>
    <row r="233" spans="1:2" ht="12" customHeight="1">
      <c r="A233" s="709" t="s">
        <v>2560</v>
      </c>
      <c r="B233" s="706">
        <v>31</v>
      </c>
    </row>
    <row r="234" spans="1:2" ht="12" customHeight="1">
      <c r="A234" s="709" t="s">
        <v>2561</v>
      </c>
      <c r="B234" s="706">
        <v>31</v>
      </c>
    </row>
    <row r="235" spans="1:2" ht="12" customHeight="1">
      <c r="A235" s="709" t="s">
        <v>2562</v>
      </c>
      <c r="B235" s="706">
        <v>31</v>
      </c>
    </row>
    <row r="236" spans="1:2" ht="12" customHeight="1">
      <c r="A236" s="709" t="s">
        <v>2563</v>
      </c>
      <c r="B236" s="706">
        <v>31</v>
      </c>
    </row>
    <row r="237" spans="1:2" ht="12" customHeight="1">
      <c r="A237" s="709" t="s">
        <v>2564</v>
      </c>
      <c r="B237" s="706">
        <v>31</v>
      </c>
    </row>
    <row r="238" spans="1:2" ht="12" customHeight="1">
      <c r="A238" s="709" t="s">
        <v>2565</v>
      </c>
      <c r="B238" s="706">
        <v>31</v>
      </c>
    </row>
    <row r="239" spans="1:2" ht="12" customHeight="1">
      <c r="A239" s="709" t="s">
        <v>2566</v>
      </c>
      <c r="B239" s="706">
        <v>31</v>
      </c>
    </row>
    <row r="240" spans="1:2" ht="12" customHeight="1">
      <c r="A240" s="709" t="s">
        <v>2567</v>
      </c>
      <c r="B240" s="706">
        <v>31</v>
      </c>
    </row>
    <row r="241" spans="1:2" ht="12" customHeight="1">
      <c r="A241" s="709" t="s">
        <v>2568</v>
      </c>
      <c r="B241" s="706">
        <v>31</v>
      </c>
    </row>
    <row r="242" spans="1:2" ht="12" customHeight="1">
      <c r="A242" s="709" t="s">
        <v>2569</v>
      </c>
      <c r="B242" s="706">
        <v>31</v>
      </c>
    </row>
    <row r="243" spans="1:2" ht="12" customHeight="1">
      <c r="A243" s="709" t="s">
        <v>2570</v>
      </c>
      <c r="B243" s="706">
        <v>31</v>
      </c>
    </row>
    <row r="244" spans="1:2" ht="12" customHeight="1">
      <c r="A244" s="709" t="s">
        <v>2571</v>
      </c>
      <c r="B244" s="706">
        <v>31</v>
      </c>
    </row>
    <row r="245" spans="1:2" ht="12" customHeight="1">
      <c r="A245" s="709" t="s">
        <v>2572</v>
      </c>
      <c r="B245" s="706">
        <v>31</v>
      </c>
    </row>
    <row r="246" spans="1:2" ht="12" customHeight="1">
      <c r="A246" s="709" t="s">
        <v>2573</v>
      </c>
      <c r="B246" s="706">
        <v>31</v>
      </c>
    </row>
    <row r="247" spans="1:2" ht="12" customHeight="1">
      <c r="A247" s="709" t="s">
        <v>2574</v>
      </c>
      <c r="B247" s="706">
        <v>31</v>
      </c>
    </row>
    <row r="248" spans="1:2" ht="12" customHeight="1">
      <c r="A248" s="709" t="s">
        <v>1068</v>
      </c>
      <c r="B248" s="706">
        <v>31</v>
      </c>
    </row>
    <row r="249" spans="1:2" ht="12" customHeight="1">
      <c r="A249" s="709" t="s">
        <v>2575</v>
      </c>
      <c r="B249" s="706">
        <v>31</v>
      </c>
    </row>
    <row r="250" spans="1:2" ht="12" customHeight="1">
      <c r="A250" s="709" t="s">
        <v>2576</v>
      </c>
      <c r="B250" s="706">
        <v>31</v>
      </c>
    </row>
    <row r="251" spans="1:2" ht="12" customHeight="1">
      <c r="A251" s="709" t="s">
        <v>2577</v>
      </c>
      <c r="B251" s="706">
        <v>31</v>
      </c>
    </row>
    <row r="252" spans="1:2" ht="12" customHeight="1">
      <c r="A252" s="709" t="s">
        <v>2578</v>
      </c>
      <c r="B252" s="706">
        <v>31</v>
      </c>
    </row>
    <row r="253" spans="1:2" ht="12" customHeight="1">
      <c r="A253" s="709" t="s">
        <v>2579</v>
      </c>
      <c r="B253" s="706">
        <v>31</v>
      </c>
    </row>
    <row r="254" spans="1:2" ht="12" customHeight="1">
      <c r="A254" s="709" t="s">
        <v>2580</v>
      </c>
      <c r="B254" s="706">
        <v>31</v>
      </c>
    </row>
    <row r="255" spans="1:2" ht="12" customHeight="1">
      <c r="A255" s="709" t="s">
        <v>2581</v>
      </c>
      <c r="B255" s="706">
        <v>31</v>
      </c>
    </row>
    <row r="256" spans="1:2" ht="12" customHeight="1">
      <c r="A256" s="709" t="s">
        <v>2582</v>
      </c>
      <c r="B256" s="706">
        <v>31</v>
      </c>
    </row>
    <row r="257" spans="1:2" ht="12" customHeight="1">
      <c r="A257" s="709" t="s">
        <v>2583</v>
      </c>
      <c r="B257" s="706">
        <v>31</v>
      </c>
    </row>
    <row r="258" spans="1:2" ht="12" customHeight="1">
      <c r="A258" s="709" t="s">
        <v>2584</v>
      </c>
      <c r="B258" s="706">
        <v>31</v>
      </c>
    </row>
    <row r="259" spans="1:2" ht="12" customHeight="1">
      <c r="A259" s="709" t="s">
        <v>2585</v>
      </c>
      <c r="B259" s="706">
        <v>31</v>
      </c>
    </row>
    <row r="260" spans="1:2" ht="12" customHeight="1">
      <c r="A260" s="709" t="s">
        <v>2586</v>
      </c>
      <c r="B260" s="706">
        <v>31</v>
      </c>
    </row>
    <row r="261" spans="1:2" ht="12" customHeight="1">
      <c r="A261" s="709" t="s">
        <v>12</v>
      </c>
      <c r="B261" s="706">
        <v>31</v>
      </c>
    </row>
    <row r="262" spans="1:2" ht="12" customHeight="1">
      <c r="A262" s="709" t="s">
        <v>2587</v>
      </c>
      <c r="B262" s="706">
        <v>31</v>
      </c>
    </row>
    <row r="263" spans="1:2" ht="12" customHeight="1">
      <c r="A263" s="709" t="s">
        <v>2588</v>
      </c>
      <c r="B263" s="706">
        <v>31</v>
      </c>
    </row>
    <row r="264" spans="1:2" ht="12" customHeight="1">
      <c r="A264" s="709" t="s">
        <v>2589</v>
      </c>
      <c r="B264" s="706">
        <v>31</v>
      </c>
    </row>
    <row r="265" spans="1:2" ht="12" customHeight="1">
      <c r="A265" s="709" t="s">
        <v>2590</v>
      </c>
      <c r="B265" s="706">
        <v>31</v>
      </c>
    </row>
    <row r="266" spans="1:2" ht="12" customHeight="1">
      <c r="A266" s="709" t="s">
        <v>2591</v>
      </c>
      <c r="B266" s="706">
        <v>31</v>
      </c>
    </row>
    <row r="267" spans="1:2" ht="12" customHeight="1">
      <c r="A267" s="709" t="s">
        <v>2592</v>
      </c>
      <c r="B267" s="706">
        <v>31</v>
      </c>
    </row>
    <row r="268" spans="1:2" ht="12" customHeight="1">
      <c r="A268" s="709" t="s">
        <v>2593</v>
      </c>
      <c r="B268" s="706">
        <v>31</v>
      </c>
    </row>
    <row r="269" spans="1:2" ht="12" customHeight="1">
      <c r="A269" s="709" t="s">
        <v>2594</v>
      </c>
      <c r="B269" s="706">
        <v>31</v>
      </c>
    </row>
    <row r="270" spans="1:2" ht="12" customHeight="1">
      <c r="A270" s="709" t="s">
        <v>2595</v>
      </c>
      <c r="B270" s="706">
        <v>31</v>
      </c>
    </row>
    <row r="271" spans="1:2" ht="12" customHeight="1">
      <c r="A271" s="709" t="s">
        <v>2596</v>
      </c>
      <c r="B271" s="706">
        <v>31</v>
      </c>
    </row>
    <row r="272" spans="1:2" ht="12" customHeight="1">
      <c r="A272" s="709" t="s">
        <v>2597</v>
      </c>
      <c r="B272" s="706">
        <v>31</v>
      </c>
    </row>
    <row r="273" spans="1:2" ht="12" customHeight="1">
      <c r="A273" s="709" t="s">
        <v>2598</v>
      </c>
      <c r="B273" s="706">
        <v>31</v>
      </c>
    </row>
    <row r="274" spans="1:2" ht="12" customHeight="1">
      <c r="A274" s="709" t="s">
        <v>2599</v>
      </c>
      <c r="B274" s="706">
        <v>31</v>
      </c>
    </row>
    <row r="275" spans="1:2" ht="12" customHeight="1">
      <c r="A275" s="709" t="s">
        <v>2600</v>
      </c>
      <c r="B275" s="706">
        <v>31</v>
      </c>
    </row>
    <row r="276" spans="1:2" ht="12" customHeight="1">
      <c r="A276" s="709" t="s">
        <v>2601</v>
      </c>
      <c r="B276" s="706">
        <v>31</v>
      </c>
    </row>
    <row r="277" spans="1:2" ht="12" customHeight="1">
      <c r="A277" s="709" t="s">
        <v>2602</v>
      </c>
      <c r="B277" s="706">
        <v>31</v>
      </c>
    </row>
    <row r="278" spans="1:2" ht="12" customHeight="1">
      <c r="A278" s="709" t="s">
        <v>2603</v>
      </c>
      <c r="B278" s="706">
        <v>31</v>
      </c>
    </row>
    <row r="279" spans="1:2" ht="12" customHeight="1">
      <c r="A279" s="709" t="s">
        <v>2604</v>
      </c>
      <c r="B279" s="706">
        <v>31</v>
      </c>
    </row>
    <row r="280" spans="1:2" ht="12" customHeight="1">
      <c r="A280" s="709" t="s">
        <v>2605</v>
      </c>
      <c r="B280" s="706">
        <v>31</v>
      </c>
    </row>
    <row r="281" spans="1:2" ht="12" customHeight="1">
      <c r="A281" s="709" t="s">
        <v>2606</v>
      </c>
      <c r="B281" s="706">
        <v>31</v>
      </c>
    </row>
    <row r="282" spans="1:2" ht="12" customHeight="1">
      <c r="A282" s="709" t="s">
        <v>2607</v>
      </c>
      <c r="B282" s="706">
        <v>31</v>
      </c>
    </row>
    <row r="283" spans="1:2" ht="12" customHeight="1">
      <c r="A283" s="709" t="s">
        <v>702</v>
      </c>
      <c r="B283" s="706">
        <v>31</v>
      </c>
    </row>
    <row r="284" spans="1:2" ht="12" customHeight="1">
      <c r="A284" s="709" t="s">
        <v>2608</v>
      </c>
      <c r="B284" s="706">
        <v>31</v>
      </c>
    </row>
    <row r="285" spans="1:2" ht="12" customHeight="1">
      <c r="A285" s="709" t="s">
        <v>13</v>
      </c>
      <c r="B285" s="706">
        <v>31</v>
      </c>
    </row>
    <row r="286" spans="1:2" ht="12" customHeight="1">
      <c r="A286" s="709" t="s">
        <v>2609</v>
      </c>
      <c r="B286" s="706">
        <v>31</v>
      </c>
    </row>
    <row r="287" spans="1:2" ht="12" customHeight="1">
      <c r="A287" s="709" t="s">
        <v>2610</v>
      </c>
      <c r="B287" s="706">
        <v>31</v>
      </c>
    </row>
    <row r="288" spans="1:2" ht="12" customHeight="1">
      <c r="A288" s="709" t="s">
        <v>2611</v>
      </c>
      <c r="B288" s="706">
        <v>31</v>
      </c>
    </row>
    <row r="289" spans="1:2" ht="12" customHeight="1">
      <c r="A289" s="709" t="s">
        <v>2612</v>
      </c>
      <c r="B289" s="706">
        <v>31</v>
      </c>
    </row>
    <row r="290" spans="1:2" ht="12" customHeight="1">
      <c r="A290" s="709" t="s">
        <v>2613</v>
      </c>
      <c r="B290" s="706">
        <v>31</v>
      </c>
    </row>
    <row r="291" spans="1:2" ht="12" customHeight="1">
      <c r="A291" s="709" t="s">
        <v>2614</v>
      </c>
      <c r="B291" s="706">
        <v>31</v>
      </c>
    </row>
    <row r="292" spans="1:2" ht="12" customHeight="1">
      <c r="A292" s="709" t="s">
        <v>2615</v>
      </c>
      <c r="B292" s="706">
        <v>31</v>
      </c>
    </row>
    <row r="293" spans="1:2" ht="12" customHeight="1">
      <c r="A293" s="709" t="s">
        <v>2616</v>
      </c>
      <c r="B293" s="706">
        <v>31</v>
      </c>
    </row>
    <row r="294" spans="1:2" ht="12" customHeight="1">
      <c r="A294" s="709" t="s">
        <v>2617</v>
      </c>
      <c r="B294" s="706">
        <v>31</v>
      </c>
    </row>
    <row r="295" spans="1:2" ht="12" customHeight="1">
      <c r="A295" s="709" t="s">
        <v>2618</v>
      </c>
      <c r="B295" s="706">
        <v>31</v>
      </c>
    </row>
    <row r="296" spans="1:2" ht="12" customHeight="1">
      <c r="A296" s="709" t="s">
        <v>2619</v>
      </c>
      <c r="B296" s="706">
        <v>31</v>
      </c>
    </row>
    <row r="297" spans="1:2" ht="12" customHeight="1">
      <c r="A297" s="709" t="s">
        <v>2620</v>
      </c>
      <c r="B297" s="706">
        <v>31</v>
      </c>
    </row>
    <row r="298" spans="1:2" ht="12" customHeight="1">
      <c r="A298" s="709" t="s">
        <v>2621</v>
      </c>
      <c r="B298" s="706">
        <v>31</v>
      </c>
    </row>
    <row r="299" spans="1:2" ht="12" customHeight="1">
      <c r="A299" s="709" t="s">
        <v>2622</v>
      </c>
      <c r="B299" s="706">
        <v>31</v>
      </c>
    </row>
    <row r="300" spans="1:2" ht="12" customHeight="1">
      <c r="A300" s="709" t="s">
        <v>2623</v>
      </c>
      <c r="B300" s="706">
        <v>31</v>
      </c>
    </row>
    <row r="301" spans="1:2" ht="12" customHeight="1">
      <c r="A301" s="709" t="s">
        <v>2624</v>
      </c>
      <c r="B301" s="706">
        <v>31</v>
      </c>
    </row>
    <row r="302" spans="1:2" ht="12" customHeight="1">
      <c r="A302" s="709" t="s">
        <v>2625</v>
      </c>
      <c r="B302" s="706">
        <v>31</v>
      </c>
    </row>
    <row r="303" spans="1:2" ht="12" customHeight="1">
      <c r="A303" s="709" t="s">
        <v>2626</v>
      </c>
      <c r="B303" s="706">
        <v>31</v>
      </c>
    </row>
    <row r="304" spans="1:2" ht="12" customHeight="1">
      <c r="A304" s="709" t="s">
        <v>2627</v>
      </c>
      <c r="B304" s="706">
        <v>31</v>
      </c>
    </row>
    <row r="305" spans="1:2" ht="12" customHeight="1">
      <c r="A305" s="709" t="s">
        <v>2628</v>
      </c>
      <c r="B305" s="706">
        <v>31</v>
      </c>
    </row>
    <row r="306" spans="1:2" ht="12" customHeight="1">
      <c r="A306" s="709" t="s">
        <v>2629</v>
      </c>
      <c r="B306" s="706">
        <v>31</v>
      </c>
    </row>
    <row r="307" spans="1:2" ht="12" customHeight="1">
      <c r="A307" s="709" t="s">
        <v>2630</v>
      </c>
      <c r="B307" s="706">
        <v>31</v>
      </c>
    </row>
    <row r="308" spans="1:2" ht="12" customHeight="1">
      <c r="A308" s="709" t="s">
        <v>2631</v>
      </c>
      <c r="B308" s="706">
        <v>31</v>
      </c>
    </row>
    <row r="309" spans="1:2" ht="12" customHeight="1">
      <c r="A309" s="709" t="s">
        <v>2632</v>
      </c>
      <c r="B309" s="706">
        <v>31</v>
      </c>
    </row>
    <row r="310" spans="1:2" ht="12" customHeight="1">
      <c r="A310" s="709" t="s">
        <v>2633</v>
      </c>
      <c r="B310" s="706">
        <v>31</v>
      </c>
    </row>
    <row r="311" spans="1:2" ht="12" customHeight="1">
      <c r="A311" s="709" t="s">
        <v>2634</v>
      </c>
      <c r="B311" s="706">
        <v>31</v>
      </c>
    </row>
    <row r="312" spans="1:2" ht="12" customHeight="1">
      <c r="A312" s="709" t="s">
        <v>2635</v>
      </c>
      <c r="B312" s="706">
        <v>31</v>
      </c>
    </row>
    <row r="313" spans="1:2" ht="12" customHeight="1">
      <c r="A313" s="709" t="s">
        <v>1040</v>
      </c>
      <c r="B313" s="706">
        <v>31</v>
      </c>
    </row>
    <row r="314" spans="1:2" ht="12" customHeight="1">
      <c r="A314" s="709" t="s">
        <v>2636</v>
      </c>
      <c r="B314" s="706">
        <v>31</v>
      </c>
    </row>
    <row r="315" spans="1:2" ht="12" customHeight="1">
      <c r="A315" s="709" t="s">
        <v>2637</v>
      </c>
      <c r="B315" s="706">
        <v>31</v>
      </c>
    </row>
    <row r="316" spans="1:2" ht="12" customHeight="1">
      <c r="A316" s="709" t="s">
        <v>2638</v>
      </c>
      <c r="B316" s="706">
        <v>31</v>
      </c>
    </row>
    <row r="317" spans="1:2" ht="12" customHeight="1">
      <c r="A317" s="709" t="s">
        <v>2639</v>
      </c>
      <c r="B317" s="706">
        <v>31</v>
      </c>
    </row>
    <row r="318" spans="1:2" ht="12" customHeight="1">
      <c r="A318" s="709" t="s">
        <v>2640</v>
      </c>
      <c r="B318" s="706">
        <v>31</v>
      </c>
    </row>
    <row r="319" spans="1:2" ht="12" customHeight="1">
      <c r="A319" s="709" t="s">
        <v>2641</v>
      </c>
      <c r="B319" s="706">
        <v>31</v>
      </c>
    </row>
    <row r="320" spans="1:2" ht="12" customHeight="1">
      <c r="A320" s="709" t="s">
        <v>3135</v>
      </c>
      <c r="B320" s="706">
        <v>31</v>
      </c>
    </row>
    <row r="321" spans="1:2" ht="12" customHeight="1">
      <c r="A321" s="709" t="s">
        <v>2642</v>
      </c>
      <c r="B321" s="706">
        <v>31</v>
      </c>
    </row>
    <row r="322" spans="1:2" ht="12" customHeight="1">
      <c r="A322" s="709" t="s">
        <v>2643</v>
      </c>
      <c r="B322" s="706">
        <v>31</v>
      </c>
    </row>
    <row r="323" spans="1:2" ht="12" customHeight="1">
      <c r="A323" s="709" t="s">
        <v>2644</v>
      </c>
      <c r="B323" s="706">
        <v>31</v>
      </c>
    </row>
    <row r="324" spans="1:2" ht="12" customHeight="1">
      <c r="A324" s="709" t="s">
        <v>2645</v>
      </c>
      <c r="B324" s="706">
        <v>31</v>
      </c>
    </row>
    <row r="325" spans="1:2" ht="12" customHeight="1">
      <c r="A325" s="709" t="s">
        <v>2646</v>
      </c>
      <c r="B325" s="706">
        <v>31</v>
      </c>
    </row>
    <row r="326" spans="1:2" ht="12" customHeight="1">
      <c r="A326" s="709" t="s">
        <v>2647</v>
      </c>
      <c r="B326" s="706">
        <v>31</v>
      </c>
    </row>
    <row r="327" spans="1:2" ht="12" customHeight="1">
      <c r="A327" s="709" t="s">
        <v>2648</v>
      </c>
      <c r="B327" s="706">
        <v>31</v>
      </c>
    </row>
    <row r="328" spans="1:2" ht="12" customHeight="1">
      <c r="A328" s="709" t="s">
        <v>2649</v>
      </c>
      <c r="B328" s="706">
        <v>31</v>
      </c>
    </row>
    <row r="329" spans="1:2" ht="12" customHeight="1">
      <c r="A329" s="709" t="s">
        <v>2650</v>
      </c>
      <c r="B329" s="706">
        <v>31</v>
      </c>
    </row>
    <row r="330" spans="1:2" ht="12" customHeight="1">
      <c r="A330" s="709" t="s">
        <v>2651</v>
      </c>
      <c r="B330" s="706">
        <v>31</v>
      </c>
    </row>
    <row r="331" spans="1:2" ht="12" customHeight="1">
      <c r="A331" s="709" t="s">
        <v>2652</v>
      </c>
      <c r="B331" s="706">
        <v>31</v>
      </c>
    </row>
    <row r="332" spans="1:2" ht="12" customHeight="1">
      <c r="A332" s="709" t="s">
        <v>3136</v>
      </c>
      <c r="B332" s="706">
        <v>31</v>
      </c>
    </row>
    <row r="333" spans="1:2" ht="12" customHeight="1">
      <c r="A333" s="709" t="s">
        <v>2653</v>
      </c>
      <c r="B333" s="706">
        <v>31</v>
      </c>
    </row>
    <row r="334" spans="1:2" ht="12" customHeight="1">
      <c r="A334" s="709" t="s">
        <v>2654</v>
      </c>
      <c r="B334" s="706">
        <v>31</v>
      </c>
    </row>
    <row r="335" spans="1:2" ht="12" customHeight="1">
      <c r="A335" s="709" t="s">
        <v>2355</v>
      </c>
      <c r="B335" s="706">
        <v>31</v>
      </c>
    </row>
    <row r="336" spans="1:2" ht="12" customHeight="1">
      <c r="A336" s="709" t="s">
        <v>2655</v>
      </c>
      <c r="B336" s="706">
        <v>31</v>
      </c>
    </row>
    <row r="337" spans="1:2" ht="12" customHeight="1">
      <c r="A337" s="709" t="s">
        <v>2656</v>
      </c>
      <c r="B337" s="706">
        <v>31</v>
      </c>
    </row>
    <row r="338" spans="1:2" ht="12" customHeight="1">
      <c r="A338" s="709" t="s">
        <v>2657</v>
      </c>
      <c r="B338" s="706">
        <v>31</v>
      </c>
    </row>
    <row r="339" spans="1:2" ht="12" customHeight="1">
      <c r="A339" s="709" t="s">
        <v>18</v>
      </c>
      <c r="B339" s="706">
        <v>31</v>
      </c>
    </row>
    <row r="340" spans="1:2" ht="12" customHeight="1">
      <c r="A340" s="709" t="s">
        <v>2658</v>
      </c>
      <c r="B340" s="706">
        <v>31</v>
      </c>
    </row>
    <row r="341" spans="1:2" ht="12" customHeight="1">
      <c r="A341" s="709" t="s">
        <v>2659</v>
      </c>
      <c r="B341" s="706">
        <v>31</v>
      </c>
    </row>
    <row r="342" spans="1:2" ht="12" customHeight="1">
      <c r="A342" s="709" t="s">
        <v>2660</v>
      </c>
      <c r="B342" s="706">
        <v>31</v>
      </c>
    </row>
    <row r="343" spans="1:2" ht="12" customHeight="1">
      <c r="A343" s="709" t="s">
        <v>2661</v>
      </c>
      <c r="B343" s="706">
        <v>31</v>
      </c>
    </row>
    <row r="344" spans="1:2" ht="12" customHeight="1">
      <c r="A344" s="709" t="s">
        <v>2662</v>
      </c>
      <c r="B344" s="706">
        <v>31</v>
      </c>
    </row>
    <row r="345" spans="1:2" ht="12" customHeight="1">
      <c r="A345" s="709" t="s">
        <v>2663</v>
      </c>
      <c r="B345" s="706">
        <v>31</v>
      </c>
    </row>
    <row r="346" spans="1:2" ht="12" customHeight="1">
      <c r="A346" s="709" t="s">
        <v>2664</v>
      </c>
      <c r="B346" s="706">
        <v>31</v>
      </c>
    </row>
    <row r="347" spans="1:2" ht="12" customHeight="1">
      <c r="A347" s="709" t="s">
        <v>2665</v>
      </c>
      <c r="B347" s="706">
        <v>31</v>
      </c>
    </row>
    <row r="348" spans="1:2" ht="12" customHeight="1">
      <c r="A348" s="709" t="s">
        <v>2666</v>
      </c>
      <c r="B348" s="706">
        <v>31</v>
      </c>
    </row>
    <row r="349" spans="1:2" ht="12" customHeight="1">
      <c r="A349" s="709" t="s">
        <v>2667</v>
      </c>
      <c r="B349" s="706">
        <v>31</v>
      </c>
    </row>
    <row r="350" spans="1:2" ht="12" customHeight="1">
      <c r="A350" s="709" t="s">
        <v>2668</v>
      </c>
      <c r="B350" s="706">
        <v>31</v>
      </c>
    </row>
    <row r="351" spans="1:2" ht="12" customHeight="1">
      <c r="A351" s="709" t="s">
        <v>2669</v>
      </c>
      <c r="B351" s="706">
        <v>31</v>
      </c>
    </row>
    <row r="352" spans="1:2" ht="12" customHeight="1">
      <c r="A352" s="709" t="s">
        <v>2670</v>
      </c>
      <c r="B352" s="706">
        <v>31</v>
      </c>
    </row>
    <row r="353" spans="1:2" ht="12" customHeight="1">
      <c r="A353" s="709" t="s">
        <v>2671</v>
      </c>
      <c r="B353" s="706">
        <v>31</v>
      </c>
    </row>
    <row r="354" spans="1:2" ht="12" customHeight="1">
      <c r="A354" s="709" t="s">
        <v>2672</v>
      </c>
      <c r="B354" s="706">
        <v>31</v>
      </c>
    </row>
    <row r="355" spans="1:2" ht="12" customHeight="1">
      <c r="A355" s="709" t="s">
        <v>2673</v>
      </c>
      <c r="B355" s="706">
        <v>31</v>
      </c>
    </row>
    <row r="356" spans="1:2" ht="12" customHeight="1">
      <c r="A356" s="709" t="s">
        <v>2674</v>
      </c>
      <c r="B356" s="706">
        <v>31</v>
      </c>
    </row>
    <row r="357" spans="1:2" ht="12" customHeight="1">
      <c r="A357" s="709" t="s">
        <v>2675</v>
      </c>
      <c r="B357" s="706">
        <v>31</v>
      </c>
    </row>
    <row r="358" spans="1:2" ht="12" customHeight="1">
      <c r="A358" s="709" t="s">
        <v>2676</v>
      </c>
      <c r="B358" s="706">
        <v>31</v>
      </c>
    </row>
    <row r="359" spans="1:2" ht="12" customHeight="1">
      <c r="A359" s="709" t="s">
        <v>2677</v>
      </c>
      <c r="B359" s="706">
        <v>31</v>
      </c>
    </row>
    <row r="360" spans="1:2" ht="12" customHeight="1">
      <c r="A360" s="709" t="s">
        <v>2678</v>
      </c>
      <c r="B360" s="706">
        <v>31</v>
      </c>
    </row>
    <row r="361" spans="1:2" ht="12" customHeight="1">
      <c r="A361" s="709" t="s">
        <v>2679</v>
      </c>
      <c r="B361" s="706">
        <v>31</v>
      </c>
    </row>
    <row r="362" spans="1:2" ht="12" customHeight="1">
      <c r="A362" s="709" t="s">
        <v>2680</v>
      </c>
      <c r="B362" s="706">
        <v>31</v>
      </c>
    </row>
    <row r="363" spans="1:2" ht="12" customHeight="1">
      <c r="A363" s="709" t="s">
        <v>2681</v>
      </c>
      <c r="B363" s="706">
        <v>31</v>
      </c>
    </row>
    <row r="364" spans="1:2" ht="12" customHeight="1">
      <c r="A364" s="709" t="s">
        <v>2682</v>
      </c>
      <c r="B364" s="706">
        <v>31</v>
      </c>
    </row>
    <row r="365" spans="1:2" ht="12" customHeight="1">
      <c r="A365" s="709" t="s">
        <v>2683</v>
      </c>
      <c r="B365" s="706">
        <v>31</v>
      </c>
    </row>
    <row r="366" spans="1:2" ht="12" customHeight="1">
      <c r="A366" s="709" t="s">
        <v>2684</v>
      </c>
      <c r="B366" s="706">
        <v>31</v>
      </c>
    </row>
    <row r="367" spans="1:2" ht="12" customHeight="1">
      <c r="A367" s="709" t="s">
        <v>2685</v>
      </c>
      <c r="B367" s="706">
        <v>31</v>
      </c>
    </row>
    <row r="368" spans="1:2" ht="12" customHeight="1">
      <c r="A368" s="709" t="s">
        <v>2686</v>
      </c>
      <c r="B368" s="706">
        <v>31</v>
      </c>
    </row>
    <row r="369" spans="1:2" ht="12" customHeight="1">
      <c r="A369" s="709" t="s">
        <v>2687</v>
      </c>
      <c r="B369" s="706">
        <v>31</v>
      </c>
    </row>
    <row r="370" spans="1:2" ht="12" customHeight="1">
      <c r="A370" s="709" t="s">
        <v>2688</v>
      </c>
      <c r="B370" s="706">
        <v>31</v>
      </c>
    </row>
    <row r="371" spans="1:2" ht="12" customHeight="1">
      <c r="A371" s="709" t="s">
        <v>2689</v>
      </c>
      <c r="B371" s="706">
        <v>31</v>
      </c>
    </row>
    <row r="372" spans="1:2" ht="12" customHeight="1">
      <c r="A372" s="708" t="s">
        <v>3137</v>
      </c>
      <c r="B372" s="706">
        <v>31</v>
      </c>
    </row>
    <row r="373" spans="1:2" ht="12" customHeight="1">
      <c r="A373" s="708" t="s">
        <v>2690</v>
      </c>
      <c r="B373" s="706">
        <v>31</v>
      </c>
    </row>
    <row r="374" spans="1:2" ht="12" customHeight="1">
      <c r="A374" s="708" t="s">
        <v>2691</v>
      </c>
      <c r="B374" s="706">
        <v>31</v>
      </c>
    </row>
    <row r="375" spans="1:2" ht="12" customHeight="1">
      <c r="A375" s="708" t="s">
        <v>2692</v>
      </c>
      <c r="B375" s="706">
        <v>31</v>
      </c>
    </row>
    <row r="376" spans="1:2" ht="12" customHeight="1">
      <c r="A376" s="708" t="s">
        <v>2693</v>
      </c>
      <c r="B376" s="706">
        <v>31</v>
      </c>
    </row>
    <row r="377" spans="1:2" ht="12" customHeight="1">
      <c r="A377" s="708" t="s">
        <v>2694</v>
      </c>
      <c r="B377" s="706">
        <v>31</v>
      </c>
    </row>
    <row r="378" spans="1:2" ht="12" customHeight="1">
      <c r="A378" s="708" t="s">
        <v>2695</v>
      </c>
      <c r="B378" s="706">
        <v>31</v>
      </c>
    </row>
    <row r="379" spans="1:2" ht="12" customHeight="1">
      <c r="A379" s="708" t="s">
        <v>2696</v>
      </c>
      <c r="B379" s="706">
        <v>31</v>
      </c>
    </row>
    <row r="380" spans="1:2" ht="12" customHeight="1">
      <c r="A380" s="708" t="s">
        <v>2697</v>
      </c>
      <c r="B380" s="706">
        <v>31</v>
      </c>
    </row>
    <row r="381" spans="1:2" ht="12" customHeight="1">
      <c r="A381" s="708" t="s">
        <v>2698</v>
      </c>
      <c r="B381" s="706">
        <v>31</v>
      </c>
    </row>
    <row r="382" spans="1:2" ht="12" customHeight="1">
      <c r="A382" s="708" t="s">
        <v>2699</v>
      </c>
      <c r="B382" s="706">
        <v>31</v>
      </c>
    </row>
    <row r="383" spans="1:2" ht="12" customHeight="1">
      <c r="A383" s="708" t="s">
        <v>2700</v>
      </c>
      <c r="B383" s="706">
        <v>31</v>
      </c>
    </row>
    <row r="384" spans="1:2" ht="12" customHeight="1">
      <c r="A384" s="708" t="s">
        <v>2701</v>
      </c>
      <c r="B384" s="706">
        <v>31</v>
      </c>
    </row>
    <row r="385" spans="1:2" ht="12" customHeight="1">
      <c r="A385" s="708" t="s">
        <v>2702</v>
      </c>
      <c r="B385" s="706">
        <v>31</v>
      </c>
    </row>
    <row r="386" spans="1:2" ht="12" customHeight="1">
      <c r="A386" s="708" t="s">
        <v>2703</v>
      </c>
      <c r="B386" s="706">
        <v>31</v>
      </c>
    </row>
    <row r="387" spans="1:2" ht="12" customHeight="1">
      <c r="A387" s="708" t="s">
        <v>2704</v>
      </c>
      <c r="B387" s="706">
        <v>31</v>
      </c>
    </row>
    <row r="388" spans="1:2" ht="12" customHeight="1">
      <c r="A388" s="708" t="s">
        <v>2705</v>
      </c>
      <c r="B388" s="706">
        <v>31</v>
      </c>
    </row>
    <row r="389" spans="1:2" ht="12" customHeight="1">
      <c r="A389" s="708" t="s">
        <v>2706</v>
      </c>
      <c r="B389" s="706">
        <v>31</v>
      </c>
    </row>
    <row r="390" spans="1:2" ht="12" customHeight="1">
      <c r="A390" s="708" t="s">
        <v>2707</v>
      </c>
      <c r="B390" s="706">
        <v>31</v>
      </c>
    </row>
    <row r="391" spans="1:2" ht="12" customHeight="1">
      <c r="A391" s="708" t="s">
        <v>2708</v>
      </c>
      <c r="B391" s="706">
        <v>31</v>
      </c>
    </row>
    <row r="392" spans="1:2" ht="12" customHeight="1">
      <c r="A392" s="708" t="s">
        <v>2709</v>
      </c>
      <c r="B392" s="706">
        <v>31</v>
      </c>
    </row>
    <row r="393" spans="1:2" ht="12" customHeight="1">
      <c r="A393" s="708" t="s">
        <v>2710</v>
      </c>
      <c r="B393" s="706">
        <v>31</v>
      </c>
    </row>
    <row r="394" spans="1:2" ht="12" customHeight="1">
      <c r="A394" s="708" t="s">
        <v>2711</v>
      </c>
      <c r="B394" s="706">
        <v>31</v>
      </c>
    </row>
    <row r="395" spans="1:2" ht="12" customHeight="1">
      <c r="A395" s="708" t="s">
        <v>2712</v>
      </c>
      <c r="B395" s="706">
        <v>31</v>
      </c>
    </row>
    <row r="396" spans="1:2" ht="12" customHeight="1">
      <c r="A396" s="708" t="s">
        <v>2713</v>
      </c>
      <c r="B396" s="706">
        <v>31</v>
      </c>
    </row>
    <row r="397" spans="1:2" ht="12" customHeight="1">
      <c r="A397" s="708" t="s">
        <v>2714</v>
      </c>
      <c r="B397" s="706">
        <v>31</v>
      </c>
    </row>
    <row r="398" spans="1:2" ht="12" customHeight="1">
      <c r="A398" s="708" t="s">
        <v>2715</v>
      </c>
      <c r="B398" s="706">
        <v>31</v>
      </c>
    </row>
    <row r="399" spans="1:2" ht="12" customHeight="1">
      <c r="A399" s="708" t="s">
        <v>2716</v>
      </c>
      <c r="B399" s="706">
        <v>31</v>
      </c>
    </row>
    <row r="400" spans="1:2" ht="12" customHeight="1">
      <c r="A400" s="708" t="s">
        <v>2717</v>
      </c>
      <c r="B400" s="706">
        <v>31</v>
      </c>
    </row>
    <row r="401" spans="1:2" ht="12" customHeight="1">
      <c r="A401" s="708" t="s">
        <v>2718</v>
      </c>
      <c r="B401" s="706">
        <v>31</v>
      </c>
    </row>
    <row r="402" spans="1:2" ht="12" customHeight="1">
      <c r="A402" s="708" t="s">
        <v>2719</v>
      </c>
      <c r="B402" s="706">
        <v>31</v>
      </c>
    </row>
    <row r="403" spans="1:2" ht="12" customHeight="1">
      <c r="A403" s="708" t="s">
        <v>2720</v>
      </c>
      <c r="B403" s="706">
        <v>31</v>
      </c>
    </row>
    <row r="404" spans="1:2" ht="12" customHeight="1">
      <c r="A404" s="708" t="s">
        <v>2721</v>
      </c>
      <c r="B404" s="706">
        <v>31</v>
      </c>
    </row>
    <row r="405" spans="1:2" ht="12" customHeight="1">
      <c r="A405" s="708" t="s">
        <v>2722</v>
      </c>
      <c r="B405" s="706">
        <v>31</v>
      </c>
    </row>
    <row r="406" spans="1:2" ht="12" customHeight="1">
      <c r="A406" s="708" t="s">
        <v>2723</v>
      </c>
      <c r="B406" s="706">
        <v>31</v>
      </c>
    </row>
    <row r="407" spans="1:2" ht="12" customHeight="1">
      <c r="A407" s="708" t="s">
        <v>2724</v>
      </c>
      <c r="B407" s="706">
        <v>31</v>
      </c>
    </row>
    <row r="408" spans="1:2" ht="12" customHeight="1">
      <c r="A408" s="708" t="s">
        <v>2725</v>
      </c>
      <c r="B408" s="706">
        <v>31</v>
      </c>
    </row>
    <row r="409" spans="1:2" ht="12" customHeight="1">
      <c r="A409" s="708" t="s">
        <v>2726</v>
      </c>
      <c r="B409" s="706">
        <v>31</v>
      </c>
    </row>
    <row r="410" spans="1:2" ht="12" customHeight="1">
      <c r="A410" s="708" t="s">
        <v>989</v>
      </c>
      <c r="B410" s="706">
        <v>31</v>
      </c>
    </row>
    <row r="411" spans="1:2" ht="12" customHeight="1">
      <c r="A411" s="708" t="s">
        <v>2727</v>
      </c>
      <c r="B411" s="706">
        <v>31</v>
      </c>
    </row>
    <row r="412" spans="1:2" ht="12" customHeight="1">
      <c r="A412" s="708" t="s">
        <v>2728</v>
      </c>
      <c r="B412" s="706">
        <v>31</v>
      </c>
    </row>
    <row r="413" spans="1:2" ht="12" customHeight="1">
      <c r="A413" s="708" t="s">
        <v>2729</v>
      </c>
      <c r="B413" s="706">
        <v>31</v>
      </c>
    </row>
    <row r="414" spans="1:2" ht="12" customHeight="1">
      <c r="A414" s="708" t="s">
        <v>2730</v>
      </c>
      <c r="B414" s="706">
        <v>31</v>
      </c>
    </row>
    <row r="415" spans="1:2" ht="12" customHeight="1">
      <c r="A415" s="708" t="s">
        <v>2731</v>
      </c>
      <c r="B415" s="706">
        <v>31</v>
      </c>
    </row>
    <row r="416" spans="1:2" ht="12" customHeight="1">
      <c r="A416" s="708" t="s">
        <v>2732</v>
      </c>
      <c r="B416" s="706">
        <v>31</v>
      </c>
    </row>
    <row r="417" spans="1:2" ht="12" customHeight="1">
      <c r="A417" s="708" t="s">
        <v>2733</v>
      </c>
      <c r="B417" s="706">
        <v>31</v>
      </c>
    </row>
    <row r="418" spans="1:2" ht="12" customHeight="1">
      <c r="A418" s="708" t="s">
        <v>2734</v>
      </c>
      <c r="B418" s="706">
        <v>31</v>
      </c>
    </row>
    <row r="419" spans="1:2" ht="12" customHeight="1">
      <c r="A419" s="708" t="s">
        <v>2735</v>
      </c>
      <c r="B419" s="706">
        <v>31</v>
      </c>
    </row>
    <row r="420" spans="1:2" ht="12" customHeight="1">
      <c r="A420" s="708" t="s">
        <v>2736</v>
      </c>
      <c r="B420" s="706">
        <v>31</v>
      </c>
    </row>
    <row r="421" spans="1:2" ht="12" customHeight="1">
      <c r="A421" s="708" t="s">
        <v>2737</v>
      </c>
      <c r="B421" s="706">
        <v>31</v>
      </c>
    </row>
    <row r="422" spans="1:2" ht="12" customHeight="1">
      <c r="A422" s="708" t="s">
        <v>2738</v>
      </c>
      <c r="B422" s="706">
        <v>31</v>
      </c>
    </row>
    <row r="423" spans="1:2" ht="12" customHeight="1">
      <c r="A423" s="708" t="s">
        <v>2739</v>
      </c>
      <c r="B423" s="706">
        <v>31</v>
      </c>
    </row>
    <row r="424" spans="1:2" ht="12" customHeight="1">
      <c r="A424" s="708" t="s">
        <v>2740</v>
      </c>
      <c r="B424" s="706">
        <v>31</v>
      </c>
    </row>
    <row r="425" spans="1:2" ht="12" customHeight="1">
      <c r="A425" s="708" t="s">
        <v>2741</v>
      </c>
      <c r="B425" s="706">
        <v>31</v>
      </c>
    </row>
    <row r="426" spans="1:2" ht="12" customHeight="1">
      <c r="A426" s="708" t="s">
        <v>2742</v>
      </c>
      <c r="B426" s="706">
        <v>31</v>
      </c>
    </row>
    <row r="427" spans="1:2" ht="12" customHeight="1">
      <c r="A427" s="708" t="s">
        <v>2743</v>
      </c>
      <c r="B427" s="706">
        <v>31</v>
      </c>
    </row>
    <row r="428" spans="1:2" ht="12" customHeight="1">
      <c r="A428" s="708" t="s">
        <v>2744</v>
      </c>
      <c r="B428" s="706">
        <v>31</v>
      </c>
    </row>
    <row r="429" spans="1:2" ht="12" customHeight="1">
      <c r="A429" s="708" t="s">
        <v>2745</v>
      </c>
      <c r="B429" s="706">
        <v>31</v>
      </c>
    </row>
    <row r="430" spans="1:2" ht="12" customHeight="1">
      <c r="A430" s="708" t="s">
        <v>2746</v>
      </c>
      <c r="B430" s="706">
        <v>31</v>
      </c>
    </row>
    <row r="431" spans="1:2" ht="12" customHeight="1">
      <c r="A431" s="708" t="s">
        <v>2747</v>
      </c>
      <c r="B431" s="706">
        <v>31</v>
      </c>
    </row>
    <row r="432" spans="1:2" ht="12" customHeight="1">
      <c r="A432" s="708" t="s">
        <v>2748</v>
      </c>
      <c r="B432" s="706">
        <v>31</v>
      </c>
    </row>
    <row r="433" spans="1:2" ht="12" customHeight="1">
      <c r="A433" s="708" t="s">
        <v>2749</v>
      </c>
      <c r="B433" s="706">
        <v>31</v>
      </c>
    </row>
    <row r="434" spans="1:2" ht="12" customHeight="1">
      <c r="A434" s="708" t="s">
        <v>2750</v>
      </c>
      <c r="B434" s="706">
        <v>31</v>
      </c>
    </row>
    <row r="435" spans="1:2" ht="12" customHeight="1">
      <c r="A435" s="708" t="s">
        <v>2751</v>
      </c>
      <c r="B435" s="706">
        <v>31</v>
      </c>
    </row>
    <row r="436" spans="1:2" ht="12" customHeight="1">
      <c r="A436" s="708" t="s">
        <v>2752</v>
      </c>
      <c r="B436" s="706">
        <v>31</v>
      </c>
    </row>
    <row r="437" spans="1:2" ht="12" customHeight="1">
      <c r="A437" s="708" t="s">
        <v>2753</v>
      </c>
      <c r="B437" s="706">
        <v>31</v>
      </c>
    </row>
    <row r="438" spans="1:2" ht="12" customHeight="1">
      <c r="A438" s="708" t="s">
        <v>2754</v>
      </c>
      <c r="B438" s="706">
        <v>31</v>
      </c>
    </row>
    <row r="439" spans="1:2" ht="12" customHeight="1">
      <c r="A439" s="708" t="s">
        <v>2755</v>
      </c>
      <c r="B439" s="706">
        <v>31</v>
      </c>
    </row>
    <row r="440" spans="1:2" ht="12" customHeight="1">
      <c r="A440" s="708" t="s">
        <v>2756</v>
      </c>
      <c r="B440" s="706">
        <v>31</v>
      </c>
    </row>
    <row r="441" spans="1:2" ht="12" customHeight="1">
      <c r="A441" s="708" t="s">
        <v>2757</v>
      </c>
      <c r="B441" s="706">
        <v>31</v>
      </c>
    </row>
    <row r="442" spans="1:2" ht="12" customHeight="1">
      <c r="A442" s="708" t="s">
        <v>2758</v>
      </c>
      <c r="B442" s="706">
        <v>31</v>
      </c>
    </row>
    <row r="443" spans="1:2" ht="12" customHeight="1">
      <c r="A443" s="708" t="s">
        <v>2759</v>
      </c>
      <c r="B443" s="706">
        <v>31</v>
      </c>
    </row>
    <row r="444" spans="1:2" ht="12" customHeight="1">
      <c r="A444" s="708" t="s">
        <v>2760</v>
      </c>
      <c r="B444" s="706">
        <v>31</v>
      </c>
    </row>
    <row r="445" spans="1:2" ht="12" customHeight="1">
      <c r="A445" s="708" t="s">
        <v>2761</v>
      </c>
      <c r="B445" s="706">
        <v>31</v>
      </c>
    </row>
    <row r="446" spans="1:2" ht="12" customHeight="1">
      <c r="A446" s="708" t="s">
        <v>2762</v>
      </c>
      <c r="B446" s="706">
        <v>31</v>
      </c>
    </row>
    <row r="447" spans="1:2" ht="12" customHeight="1">
      <c r="A447" s="708" t="s">
        <v>2763</v>
      </c>
      <c r="B447" s="706">
        <v>31</v>
      </c>
    </row>
    <row r="448" spans="1:2" ht="12" customHeight="1">
      <c r="A448" s="708" t="s">
        <v>2764</v>
      </c>
      <c r="B448" s="706">
        <v>31</v>
      </c>
    </row>
    <row r="449" spans="1:2" ht="12" customHeight="1">
      <c r="A449" s="708" t="s">
        <v>2765</v>
      </c>
      <c r="B449" s="706">
        <v>31</v>
      </c>
    </row>
    <row r="450" spans="1:2" ht="12" customHeight="1">
      <c r="A450" s="708" t="s">
        <v>2766</v>
      </c>
      <c r="B450" s="706">
        <v>31</v>
      </c>
    </row>
    <row r="451" spans="1:2" ht="12" customHeight="1">
      <c r="A451" s="708" t="s">
        <v>2767</v>
      </c>
      <c r="B451" s="706">
        <v>31</v>
      </c>
    </row>
    <row r="452" spans="1:2" ht="12" customHeight="1">
      <c r="A452" s="708" t="s">
        <v>1107</v>
      </c>
      <c r="B452" s="706">
        <v>31</v>
      </c>
    </row>
    <row r="453" spans="1:2" ht="12" customHeight="1">
      <c r="A453" s="708" t="s">
        <v>17</v>
      </c>
      <c r="B453" s="706">
        <v>31</v>
      </c>
    </row>
    <row r="454" spans="1:2" ht="12" customHeight="1">
      <c r="A454" s="708" t="s">
        <v>2768</v>
      </c>
      <c r="B454" s="706">
        <v>31</v>
      </c>
    </row>
    <row r="455" spans="1:2" ht="12" customHeight="1">
      <c r="A455" s="708" t="s">
        <v>2769</v>
      </c>
      <c r="B455" s="706">
        <v>31</v>
      </c>
    </row>
    <row r="456" spans="1:2" ht="12" customHeight="1">
      <c r="A456" s="708" t="s">
        <v>2770</v>
      </c>
      <c r="B456" s="706">
        <v>31</v>
      </c>
    </row>
    <row r="457" spans="1:2" ht="12" customHeight="1">
      <c r="A457" s="708" t="s">
        <v>2771</v>
      </c>
      <c r="B457" s="706">
        <v>31</v>
      </c>
    </row>
    <row r="458" spans="1:2" ht="12" customHeight="1">
      <c r="A458" s="708" t="s">
        <v>2772</v>
      </c>
      <c r="B458" s="706">
        <v>31</v>
      </c>
    </row>
    <row r="459" spans="1:2" ht="12" customHeight="1">
      <c r="A459" s="708" t="s">
        <v>2773</v>
      </c>
      <c r="B459" s="706">
        <v>31</v>
      </c>
    </row>
    <row r="460" spans="1:2" ht="12" customHeight="1">
      <c r="A460" s="708" t="s">
        <v>2774</v>
      </c>
      <c r="B460" s="706">
        <v>31</v>
      </c>
    </row>
    <row r="461" spans="1:2" ht="12" customHeight="1">
      <c r="A461" s="708" t="s">
        <v>2775</v>
      </c>
      <c r="B461" s="706">
        <v>31</v>
      </c>
    </row>
    <row r="462" spans="1:2" ht="12" customHeight="1">
      <c r="A462" s="708" t="s">
        <v>2776</v>
      </c>
      <c r="B462" s="706">
        <v>31</v>
      </c>
    </row>
    <row r="463" spans="1:2" ht="12" customHeight="1">
      <c r="A463" s="708" t="s">
        <v>1023</v>
      </c>
      <c r="B463" s="706">
        <v>31</v>
      </c>
    </row>
    <row r="464" spans="1:2" ht="12" customHeight="1">
      <c r="A464" s="708" t="s">
        <v>2777</v>
      </c>
      <c r="B464" s="706">
        <v>31</v>
      </c>
    </row>
    <row r="465" spans="1:2" ht="12" customHeight="1">
      <c r="A465" s="708" t="s">
        <v>2778</v>
      </c>
      <c r="B465" s="706">
        <v>31</v>
      </c>
    </row>
    <row r="466" spans="1:2" ht="12" customHeight="1">
      <c r="A466" s="708" t="s">
        <v>2779</v>
      </c>
      <c r="B466" s="706">
        <v>31</v>
      </c>
    </row>
    <row r="467" spans="1:2" ht="12" customHeight="1">
      <c r="A467" s="708" t="s">
        <v>2780</v>
      </c>
      <c r="B467" s="706">
        <v>31</v>
      </c>
    </row>
    <row r="468" spans="1:2" ht="12" customHeight="1">
      <c r="A468" s="708" t="s">
        <v>2781</v>
      </c>
      <c r="B468" s="706">
        <v>31</v>
      </c>
    </row>
    <row r="469" spans="1:2" ht="12" customHeight="1">
      <c r="A469" s="708" t="s">
        <v>2782</v>
      </c>
      <c r="B469" s="706">
        <v>31</v>
      </c>
    </row>
    <row r="470" spans="1:2" ht="12" customHeight="1">
      <c r="A470" s="708" t="s">
        <v>2783</v>
      </c>
      <c r="B470" s="706">
        <v>31</v>
      </c>
    </row>
    <row r="471" spans="1:2" ht="12" customHeight="1">
      <c r="A471" s="708" t="s">
        <v>2784</v>
      </c>
      <c r="B471" s="706">
        <v>31</v>
      </c>
    </row>
    <row r="472" spans="1:2" ht="12" customHeight="1">
      <c r="A472" s="708" t="s">
        <v>2785</v>
      </c>
      <c r="B472" s="706">
        <v>31</v>
      </c>
    </row>
    <row r="473" spans="1:2" ht="12" customHeight="1">
      <c r="A473" s="708" t="s">
        <v>2786</v>
      </c>
      <c r="B473" s="706">
        <v>31</v>
      </c>
    </row>
    <row r="474" spans="1:2" ht="12" customHeight="1">
      <c r="A474" s="708" t="s">
        <v>2787</v>
      </c>
      <c r="B474" s="706">
        <v>31</v>
      </c>
    </row>
    <row r="475" spans="1:2" ht="12" customHeight="1">
      <c r="A475" s="708" t="s">
        <v>97</v>
      </c>
      <c r="B475" s="706">
        <v>31</v>
      </c>
    </row>
    <row r="476" spans="1:2" ht="12" customHeight="1">
      <c r="A476" s="708" t="s">
        <v>2788</v>
      </c>
      <c r="B476" s="706">
        <v>31</v>
      </c>
    </row>
    <row r="477" spans="1:2" ht="12" customHeight="1">
      <c r="A477" s="708" t="s">
        <v>2789</v>
      </c>
      <c r="B477" s="706">
        <v>31</v>
      </c>
    </row>
    <row r="478" spans="1:2" ht="12" customHeight="1">
      <c r="A478" s="708" t="s">
        <v>2790</v>
      </c>
      <c r="B478" s="706">
        <v>31</v>
      </c>
    </row>
    <row r="479" spans="1:2" ht="12" customHeight="1">
      <c r="A479" s="708" t="s">
        <v>2791</v>
      </c>
      <c r="B479" s="706">
        <v>31</v>
      </c>
    </row>
    <row r="480" spans="1:2" ht="12" customHeight="1">
      <c r="A480" s="708" t="s">
        <v>2792</v>
      </c>
      <c r="B480" s="706">
        <v>31</v>
      </c>
    </row>
    <row r="481" spans="1:2" ht="12" customHeight="1">
      <c r="A481" s="708" t="s">
        <v>2793</v>
      </c>
      <c r="B481" s="706">
        <v>31</v>
      </c>
    </row>
    <row r="482" spans="1:2" ht="12" customHeight="1">
      <c r="A482" s="708" t="s">
        <v>2794</v>
      </c>
      <c r="B482" s="706">
        <v>31</v>
      </c>
    </row>
    <row r="483" spans="1:2" ht="12" customHeight="1">
      <c r="A483" s="708" t="s">
        <v>2795</v>
      </c>
      <c r="B483" s="706">
        <v>31</v>
      </c>
    </row>
    <row r="484" spans="1:2" ht="12" customHeight="1">
      <c r="A484" s="708" t="s">
        <v>2796</v>
      </c>
      <c r="B484" s="706">
        <v>31</v>
      </c>
    </row>
    <row r="485" spans="1:2" ht="12" customHeight="1">
      <c r="A485" s="708" t="s">
        <v>2797</v>
      </c>
      <c r="B485" s="706">
        <v>31</v>
      </c>
    </row>
    <row r="486" spans="1:2" ht="12" customHeight="1">
      <c r="A486" s="708" t="s">
        <v>2798</v>
      </c>
      <c r="B486" s="706">
        <v>31</v>
      </c>
    </row>
    <row r="487" spans="1:2" ht="12" customHeight="1">
      <c r="A487" s="708" t="s">
        <v>2799</v>
      </c>
      <c r="B487" s="706">
        <v>31</v>
      </c>
    </row>
    <row r="488" spans="1:2" ht="12" customHeight="1">
      <c r="A488" s="708" t="s">
        <v>2800</v>
      </c>
      <c r="B488" s="706">
        <v>31</v>
      </c>
    </row>
    <row r="489" spans="1:2" ht="12" customHeight="1">
      <c r="A489" s="708" t="s">
        <v>2801</v>
      </c>
      <c r="B489" s="706">
        <v>31</v>
      </c>
    </row>
    <row r="490" spans="1:2" ht="12" customHeight="1">
      <c r="A490" s="708" t="s">
        <v>2802</v>
      </c>
      <c r="B490" s="706">
        <v>31</v>
      </c>
    </row>
    <row r="491" spans="1:2" ht="12" customHeight="1">
      <c r="A491" s="708" t="s">
        <v>2803</v>
      </c>
      <c r="B491" s="706">
        <v>31</v>
      </c>
    </row>
    <row r="492" spans="1:2" ht="12" customHeight="1">
      <c r="A492" s="708" t="s">
        <v>2804</v>
      </c>
      <c r="B492" s="706">
        <v>31</v>
      </c>
    </row>
    <row r="493" spans="1:2" ht="12" customHeight="1">
      <c r="A493" s="708" t="s">
        <v>2805</v>
      </c>
      <c r="B493" s="706">
        <v>31</v>
      </c>
    </row>
    <row r="494" spans="1:2" ht="12" customHeight="1">
      <c r="A494" s="708" t="s">
        <v>2806</v>
      </c>
      <c r="B494" s="706">
        <v>31</v>
      </c>
    </row>
    <row r="495" spans="1:2" ht="12" customHeight="1">
      <c r="A495" s="708" t="s">
        <v>2807</v>
      </c>
      <c r="B495" s="706">
        <v>31</v>
      </c>
    </row>
    <row r="496" spans="1:2" ht="12" customHeight="1">
      <c r="A496" s="708" t="s">
        <v>2808</v>
      </c>
      <c r="B496" s="706">
        <v>31</v>
      </c>
    </row>
    <row r="497" spans="1:2" ht="12" customHeight="1">
      <c r="A497" s="708" t="s">
        <v>2809</v>
      </c>
      <c r="B497" s="706">
        <v>31</v>
      </c>
    </row>
    <row r="498" spans="1:2" ht="12" customHeight="1">
      <c r="A498" s="708" t="s">
        <v>2810</v>
      </c>
      <c r="B498" s="706">
        <v>31</v>
      </c>
    </row>
    <row r="499" spans="1:2" ht="12" customHeight="1">
      <c r="A499" s="708" t="s">
        <v>2811</v>
      </c>
      <c r="B499" s="706">
        <v>31</v>
      </c>
    </row>
    <row r="500" spans="1:2" ht="12" customHeight="1">
      <c r="A500" s="708" t="s">
        <v>2353</v>
      </c>
      <c r="B500" s="706">
        <v>31</v>
      </c>
    </row>
    <row r="501" spans="1:2" ht="12" customHeight="1">
      <c r="A501" s="708" t="s">
        <v>2812</v>
      </c>
      <c r="B501" s="706">
        <v>31</v>
      </c>
    </row>
    <row r="502" spans="1:2" ht="12" customHeight="1">
      <c r="A502" s="708" t="s">
        <v>2813</v>
      </c>
      <c r="B502" s="706">
        <v>31</v>
      </c>
    </row>
    <row r="503" spans="1:2" ht="12" customHeight="1">
      <c r="A503" s="708" t="s">
        <v>2814</v>
      </c>
      <c r="B503" s="706">
        <v>31</v>
      </c>
    </row>
    <row r="504" spans="1:2" ht="12" customHeight="1">
      <c r="A504" s="708" t="s">
        <v>15</v>
      </c>
      <c r="B504" s="706">
        <v>31</v>
      </c>
    </row>
    <row r="505" spans="1:2" ht="12" customHeight="1">
      <c r="A505" s="708" t="s">
        <v>2815</v>
      </c>
      <c r="B505" s="706">
        <v>31</v>
      </c>
    </row>
    <row r="506" spans="1:2" ht="12" customHeight="1">
      <c r="A506" s="708" t="s">
        <v>2816</v>
      </c>
      <c r="B506" s="706">
        <v>31</v>
      </c>
    </row>
    <row r="507" spans="1:2" ht="12" customHeight="1">
      <c r="A507" s="708" t="s">
        <v>2817</v>
      </c>
      <c r="B507" s="706">
        <v>31</v>
      </c>
    </row>
    <row r="508" spans="1:2" ht="12" customHeight="1">
      <c r="A508" s="708" t="s">
        <v>2818</v>
      </c>
      <c r="B508" s="706">
        <v>31</v>
      </c>
    </row>
    <row r="509" spans="1:2" ht="12" customHeight="1">
      <c r="A509" s="708" t="s">
        <v>2819</v>
      </c>
      <c r="B509" s="706">
        <v>31</v>
      </c>
    </row>
    <row r="510" spans="1:2" ht="12" customHeight="1">
      <c r="A510" s="708" t="s">
        <v>2820</v>
      </c>
      <c r="B510" s="706">
        <v>31</v>
      </c>
    </row>
    <row r="511" spans="1:2" ht="12" customHeight="1">
      <c r="A511" s="708" t="s">
        <v>2821</v>
      </c>
      <c r="B511" s="706">
        <v>31</v>
      </c>
    </row>
    <row r="512" spans="1:2" ht="12" customHeight="1">
      <c r="A512" s="708" t="s">
        <v>2822</v>
      </c>
      <c r="B512" s="706">
        <v>31</v>
      </c>
    </row>
    <row r="513" spans="1:2" ht="12" customHeight="1">
      <c r="A513" s="708" t="s">
        <v>2823</v>
      </c>
      <c r="B513" s="706">
        <v>31</v>
      </c>
    </row>
    <row r="514" spans="1:2" ht="12" customHeight="1">
      <c r="A514" s="708" t="s">
        <v>2824</v>
      </c>
      <c r="B514" s="706">
        <v>31</v>
      </c>
    </row>
    <row r="515" spans="1:2" ht="12" customHeight="1">
      <c r="A515" s="708" t="s">
        <v>2825</v>
      </c>
      <c r="B515" s="706">
        <v>31</v>
      </c>
    </row>
    <row r="516" spans="1:2" ht="12" customHeight="1">
      <c r="A516" s="708" t="s">
        <v>3138</v>
      </c>
      <c r="B516" s="706">
        <v>31</v>
      </c>
    </row>
    <row r="517" spans="1:2" ht="12" customHeight="1">
      <c r="A517" s="708" t="s">
        <v>2826</v>
      </c>
      <c r="B517" s="706">
        <v>31</v>
      </c>
    </row>
    <row r="518" spans="1:2" ht="12" customHeight="1">
      <c r="A518" s="708" t="s">
        <v>2827</v>
      </c>
      <c r="B518" s="706">
        <v>31</v>
      </c>
    </row>
    <row r="519" spans="1:2" ht="12" customHeight="1">
      <c r="A519" s="708" t="s">
        <v>2828</v>
      </c>
      <c r="B519" s="706">
        <v>31</v>
      </c>
    </row>
    <row r="520" spans="1:2" ht="12" customHeight="1">
      <c r="A520" s="708" t="s">
        <v>2829</v>
      </c>
      <c r="B520" s="706">
        <v>31</v>
      </c>
    </row>
    <row r="521" spans="1:2" ht="12" customHeight="1">
      <c r="A521" s="708" t="s">
        <v>2830</v>
      </c>
      <c r="B521" s="706">
        <v>31</v>
      </c>
    </row>
    <row r="522" spans="1:2" ht="12" customHeight="1">
      <c r="A522" s="708" t="s">
        <v>2831</v>
      </c>
      <c r="B522" s="706">
        <v>31</v>
      </c>
    </row>
    <row r="523" spans="1:2" ht="12" customHeight="1">
      <c r="A523" s="708" t="s">
        <v>2351</v>
      </c>
      <c r="B523" s="706">
        <v>31</v>
      </c>
    </row>
    <row r="524" spans="1:2" ht="12" customHeight="1">
      <c r="A524" s="708" t="s">
        <v>2832</v>
      </c>
      <c r="B524" s="706">
        <v>31</v>
      </c>
    </row>
    <row r="525" spans="1:2" ht="12" customHeight="1">
      <c r="A525" s="708" t="s">
        <v>2833</v>
      </c>
      <c r="B525" s="706">
        <v>31</v>
      </c>
    </row>
    <row r="526" spans="1:2" ht="12" customHeight="1">
      <c r="A526" s="708" t="s">
        <v>2834</v>
      </c>
      <c r="B526" s="706">
        <v>31</v>
      </c>
    </row>
    <row r="527" spans="1:2" ht="12" customHeight="1">
      <c r="A527" s="708" t="s">
        <v>2835</v>
      </c>
      <c r="B527" s="706">
        <v>31</v>
      </c>
    </row>
    <row r="528" spans="1:2" ht="12" customHeight="1">
      <c r="A528" s="708" t="s">
        <v>2836</v>
      </c>
      <c r="B528" s="706">
        <v>31</v>
      </c>
    </row>
    <row r="529" spans="1:2" ht="12" customHeight="1">
      <c r="A529" s="708" t="s">
        <v>2837</v>
      </c>
      <c r="B529" s="706">
        <v>31</v>
      </c>
    </row>
    <row r="530" spans="1:2" ht="12" customHeight="1">
      <c r="A530" s="708" t="s">
        <v>2838</v>
      </c>
      <c r="B530" s="706">
        <v>31</v>
      </c>
    </row>
    <row r="531" spans="1:2" ht="12" customHeight="1">
      <c r="A531" s="708" t="s">
        <v>2839</v>
      </c>
      <c r="B531" s="706">
        <v>31</v>
      </c>
    </row>
    <row r="532" spans="1:2" ht="12" customHeight="1">
      <c r="A532" s="708" t="s">
        <v>3139</v>
      </c>
      <c r="B532" s="706">
        <v>31</v>
      </c>
    </row>
    <row r="533" spans="1:2" ht="12" customHeight="1">
      <c r="A533" s="708" t="s">
        <v>2840</v>
      </c>
      <c r="B533" s="706">
        <v>31</v>
      </c>
    </row>
    <row r="534" spans="1:2" ht="12" customHeight="1">
      <c r="A534" s="708" t="s">
        <v>2841</v>
      </c>
      <c r="B534" s="706">
        <v>31</v>
      </c>
    </row>
    <row r="535" spans="1:2" ht="12" customHeight="1">
      <c r="A535" s="708" t="s">
        <v>2842</v>
      </c>
      <c r="B535" s="706">
        <v>31</v>
      </c>
    </row>
    <row r="536" spans="1:2" ht="12" customHeight="1">
      <c r="A536" s="708" t="s">
        <v>2843</v>
      </c>
      <c r="B536" s="706">
        <v>31</v>
      </c>
    </row>
    <row r="537" spans="1:2" ht="12" customHeight="1">
      <c r="A537" s="708" t="s">
        <v>2844</v>
      </c>
      <c r="B537" s="706">
        <v>31</v>
      </c>
    </row>
    <row r="538" spans="1:2" ht="12" customHeight="1">
      <c r="A538" s="708" t="s">
        <v>2845</v>
      </c>
      <c r="B538" s="706">
        <v>31</v>
      </c>
    </row>
    <row r="539" spans="1:2" ht="12" customHeight="1">
      <c r="A539" s="708" t="s">
        <v>2846</v>
      </c>
      <c r="B539" s="706">
        <v>31</v>
      </c>
    </row>
    <row r="540" spans="1:2" ht="12" customHeight="1">
      <c r="A540" s="708" t="s">
        <v>2847</v>
      </c>
      <c r="B540" s="706">
        <v>31</v>
      </c>
    </row>
    <row r="541" spans="1:2" ht="12" customHeight="1">
      <c r="A541" s="708" t="s">
        <v>2848</v>
      </c>
      <c r="B541" s="706">
        <v>31</v>
      </c>
    </row>
    <row r="542" spans="1:2" ht="12" customHeight="1">
      <c r="A542" s="708" t="s">
        <v>2849</v>
      </c>
      <c r="B542" s="706">
        <v>31</v>
      </c>
    </row>
    <row r="543" spans="1:2" ht="12" customHeight="1">
      <c r="A543" s="708" t="s">
        <v>2850</v>
      </c>
      <c r="B543" s="706">
        <v>31</v>
      </c>
    </row>
    <row r="544" spans="1:2" ht="12" customHeight="1">
      <c r="A544" s="708" t="s">
        <v>2851</v>
      </c>
      <c r="B544" s="706">
        <v>31</v>
      </c>
    </row>
    <row r="545" spans="1:2" ht="12" customHeight="1">
      <c r="A545" s="708" t="s">
        <v>2852</v>
      </c>
      <c r="B545" s="706">
        <v>31</v>
      </c>
    </row>
    <row r="546" spans="1:2" ht="12" customHeight="1">
      <c r="A546" s="708" t="s">
        <v>2853</v>
      </c>
      <c r="B546" s="706">
        <v>31</v>
      </c>
    </row>
    <row r="547" spans="1:2" ht="12" customHeight="1">
      <c r="A547" s="708" t="s">
        <v>2854</v>
      </c>
      <c r="B547" s="706">
        <v>31</v>
      </c>
    </row>
    <row r="548" spans="1:2" ht="12" customHeight="1">
      <c r="A548" s="708" t="s">
        <v>2855</v>
      </c>
      <c r="B548" s="706">
        <v>31</v>
      </c>
    </row>
    <row r="549" spans="1:2" ht="12" customHeight="1">
      <c r="A549" s="708" t="s">
        <v>2856</v>
      </c>
      <c r="B549" s="706">
        <v>31</v>
      </c>
    </row>
    <row r="550" spans="1:2" ht="12" customHeight="1">
      <c r="A550" s="708" t="s">
        <v>2857</v>
      </c>
      <c r="B550" s="706">
        <v>31</v>
      </c>
    </row>
    <row r="551" spans="1:2" ht="12" customHeight="1">
      <c r="A551" s="708" t="s">
        <v>2858</v>
      </c>
      <c r="B551" s="706">
        <v>31</v>
      </c>
    </row>
    <row r="552" spans="1:2" ht="12" customHeight="1">
      <c r="A552" s="708" t="s">
        <v>2859</v>
      </c>
      <c r="B552" s="706">
        <v>31</v>
      </c>
    </row>
    <row r="553" spans="1:2" ht="12" customHeight="1">
      <c r="A553" s="708" t="s">
        <v>2860</v>
      </c>
      <c r="B553" s="706">
        <v>31</v>
      </c>
    </row>
    <row r="554" spans="1:2" ht="12" customHeight="1">
      <c r="A554" s="708" t="s">
        <v>2861</v>
      </c>
      <c r="B554" s="706">
        <v>31</v>
      </c>
    </row>
    <row r="555" spans="1:2" ht="12" customHeight="1">
      <c r="A555" s="708" t="s">
        <v>2862</v>
      </c>
      <c r="B555" s="706">
        <v>31</v>
      </c>
    </row>
    <row r="556" spans="1:2" ht="12" customHeight="1">
      <c r="A556" s="708" t="s">
        <v>2863</v>
      </c>
      <c r="B556" s="706">
        <v>31</v>
      </c>
    </row>
    <row r="557" spans="1:2" ht="12" customHeight="1">
      <c r="A557" s="708" t="s">
        <v>2864</v>
      </c>
      <c r="B557" s="706">
        <v>31</v>
      </c>
    </row>
    <row r="558" spans="1:2" ht="12" customHeight="1">
      <c r="A558" s="708" t="s">
        <v>2865</v>
      </c>
      <c r="B558" s="706">
        <v>31</v>
      </c>
    </row>
    <row r="559" spans="1:2" ht="12" customHeight="1">
      <c r="A559" s="708" t="s">
        <v>2866</v>
      </c>
      <c r="B559" s="706">
        <v>31</v>
      </c>
    </row>
    <row r="560" spans="1:2" ht="12" customHeight="1">
      <c r="A560" s="708" t="s">
        <v>2867</v>
      </c>
      <c r="B560" s="706">
        <v>31</v>
      </c>
    </row>
    <row r="561" spans="1:2" ht="12" customHeight="1">
      <c r="A561" s="708" t="s">
        <v>2868</v>
      </c>
      <c r="B561" s="706">
        <v>31</v>
      </c>
    </row>
    <row r="562" spans="1:2" ht="12" customHeight="1">
      <c r="A562" s="708" t="s">
        <v>2869</v>
      </c>
      <c r="B562" s="706">
        <v>31</v>
      </c>
    </row>
    <row r="563" spans="1:2" ht="12" customHeight="1">
      <c r="A563" s="708" t="s">
        <v>2870</v>
      </c>
      <c r="B563" s="706">
        <v>31</v>
      </c>
    </row>
    <row r="564" spans="1:2" ht="12" customHeight="1">
      <c r="A564" s="708" t="s">
        <v>2871</v>
      </c>
      <c r="B564" s="706">
        <v>31</v>
      </c>
    </row>
    <row r="565" spans="1:2" ht="12" customHeight="1">
      <c r="A565" s="708" t="s">
        <v>2872</v>
      </c>
      <c r="B565" s="706">
        <v>31</v>
      </c>
    </row>
    <row r="566" spans="1:2" ht="12" customHeight="1">
      <c r="A566" s="708" t="s">
        <v>2873</v>
      </c>
      <c r="B566" s="706">
        <v>31</v>
      </c>
    </row>
    <row r="567" spans="1:2" ht="12" customHeight="1">
      <c r="A567" s="708" t="s">
        <v>2874</v>
      </c>
      <c r="B567" s="706">
        <v>31</v>
      </c>
    </row>
    <row r="568" spans="1:2" ht="12" customHeight="1">
      <c r="A568" s="708" t="s">
        <v>2875</v>
      </c>
      <c r="B568" s="706">
        <v>31</v>
      </c>
    </row>
    <row r="569" spans="1:2" ht="12" customHeight="1">
      <c r="A569" s="708" t="s">
        <v>2876</v>
      </c>
      <c r="B569" s="706">
        <v>31</v>
      </c>
    </row>
    <row r="570" spans="1:2" ht="12" customHeight="1">
      <c r="A570" s="708" t="s">
        <v>2877</v>
      </c>
      <c r="B570" s="706">
        <v>31</v>
      </c>
    </row>
    <row r="571" spans="1:2" ht="12" customHeight="1">
      <c r="A571" s="708" t="s">
        <v>2878</v>
      </c>
      <c r="B571" s="706">
        <v>31</v>
      </c>
    </row>
    <row r="572" spans="1:2" ht="12" customHeight="1">
      <c r="A572" s="708" t="s">
        <v>2879</v>
      </c>
      <c r="B572" s="706">
        <v>31</v>
      </c>
    </row>
    <row r="573" spans="1:2" ht="12" customHeight="1">
      <c r="A573" s="708" t="s">
        <v>2880</v>
      </c>
      <c r="B573" s="706">
        <v>31</v>
      </c>
    </row>
    <row r="574" spans="1:2" ht="12" customHeight="1">
      <c r="A574" s="708" t="s">
        <v>2881</v>
      </c>
      <c r="B574" s="706">
        <v>31</v>
      </c>
    </row>
    <row r="575" spans="1:2" ht="12" customHeight="1">
      <c r="A575" s="708" t="s">
        <v>2882</v>
      </c>
      <c r="B575" s="706">
        <v>31</v>
      </c>
    </row>
    <row r="576" spans="1:2" ht="12" customHeight="1">
      <c r="A576" s="708" t="s">
        <v>2883</v>
      </c>
      <c r="B576" s="706">
        <v>31</v>
      </c>
    </row>
    <row r="577" spans="1:2" ht="12" customHeight="1">
      <c r="A577" s="708" t="s">
        <v>2884</v>
      </c>
      <c r="B577" s="706">
        <v>31</v>
      </c>
    </row>
    <row r="578" spans="1:2" ht="12" customHeight="1">
      <c r="A578" s="708" t="s">
        <v>2885</v>
      </c>
      <c r="B578" s="706">
        <v>31</v>
      </c>
    </row>
    <row r="579" spans="1:2" ht="12" customHeight="1">
      <c r="A579" s="708" t="s">
        <v>2886</v>
      </c>
      <c r="B579" s="706">
        <v>31</v>
      </c>
    </row>
    <row r="580" spans="1:2" ht="12" customHeight="1">
      <c r="A580" s="708" t="s">
        <v>2887</v>
      </c>
      <c r="B580" s="706">
        <v>31</v>
      </c>
    </row>
    <row r="581" spans="1:2" ht="12" customHeight="1">
      <c r="A581" s="708" t="s">
        <v>3140</v>
      </c>
      <c r="B581" s="706">
        <v>31</v>
      </c>
    </row>
    <row r="582" spans="1:2" ht="12" customHeight="1">
      <c r="A582" s="708" t="s">
        <v>2888</v>
      </c>
      <c r="B582" s="706">
        <v>31</v>
      </c>
    </row>
    <row r="583" spans="1:2" ht="12" customHeight="1">
      <c r="A583" s="708" t="s">
        <v>2889</v>
      </c>
      <c r="B583" s="706">
        <v>31</v>
      </c>
    </row>
    <row r="584" spans="1:2" ht="12" customHeight="1">
      <c r="A584" s="708" t="s">
        <v>2890</v>
      </c>
      <c r="B584" s="706">
        <v>31</v>
      </c>
    </row>
    <row r="585" spans="1:2" ht="12" customHeight="1">
      <c r="A585" s="708" t="s">
        <v>2891</v>
      </c>
      <c r="B585" s="706">
        <v>31</v>
      </c>
    </row>
    <row r="586" spans="1:2" ht="12" customHeight="1">
      <c r="A586" s="708" t="s">
        <v>2892</v>
      </c>
      <c r="B586" s="706">
        <v>31</v>
      </c>
    </row>
    <row r="587" spans="1:2" ht="12" customHeight="1">
      <c r="A587" s="708" t="s">
        <v>2893</v>
      </c>
      <c r="B587" s="706">
        <v>31</v>
      </c>
    </row>
    <row r="588" spans="1:2" ht="12" customHeight="1">
      <c r="A588" s="708" t="s">
        <v>2894</v>
      </c>
      <c r="B588" s="706">
        <v>31</v>
      </c>
    </row>
    <row r="589" spans="1:2" ht="12" customHeight="1">
      <c r="A589" s="708" t="s">
        <v>2895</v>
      </c>
      <c r="B589" s="706">
        <v>31</v>
      </c>
    </row>
    <row r="590" spans="1:2" ht="12" customHeight="1">
      <c r="A590" s="708" t="s">
        <v>2896</v>
      </c>
      <c r="B590" s="706">
        <v>31</v>
      </c>
    </row>
    <row r="591" spans="1:2" ht="12" customHeight="1">
      <c r="A591" s="708" t="s">
        <v>2897</v>
      </c>
      <c r="B591" s="706">
        <v>31</v>
      </c>
    </row>
    <row r="592" spans="1:2" ht="12" customHeight="1">
      <c r="A592" s="708" t="s">
        <v>2898</v>
      </c>
      <c r="B592" s="706">
        <v>31</v>
      </c>
    </row>
    <row r="593" spans="1:2" ht="12" customHeight="1">
      <c r="A593" s="708" t="s">
        <v>2899</v>
      </c>
      <c r="B593" s="706">
        <v>31</v>
      </c>
    </row>
    <row r="594" spans="1:2" ht="12" customHeight="1">
      <c r="A594" s="708" t="s">
        <v>2900</v>
      </c>
      <c r="B594" s="706">
        <v>31</v>
      </c>
    </row>
    <row r="595" spans="1:2" ht="12" customHeight="1">
      <c r="A595" s="708" t="s">
        <v>2901</v>
      </c>
      <c r="B595" s="706">
        <v>31</v>
      </c>
    </row>
    <row r="596" spans="1:2" ht="12" customHeight="1">
      <c r="A596" s="708" t="s">
        <v>2902</v>
      </c>
      <c r="B596" s="706">
        <v>31</v>
      </c>
    </row>
    <row r="597" spans="1:2" ht="12" customHeight="1">
      <c r="A597" s="708" t="s">
        <v>2903</v>
      </c>
      <c r="B597" s="706">
        <v>31</v>
      </c>
    </row>
    <row r="598" spans="1:2" ht="12" customHeight="1">
      <c r="A598" s="708" t="s">
        <v>2904</v>
      </c>
      <c r="B598" s="706">
        <v>31</v>
      </c>
    </row>
    <row r="599" spans="1:2" ht="12" customHeight="1">
      <c r="A599" s="708" t="s">
        <v>2905</v>
      </c>
      <c r="B599" s="706">
        <v>31</v>
      </c>
    </row>
    <row r="600" spans="1:2" ht="12" customHeight="1">
      <c r="A600" s="708" t="s">
        <v>2906</v>
      </c>
      <c r="B600" s="706">
        <v>31</v>
      </c>
    </row>
    <row r="601" spans="1:2" ht="12" customHeight="1">
      <c r="A601" s="708" t="s">
        <v>2907</v>
      </c>
      <c r="B601" s="706">
        <v>31</v>
      </c>
    </row>
    <row r="602" spans="1:2" ht="12" customHeight="1">
      <c r="A602" s="708" t="s">
        <v>2908</v>
      </c>
      <c r="B602" s="706">
        <v>31</v>
      </c>
    </row>
    <row r="603" spans="1:2" ht="12" customHeight="1">
      <c r="A603" s="708" t="s">
        <v>2909</v>
      </c>
      <c r="B603" s="706">
        <v>31</v>
      </c>
    </row>
    <row r="604" spans="1:2" ht="12" customHeight="1">
      <c r="A604" s="708" t="s">
        <v>2910</v>
      </c>
      <c r="B604" s="706">
        <v>31</v>
      </c>
    </row>
    <row r="605" spans="1:2" ht="12" customHeight="1">
      <c r="A605" s="708" t="s">
        <v>2911</v>
      </c>
      <c r="B605" s="706">
        <v>31</v>
      </c>
    </row>
    <row r="606" spans="1:2" ht="12" customHeight="1">
      <c r="A606" s="708" t="s">
        <v>2912</v>
      </c>
      <c r="B606" s="706">
        <v>31</v>
      </c>
    </row>
    <row r="607" spans="1:2" ht="12" customHeight="1">
      <c r="A607" s="708" t="s">
        <v>2913</v>
      </c>
      <c r="B607" s="706">
        <v>31</v>
      </c>
    </row>
    <row r="608" spans="1:2" ht="12" customHeight="1">
      <c r="A608" s="708" t="s">
        <v>2914</v>
      </c>
      <c r="B608" s="706">
        <v>31</v>
      </c>
    </row>
    <row r="609" spans="1:2" ht="12" customHeight="1">
      <c r="A609" s="708" t="s">
        <v>2915</v>
      </c>
      <c r="B609" s="706">
        <v>31</v>
      </c>
    </row>
    <row r="610" spans="1:2" ht="12" customHeight="1">
      <c r="A610" s="708" t="s">
        <v>2916</v>
      </c>
      <c r="B610" s="706">
        <v>31</v>
      </c>
    </row>
    <row r="611" spans="1:2" ht="12" customHeight="1">
      <c r="A611" s="708" t="s">
        <v>2917</v>
      </c>
      <c r="B611" s="706">
        <v>31</v>
      </c>
    </row>
    <row r="612" spans="1:2" ht="12" customHeight="1">
      <c r="A612" s="708" t="s">
        <v>2918</v>
      </c>
      <c r="B612" s="706">
        <v>31</v>
      </c>
    </row>
    <row r="613" spans="1:2" ht="12" customHeight="1">
      <c r="A613" s="708" t="s">
        <v>2919</v>
      </c>
      <c r="B613" s="706">
        <v>31</v>
      </c>
    </row>
    <row r="614" spans="1:2" ht="12" customHeight="1">
      <c r="A614" s="708" t="s">
        <v>2920</v>
      </c>
      <c r="B614" s="706">
        <v>31</v>
      </c>
    </row>
    <row r="615" spans="1:2" ht="12" customHeight="1">
      <c r="A615" s="708" t="s">
        <v>2921</v>
      </c>
      <c r="B615" s="706">
        <v>31</v>
      </c>
    </row>
    <row r="616" spans="1:2" ht="12" customHeight="1">
      <c r="A616" s="708" t="s">
        <v>2922</v>
      </c>
      <c r="B616" s="706">
        <v>31</v>
      </c>
    </row>
    <row r="617" spans="1:2" ht="12" customHeight="1">
      <c r="A617" s="708" t="s">
        <v>2923</v>
      </c>
      <c r="B617" s="706">
        <v>31</v>
      </c>
    </row>
    <row r="618" spans="1:2" ht="12" customHeight="1">
      <c r="A618" s="708" t="s">
        <v>3141</v>
      </c>
      <c r="B618" s="706">
        <v>31</v>
      </c>
    </row>
    <row r="619" spans="1:2" ht="12" customHeight="1">
      <c r="A619" s="708" t="s">
        <v>2388</v>
      </c>
      <c r="B619" s="706">
        <v>31</v>
      </c>
    </row>
    <row r="620" spans="1:2" ht="12" customHeight="1">
      <c r="A620" s="708" t="s">
        <v>2924</v>
      </c>
      <c r="B620" s="706">
        <v>31</v>
      </c>
    </row>
    <row r="621" spans="1:2" ht="12" customHeight="1">
      <c r="A621" s="708" t="s">
        <v>2925</v>
      </c>
      <c r="B621" s="706">
        <v>31</v>
      </c>
    </row>
    <row r="622" spans="1:2" ht="12" customHeight="1">
      <c r="A622" s="708" t="s">
        <v>2926</v>
      </c>
      <c r="B622" s="706">
        <v>31</v>
      </c>
    </row>
    <row r="623" spans="1:2" ht="12" customHeight="1">
      <c r="A623" s="708" t="s">
        <v>2927</v>
      </c>
      <c r="B623" s="706">
        <v>31</v>
      </c>
    </row>
    <row r="624" spans="1:2" ht="12" customHeight="1">
      <c r="A624" s="708" t="s">
        <v>2928</v>
      </c>
      <c r="B624" s="706">
        <v>31</v>
      </c>
    </row>
    <row r="625" spans="1:2" ht="12" customHeight="1">
      <c r="A625" s="708" t="s">
        <v>2929</v>
      </c>
      <c r="B625" s="706">
        <v>31</v>
      </c>
    </row>
    <row r="626" spans="1:2" ht="12" customHeight="1">
      <c r="A626" s="708" t="s">
        <v>2930</v>
      </c>
      <c r="B626" s="706">
        <v>31</v>
      </c>
    </row>
    <row r="627" spans="1:2" ht="12" customHeight="1">
      <c r="A627" s="708" t="s">
        <v>2931</v>
      </c>
      <c r="B627" s="706">
        <v>31</v>
      </c>
    </row>
    <row r="628" spans="1:2" ht="12" customHeight="1">
      <c r="A628" s="708" t="s">
        <v>2932</v>
      </c>
      <c r="B628" s="706">
        <v>31</v>
      </c>
    </row>
    <row r="629" spans="1:2" ht="12" customHeight="1">
      <c r="A629" s="708" t="s">
        <v>2933</v>
      </c>
      <c r="B629" s="706">
        <v>31</v>
      </c>
    </row>
    <row r="630" spans="1:2" ht="12" customHeight="1">
      <c r="A630" s="708" t="s">
        <v>2934</v>
      </c>
      <c r="B630" s="706">
        <v>31</v>
      </c>
    </row>
    <row r="631" spans="1:2" ht="12" customHeight="1">
      <c r="A631" s="708" t="s">
        <v>3142</v>
      </c>
      <c r="B631" s="706">
        <v>31</v>
      </c>
    </row>
    <row r="632" spans="1:2" ht="12" customHeight="1">
      <c r="A632" s="708" t="s">
        <v>2935</v>
      </c>
      <c r="B632" s="706">
        <v>31</v>
      </c>
    </row>
    <row r="633" spans="1:2" ht="12" customHeight="1">
      <c r="A633" s="708" t="s">
        <v>2936</v>
      </c>
      <c r="B633" s="706">
        <v>31</v>
      </c>
    </row>
    <row r="634" spans="1:2" ht="12" customHeight="1">
      <c r="A634" s="708" t="s">
        <v>2405</v>
      </c>
      <c r="B634" s="706">
        <v>31</v>
      </c>
    </row>
    <row r="635" spans="1:2" ht="12" customHeight="1">
      <c r="A635" s="708" t="s">
        <v>2432</v>
      </c>
      <c r="B635" s="706">
        <v>31</v>
      </c>
    </row>
    <row r="636" spans="1:2" ht="12" customHeight="1">
      <c r="A636" s="708" t="s">
        <v>2937</v>
      </c>
      <c r="B636" s="706">
        <v>31</v>
      </c>
    </row>
    <row r="637" spans="1:2" ht="12" customHeight="1">
      <c r="A637" s="708" t="s">
        <v>2938</v>
      </c>
      <c r="B637" s="706">
        <v>31</v>
      </c>
    </row>
    <row r="638" spans="1:2" ht="12" customHeight="1">
      <c r="A638" s="708" t="s">
        <v>2939</v>
      </c>
      <c r="B638" s="706">
        <v>31</v>
      </c>
    </row>
    <row r="639" spans="1:2" ht="12" customHeight="1">
      <c r="A639" s="708" t="s">
        <v>2940</v>
      </c>
      <c r="B639" s="706">
        <v>31</v>
      </c>
    </row>
    <row r="640" spans="1:2" ht="12" customHeight="1">
      <c r="A640" s="708" t="s">
        <v>2941</v>
      </c>
      <c r="B640" s="706">
        <v>31</v>
      </c>
    </row>
    <row r="641" spans="1:2" ht="12" customHeight="1">
      <c r="A641" s="708" t="s">
        <v>2942</v>
      </c>
      <c r="B641" s="706">
        <v>31</v>
      </c>
    </row>
    <row r="642" spans="1:2" ht="12" customHeight="1">
      <c r="A642" s="708" t="s">
        <v>2943</v>
      </c>
      <c r="B642" s="706">
        <v>31</v>
      </c>
    </row>
    <row r="643" spans="1:2" ht="12" customHeight="1">
      <c r="A643" s="708" t="s">
        <v>2944</v>
      </c>
      <c r="B643" s="706">
        <v>31</v>
      </c>
    </row>
    <row r="644" spans="1:2" ht="12" customHeight="1">
      <c r="A644" s="708" t="s">
        <v>3143</v>
      </c>
      <c r="B644" s="706">
        <v>31</v>
      </c>
    </row>
    <row r="645" spans="1:2" ht="12" customHeight="1">
      <c r="A645" s="708" t="s">
        <v>2945</v>
      </c>
      <c r="B645" s="706">
        <v>31</v>
      </c>
    </row>
    <row r="646" spans="1:2" ht="12" customHeight="1">
      <c r="A646" s="708" t="s">
        <v>2946</v>
      </c>
      <c r="B646" s="706">
        <v>31</v>
      </c>
    </row>
    <row r="647" spans="1:2" ht="12" customHeight="1">
      <c r="A647" s="708" t="s">
        <v>2947</v>
      </c>
      <c r="B647" s="706">
        <v>31</v>
      </c>
    </row>
    <row r="648" spans="1:2" ht="12" customHeight="1">
      <c r="A648" s="708" t="s">
        <v>2948</v>
      </c>
      <c r="B648" s="706">
        <v>31</v>
      </c>
    </row>
    <row r="649" spans="1:2" ht="12" customHeight="1">
      <c r="A649" s="707" t="s">
        <v>2949</v>
      </c>
      <c r="B649" s="706">
        <v>31</v>
      </c>
    </row>
    <row r="650" spans="1:2" ht="12" customHeight="1">
      <c r="A650" s="707" t="s">
        <v>2950</v>
      </c>
      <c r="B650" s="706">
        <v>31</v>
      </c>
    </row>
    <row r="651" spans="1:2" ht="12" customHeight="1">
      <c r="A651" s="707" t="s">
        <v>2951</v>
      </c>
      <c r="B651" s="706">
        <v>31</v>
      </c>
    </row>
    <row r="652" spans="1:2" ht="12" customHeight="1">
      <c r="A652" s="707" t="s">
        <v>2952</v>
      </c>
      <c r="B652" s="706">
        <v>31</v>
      </c>
    </row>
    <row r="653" spans="1:2" ht="12" customHeight="1">
      <c r="A653" s="707" t="s">
        <v>2953</v>
      </c>
      <c r="B653" s="706">
        <v>31</v>
      </c>
    </row>
    <row r="654" spans="1:2" ht="12" customHeight="1">
      <c r="A654" s="707" t="s">
        <v>2954</v>
      </c>
      <c r="B654" s="706">
        <v>31</v>
      </c>
    </row>
    <row r="655" spans="1:2" ht="12" customHeight="1">
      <c r="A655" s="707" t="s">
        <v>144</v>
      </c>
      <c r="B655" s="706">
        <v>31</v>
      </c>
    </row>
    <row r="656" spans="1:2" ht="12" customHeight="1">
      <c r="A656" s="707" t="s">
        <v>2955</v>
      </c>
      <c r="B656" s="706">
        <v>31</v>
      </c>
    </row>
    <row r="657" spans="1:2" ht="12" customHeight="1">
      <c r="A657" s="707" t="s">
        <v>2956</v>
      </c>
      <c r="B657" s="706">
        <v>31</v>
      </c>
    </row>
    <row r="658" spans="1:2" ht="12" customHeight="1">
      <c r="A658" s="707" t="s">
        <v>2957</v>
      </c>
      <c r="B658" s="706">
        <v>31</v>
      </c>
    </row>
    <row r="659" spans="1:2" ht="12" customHeight="1">
      <c r="A659" s="707" t="s">
        <v>2958</v>
      </c>
      <c r="B659" s="706">
        <v>31</v>
      </c>
    </row>
    <row r="660" spans="1:2" ht="12" customHeight="1">
      <c r="A660" s="707" t="s">
        <v>2959</v>
      </c>
      <c r="B660" s="706">
        <v>31</v>
      </c>
    </row>
    <row r="661" spans="1:2" ht="12" customHeight="1">
      <c r="A661" s="707" t="s">
        <v>2960</v>
      </c>
      <c r="B661" s="706">
        <v>31</v>
      </c>
    </row>
    <row r="662" spans="1:2" ht="12" customHeight="1">
      <c r="A662" s="707" t="s">
        <v>2961</v>
      </c>
      <c r="B662" s="706">
        <v>31</v>
      </c>
    </row>
    <row r="663" spans="1:2" ht="12" customHeight="1">
      <c r="A663" s="707" t="s">
        <v>2354</v>
      </c>
      <c r="B663" s="706">
        <v>31</v>
      </c>
    </row>
    <row r="664" spans="1:2" ht="12" customHeight="1">
      <c r="A664" s="707" t="s">
        <v>2962</v>
      </c>
      <c r="B664" s="706">
        <v>31</v>
      </c>
    </row>
    <row r="665" spans="1:2" ht="12" customHeight="1">
      <c r="A665" s="707" t="s">
        <v>2963</v>
      </c>
      <c r="B665" s="706">
        <v>31</v>
      </c>
    </row>
    <row r="666" spans="1:2" ht="12" customHeight="1">
      <c r="A666" s="707" t="s">
        <v>2964</v>
      </c>
      <c r="B666" s="706">
        <v>31</v>
      </c>
    </row>
    <row r="667" spans="1:2" ht="12" customHeight="1">
      <c r="A667" s="707" t="s">
        <v>2965</v>
      </c>
      <c r="B667" s="706">
        <v>31</v>
      </c>
    </row>
    <row r="668" spans="1:2" ht="12" customHeight="1">
      <c r="A668" s="707" t="s">
        <v>2356</v>
      </c>
      <c r="B668" s="706">
        <v>31</v>
      </c>
    </row>
    <row r="669" spans="1:2" ht="12" customHeight="1">
      <c r="A669" s="707" t="s">
        <v>2966</v>
      </c>
      <c r="B669" s="706">
        <v>31</v>
      </c>
    </row>
    <row r="670" spans="1:2" ht="12" customHeight="1">
      <c r="A670" s="707" t="s">
        <v>2967</v>
      </c>
      <c r="B670" s="706">
        <v>31</v>
      </c>
    </row>
    <row r="671" spans="1:2" ht="12" customHeight="1">
      <c r="A671" s="707" t="s">
        <v>2968</v>
      </c>
      <c r="B671" s="706">
        <v>31</v>
      </c>
    </row>
    <row r="672" spans="1:2" ht="12" customHeight="1">
      <c r="A672" s="707" t="s">
        <v>2969</v>
      </c>
      <c r="B672" s="706">
        <v>31</v>
      </c>
    </row>
    <row r="673" spans="1:2" ht="12" customHeight="1">
      <c r="A673" s="707" t="s">
        <v>2970</v>
      </c>
      <c r="B673" s="706">
        <v>31</v>
      </c>
    </row>
    <row r="674" spans="1:2" ht="12" customHeight="1">
      <c r="A674" s="707" t="s">
        <v>2971</v>
      </c>
      <c r="B674" s="706">
        <v>31</v>
      </c>
    </row>
    <row r="675" spans="1:2" ht="12" customHeight="1">
      <c r="A675" s="707" t="s">
        <v>2972</v>
      </c>
      <c r="B675" s="706">
        <v>31</v>
      </c>
    </row>
    <row r="676" spans="1:2" ht="12" customHeight="1">
      <c r="A676" s="707" t="s">
        <v>2973</v>
      </c>
      <c r="B676" s="706">
        <v>31</v>
      </c>
    </row>
    <row r="677" spans="1:2" ht="12" customHeight="1">
      <c r="A677" s="707" t="s">
        <v>2974</v>
      </c>
      <c r="B677" s="706">
        <v>31</v>
      </c>
    </row>
    <row r="678" spans="1:2" ht="12" customHeight="1">
      <c r="A678" s="707" t="s">
        <v>2975</v>
      </c>
      <c r="B678" s="706">
        <v>31</v>
      </c>
    </row>
    <row r="679" spans="1:2" ht="12" customHeight="1">
      <c r="A679" s="707" t="s">
        <v>2352</v>
      </c>
      <c r="B679" s="706">
        <v>31</v>
      </c>
    </row>
    <row r="680" spans="1:2" ht="12" customHeight="1">
      <c r="A680" s="707" t="s">
        <v>2976</v>
      </c>
      <c r="B680" s="706">
        <v>31</v>
      </c>
    </row>
    <row r="681" spans="1:2" ht="12" customHeight="1">
      <c r="A681" s="707" t="s">
        <v>2977</v>
      </c>
      <c r="B681" s="706">
        <v>31</v>
      </c>
    </row>
    <row r="682" spans="1:2" ht="12" customHeight="1">
      <c r="A682" s="707" t="s">
        <v>2978</v>
      </c>
      <c r="B682" s="706">
        <v>31</v>
      </c>
    </row>
    <row r="683" spans="1:2" ht="12" customHeight="1">
      <c r="A683" s="707" t="s">
        <v>2979</v>
      </c>
      <c r="B683" s="706">
        <v>31</v>
      </c>
    </row>
    <row r="684" spans="1:2" ht="12" customHeight="1">
      <c r="A684" s="707" t="s">
        <v>2980</v>
      </c>
      <c r="B684" s="706">
        <v>31</v>
      </c>
    </row>
    <row r="685" spans="1:2" ht="12" customHeight="1">
      <c r="A685" s="707" t="s">
        <v>2981</v>
      </c>
      <c r="B685" s="706">
        <v>31</v>
      </c>
    </row>
    <row r="686" spans="1:2" ht="12" customHeight="1">
      <c r="A686" s="707" t="s">
        <v>2982</v>
      </c>
      <c r="B686" s="706">
        <v>31</v>
      </c>
    </row>
    <row r="687" spans="1:2" ht="12" customHeight="1">
      <c r="A687" s="707" t="s">
        <v>2983</v>
      </c>
      <c r="B687" s="706">
        <v>31</v>
      </c>
    </row>
    <row r="688" spans="1:2" ht="12" customHeight="1">
      <c r="A688" s="707" t="s">
        <v>2984</v>
      </c>
      <c r="B688" s="706">
        <v>31</v>
      </c>
    </row>
    <row r="689" spans="1:2" ht="12" customHeight="1">
      <c r="A689" s="707" t="s">
        <v>2985</v>
      </c>
      <c r="B689" s="706">
        <v>31</v>
      </c>
    </row>
    <row r="690" spans="1:2" ht="12" customHeight="1">
      <c r="A690" s="707" t="s">
        <v>2986</v>
      </c>
      <c r="B690" s="706">
        <v>31</v>
      </c>
    </row>
    <row r="691" spans="1:2" ht="12" customHeight="1">
      <c r="A691" s="707" t="s">
        <v>2987</v>
      </c>
      <c r="B691" s="706">
        <v>31</v>
      </c>
    </row>
    <row r="692" spans="1:2" ht="12" customHeight="1">
      <c r="A692" s="707" t="s">
        <v>2988</v>
      </c>
      <c r="B692" s="706">
        <v>31</v>
      </c>
    </row>
    <row r="693" spans="1:2" ht="12" customHeight="1">
      <c r="A693" s="707" t="s">
        <v>2989</v>
      </c>
      <c r="B693" s="706">
        <v>31</v>
      </c>
    </row>
    <row r="694" spans="1:2" ht="12" customHeight="1">
      <c r="A694" s="707" t="s">
        <v>2990</v>
      </c>
      <c r="B694" s="706">
        <v>31</v>
      </c>
    </row>
    <row r="695" spans="1:2" ht="12" customHeight="1">
      <c r="A695" s="707" t="s">
        <v>2991</v>
      </c>
      <c r="B695" s="706">
        <v>31</v>
      </c>
    </row>
    <row r="696" spans="1:2" ht="12" customHeight="1">
      <c r="A696" s="707" t="s">
        <v>2992</v>
      </c>
      <c r="B696" s="706">
        <v>31</v>
      </c>
    </row>
    <row r="697" spans="1:2" ht="12" customHeight="1">
      <c r="A697" s="707" t="s">
        <v>2993</v>
      </c>
      <c r="B697" s="706">
        <v>31</v>
      </c>
    </row>
    <row r="698" spans="1:2" ht="12" customHeight="1">
      <c r="A698" s="707" t="s">
        <v>2994</v>
      </c>
      <c r="B698" s="706">
        <v>31</v>
      </c>
    </row>
    <row r="699" spans="1:2" ht="12" customHeight="1">
      <c r="A699" s="707" t="s">
        <v>2995</v>
      </c>
      <c r="B699" s="706">
        <v>31</v>
      </c>
    </row>
    <row r="700" spans="1:2" ht="12" customHeight="1">
      <c r="A700" s="707" t="s">
        <v>2996</v>
      </c>
      <c r="B700" s="706">
        <v>31</v>
      </c>
    </row>
    <row r="701" spans="1:2" ht="12" customHeight="1">
      <c r="A701" s="707" t="s">
        <v>2997</v>
      </c>
      <c r="B701" s="706">
        <v>31</v>
      </c>
    </row>
    <row r="702" spans="1:2" ht="12" customHeight="1">
      <c r="A702" s="707" t="s">
        <v>1091</v>
      </c>
      <c r="B702" s="706">
        <v>31</v>
      </c>
    </row>
    <row r="703" spans="1:2" ht="12" customHeight="1">
      <c r="A703" s="707" t="s">
        <v>2998</v>
      </c>
      <c r="B703" s="706">
        <v>31</v>
      </c>
    </row>
    <row r="704" spans="1:2" ht="12" customHeight="1">
      <c r="A704" s="707" t="s">
        <v>2999</v>
      </c>
      <c r="B704" s="706">
        <v>31</v>
      </c>
    </row>
    <row r="705" spans="1:2" ht="12" customHeight="1">
      <c r="A705" s="707" t="s">
        <v>3000</v>
      </c>
      <c r="B705" s="706">
        <v>31</v>
      </c>
    </row>
    <row r="706" spans="1:2" ht="12" customHeight="1">
      <c r="A706" s="707" t="s">
        <v>3001</v>
      </c>
      <c r="B706" s="706">
        <v>31</v>
      </c>
    </row>
    <row r="707" spans="1:2" ht="12" customHeight="1">
      <c r="A707" s="707" t="s">
        <v>11</v>
      </c>
      <c r="B707" s="706">
        <v>31</v>
      </c>
    </row>
    <row r="708" spans="1:2" ht="12" customHeight="1">
      <c r="A708" s="707" t="s">
        <v>3002</v>
      </c>
      <c r="B708" s="706">
        <v>31</v>
      </c>
    </row>
    <row r="709" spans="1:2" ht="12" customHeight="1">
      <c r="A709" s="707" t="s">
        <v>3003</v>
      </c>
      <c r="B709" s="706">
        <v>31</v>
      </c>
    </row>
    <row r="710" spans="1:2" ht="12" customHeight="1">
      <c r="A710" s="707" t="s">
        <v>3004</v>
      </c>
      <c r="B710" s="706">
        <v>31</v>
      </c>
    </row>
    <row r="711" spans="1:2" ht="12" customHeight="1">
      <c r="A711" s="707" t="s">
        <v>3005</v>
      </c>
      <c r="B711" s="706">
        <v>31</v>
      </c>
    </row>
    <row r="712" spans="1:2" ht="12" customHeight="1">
      <c r="A712" s="707" t="s">
        <v>3006</v>
      </c>
      <c r="B712" s="706">
        <v>31</v>
      </c>
    </row>
    <row r="713" spans="1:2" ht="12" customHeight="1">
      <c r="A713" s="708" t="s">
        <v>3007</v>
      </c>
      <c r="B713" s="706">
        <v>31</v>
      </c>
    </row>
    <row r="714" spans="1:2" ht="12" customHeight="1">
      <c r="A714" s="708" t="s">
        <v>3008</v>
      </c>
      <c r="B714" s="706">
        <v>31</v>
      </c>
    </row>
    <row r="715" spans="1:2" ht="12" customHeight="1">
      <c r="A715" s="708" t="s">
        <v>3009</v>
      </c>
      <c r="B715" s="706">
        <v>31</v>
      </c>
    </row>
    <row r="716" spans="1:2" ht="12" customHeight="1">
      <c r="A716" s="708" t="s">
        <v>3010</v>
      </c>
      <c r="B716" s="706">
        <v>31</v>
      </c>
    </row>
    <row r="717" spans="1:2" ht="12" customHeight="1">
      <c r="A717" s="708" t="s">
        <v>3011</v>
      </c>
      <c r="B717" s="706">
        <v>31</v>
      </c>
    </row>
    <row r="718" spans="1:2" ht="12" customHeight="1">
      <c r="A718" s="708" t="s">
        <v>3012</v>
      </c>
      <c r="B718" s="706">
        <v>31</v>
      </c>
    </row>
    <row r="719" spans="1:2" ht="12" customHeight="1">
      <c r="A719" s="708" t="s">
        <v>3013</v>
      </c>
      <c r="B719" s="706">
        <v>31</v>
      </c>
    </row>
    <row r="720" spans="1:2" ht="12" customHeight="1">
      <c r="A720" s="708" t="s">
        <v>3014</v>
      </c>
      <c r="B720" s="706">
        <v>31</v>
      </c>
    </row>
    <row r="721" spans="1:2" ht="12" customHeight="1">
      <c r="A721" s="708" t="s">
        <v>3015</v>
      </c>
      <c r="B721" s="706">
        <v>31</v>
      </c>
    </row>
    <row r="722" spans="1:2" ht="12" customHeight="1">
      <c r="A722" s="708" t="s">
        <v>3016</v>
      </c>
      <c r="B722" s="706">
        <v>31</v>
      </c>
    </row>
    <row r="723" spans="1:2" ht="12" customHeight="1">
      <c r="A723" s="708" t="s">
        <v>9</v>
      </c>
      <c r="B723" s="706">
        <v>31</v>
      </c>
    </row>
    <row r="724" spans="1:2" ht="12" customHeight="1">
      <c r="A724" s="708" t="s">
        <v>3017</v>
      </c>
      <c r="B724" s="706">
        <v>31</v>
      </c>
    </row>
    <row r="725" spans="1:2" ht="12" customHeight="1">
      <c r="A725" s="708" t="s">
        <v>3018</v>
      </c>
      <c r="B725" s="706">
        <v>31</v>
      </c>
    </row>
    <row r="726" spans="1:2" ht="12" customHeight="1">
      <c r="A726" s="708" t="s">
        <v>3019</v>
      </c>
      <c r="B726" s="706">
        <v>31</v>
      </c>
    </row>
    <row r="727" spans="1:2" ht="12" customHeight="1">
      <c r="A727" s="708" t="s">
        <v>3020</v>
      </c>
      <c r="B727" s="706">
        <v>31</v>
      </c>
    </row>
    <row r="728" spans="1:2" ht="12" customHeight="1">
      <c r="A728" s="708" t="s">
        <v>3021</v>
      </c>
      <c r="B728" s="706">
        <v>31</v>
      </c>
    </row>
    <row r="729" spans="1:2" ht="12" customHeight="1">
      <c r="A729" s="708" t="s">
        <v>3022</v>
      </c>
      <c r="B729" s="706">
        <v>31</v>
      </c>
    </row>
    <row r="730" spans="1:2" ht="12" customHeight="1">
      <c r="A730" s="708" t="s">
        <v>3023</v>
      </c>
      <c r="B730" s="706">
        <v>31</v>
      </c>
    </row>
    <row r="731" spans="1:2" ht="12" customHeight="1">
      <c r="A731" s="708" t="s">
        <v>3024</v>
      </c>
      <c r="B731" s="706">
        <v>31</v>
      </c>
    </row>
    <row r="732" spans="1:2" ht="12" customHeight="1">
      <c r="A732" s="708" t="s">
        <v>3025</v>
      </c>
      <c r="B732" s="706">
        <v>31</v>
      </c>
    </row>
    <row r="733" spans="1:2" ht="12" customHeight="1">
      <c r="A733" s="708" t="s">
        <v>3026</v>
      </c>
      <c r="B733" s="706">
        <v>31</v>
      </c>
    </row>
    <row r="734" spans="1:2" ht="12" customHeight="1">
      <c r="A734" s="708" t="s">
        <v>3027</v>
      </c>
      <c r="B734" s="706">
        <v>31</v>
      </c>
    </row>
    <row r="735" spans="1:2" ht="12" customHeight="1">
      <c r="A735" s="708" t="s">
        <v>3028</v>
      </c>
      <c r="B735" s="706">
        <v>31</v>
      </c>
    </row>
    <row r="736" spans="1:2" ht="12" customHeight="1">
      <c r="A736" s="708" t="s">
        <v>3029</v>
      </c>
      <c r="B736" s="706">
        <v>31</v>
      </c>
    </row>
    <row r="737" spans="1:2" ht="12" customHeight="1">
      <c r="A737" s="708" t="s">
        <v>3030</v>
      </c>
      <c r="B737" s="706">
        <v>31</v>
      </c>
    </row>
    <row r="738" spans="1:2" ht="12" customHeight="1">
      <c r="A738" s="708" t="s">
        <v>3031</v>
      </c>
      <c r="B738" s="706">
        <v>31</v>
      </c>
    </row>
    <row r="739" spans="1:2" ht="12" customHeight="1">
      <c r="A739" s="708" t="s">
        <v>3032</v>
      </c>
      <c r="B739" s="706">
        <v>31</v>
      </c>
    </row>
    <row r="740" spans="1:2" ht="12" customHeight="1">
      <c r="A740" s="708" t="s">
        <v>3033</v>
      </c>
      <c r="B740" s="706">
        <v>31</v>
      </c>
    </row>
    <row r="741" spans="1:2" ht="12" customHeight="1">
      <c r="A741" s="708" t="s">
        <v>3034</v>
      </c>
      <c r="B741" s="706">
        <v>31</v>
      </c>
    </row>
    <row r="742" spans="1:2" ht="12" customHeight="1">
      <c r="A742" s="708" t="s">
        <v>3035</v>
      </c>
      <c r="B742" s="706">
        <v>31</v>
      </c>
    </row>
    <row r="743" spans="1:2" ht="12" customHeight="1">
      <c r="A743" s="708" t="s">
        <v>3036</v>
      </c>
      <c r="B743" s="706">
        <v>31</v>
      </c>
    </row>
    <row r="744" spans="1:2" ht="12" customHeight="1">
      <c r="A744" s="708" t="s">
        <v>3037</v>
      </c>
      <c r="B744" s="706">
        <v>31</v>
      </c>
    </row>
    <row r="745" spans="1:2" ht="12" customHeight="1">
      <c r="A745" s="708" t="s">
        <v>3038</v>
      </c>
      <c r="B745" s="706">
        <v>31</v>
      </c>
    </row>
    <row r="746" spans="1:2" ht="12" customHeight="1">
      <c r="A746" s="708" t="s">
        <v>3039</v>
      </c>
      <c r="B746" s="706">
        <v>31</v>
      </c>
    </row>
    <row r="747" spans="1:2" ht="12" customHeight="1">
      <c r="A747" s="708" t="s">
        <v>3040</v>
      </c>
      <c r="B747" s="706">
        <v>31</v>
      </c>
    </row>
    <row r="748" spans="1:2" ht="12" customHeight="1">
      <c r="A748" s="708" t="s">
        <v>1100</v>
      </c>
      <c r="B748" s="706">
        <v>31</v>
      </c>
    </row>
    <row r="749" spans="1:2" ht="12" customHeight="1">
      <c r="A749" s="708" t="s">
        <v>3041</v>
      </c>
      <c r="B749" s="706">
        <v>31</v>
      </c>
    </row>
    <row r="750" spans="1:2" ht="12" customHeight="1">
      <c r="A750" s="708" t="s">
        <v>3042</v>
      </c>
      <c r="B750" s="706">
        <v>31</v>
      </c>
    </row>
    <row r="751" spans="1:2" ht="12" customHeight="1">
      <c r="A751" s="708" t="s">
        <v>3043</v>
      </c>
      <c r="B751" s="706">
        <v>31</v>
      </c>
    </row>
    <row r="752" spans="1:2" ht="12" customHeight="1">
      <c r="A752" s="708" t="s">
        <v>3044</v>
      </c>
      <c r="B752" s="706">
        <v>31</v>
      </c>
    </row>
    <row r="753" spans="1:2" ht="12" customHeight="1">
      <c r="A753" s="708" t="s">
        <v>3045</v>
      </c>
      <c r="B753" s="706">
        <v>31</v>
      </c>
    </row>
    <row r="754" spans="1:2" ht="12" customHeight="1">
      <c r="A754" s="708" t="s">
        <v>3046</v>
      </c>
      <c r="B754" s="706">
        <v>31</v>
      </c>
    </row>
    <row r="755" spans="1:2" ht="12" customHeight="1">
      <c r="A755" s="708" t="s">
        <v>3047</v>
      </c>
      <c r="B755" s="706">
        <v>31</v>
      </c>
    </row>
    <row r="756" spans="1:2" ht="12" customHeight="1">
      <c r="A756" s="708" t="s">
        <v>3048</v>
      </c>
      <c r="B756" s="706">
        <v>31</v>
      </c>
    </row>
    <row r="757" spans="1:2" ht="12" customHeight="1">
      <c r="A757" s="708" t="s">
        <v>3049</v>
      </c>
      <c r="B757" s="706">
        <v>31</v>
      </c>
    </row>
    <row r="758" spans="1:2" ht="12" customHeight="1">
      <c r="A758" s="708" t="s">
        <v>3050</v>
      </c>
      <c r="B758" s="706">
        <v>31</v>
      </c>
    </row>
    <row r="759" spans="1:2" ht="12" customHeight="1">
      <c r="A759" s="708" t="s">
        <v>3051</v>
      </c>
      <c r="B759" s="706">
        <v>31</v>
      </c>
    </row>
    <row r="760" spans="1:2" ht="12" customHeight="1">
      <c r="A760" s="708" t="s">
        <v>3052</v>
      </c>
      <c r="B760" s="706">
        <v>31</v>
      </c>
    </row>
    <row r="761" spans="1:2" ht="12" customHeight="1">
      <c r="A761" s="708" t="s">
        <v>10</v>
      </c>
      <c r="B761" s="706">
        <v>31</v>
      </c>
    </row>
    <row r="762" spans="1:2" ht="12" customHeight="1">
      <c r="A762" s="708" t="s">
        <v>3053</v>
      </c>
      <c r="B762" s="706">
        <v>31</v>
      </c>
    </row>
    <row r="763" spans="1:2" ht="12" customHeight="1">
      <c r="A763" s="708" t="s">
        <v>3054</v>
      </c>
      <c r="B763" s="706">
        <v>31</v>
      </c>
    </row>
    <row r="764" spans="1:2" ht="12" customHeight="1">
      <c r="A764" s="708" t="s">
        <v>3055</v>
      </c>
      <c r="B764" s="706">
        <v>31</v>
      </c>
    </row>
    <row r="765" spans="1:2" ht="12" customHeight="1">
      <c r="A765" s="708" t="s">
        <v>3056</v>
      </c>
      <c r="B765" s="706">
        <v>31</v>
      </c>
    </row>
    <row r="766" spans="1:2" ht="12" customHeight="1">
      <c r="A766" s="708" t="s">
        <v>3057</v>
      </c>
      <c r="B766" s="706">
        <v>31</v>
      </c>
    </row>
    <row r="767" spans="1:2" ht="12" customHeight="1">
      <c r="A767" s="708" t="s">
        <v>1057</v>
      </c>
      <c r="B767" s="706">
        <v>31</v>
      </c>
    </row>
    <row r="768" spans="1:2" ht="12" customHeight="1">
      <c r="A768" s="708" t="s">
        <v>3058</v>
      </c>
      <c r="B768" s="706">
        <v>31</v>
      </c>
    </row>
    <row r="769" spans="1:2" ht="12" customHeight="1">
      <c r="A769" s="708" t="s">
        <v>3059</v>
      </c>
      <c r="B769" s="706">
        <v>31</v>
      </c>
    </row>
    <row r="770" spans="1:2" ht="12" customHeight="1">
      <c r="A770" s="708" t="s">
        <v>3060</v>
      </c>
      <c r="B770" s="706">
        <v>31</v>
      </c>
    </row>
    <row r="771" spans="1:2" ht="12" customHeight="1">
      <c r="A771" s="708" t="s">
        <v>3061</v>
      </c>
      <c r="B771" s="706">
        <v>31</v>
      </c>
    </row>
    <row r="772" spans="1:2" ht="12" customHeight="1">
      <c r="A772" s="708" t="s">
        <v>3062</v>
      </c>
      <c r="B772" s="706">
        <v>31</v>
      </c>
    </row>
    <row r="773" spans="1:2" ht="12" customHeight="1">
      <c r="A773" s="708" t="s">
        <v>3063</v>
      </c>
      <c r="B773" s="706">
        <v>31</v>
      </c>
    </row>
    <row r="774" spans="1:2" ht="12" customHeight="1">
      <c r="A774" s="708" t="s">
        <v>3064</v>
      </c>
      <c r="B774" s="706">
        <v>31</v>
      </c>
    </row>
    <row r="775" spans="1:2" ht="12" customHeight="1">
      <c r="A775" s="708" t="s">
        <v>3065</v>
      </c>
      <c r="B775" s="706">
        <v>31</v>
      </c>
    </row>
    <row r="776" spans="1:2" ht="12" customHeight="1">
      <c r="A776" s="708" t="s">
        <v>3066</v>
      </c>
      <c r="B776" s="706">
        <v>31</v>
      </c>
    </row>
    <row r="777" spans="1:2" ht="12" customHeight="1">
      <c r="A777" s="708" t="s">
        <v>3067</v>
      </c>
      <c r="B777" s="706">
        <v>31</v>
      </c>
    </row>
    <row r="778" spans="1:2" ht="12" customHeight="1">
      <c r="A778" s="708" t="s">
        <v>3068</v>
      </c>
      <c r="B778" s="706">
        <v>31</v>
      </c>
    </row>
    <row r="779" spans="1:2" ht="12" customHeight="1">
      <c r="A779" s="708" t="s">
        <v>3069</v>
      </c>
      <c r="B779" s="706">
        <v>31</v>
      </c>
    </row>
    <row r="780" spans="1:2" ht="12" customHeight="1">
      <c r="A780" s="708" t="s">
        <v>3070</v>
      </c>
      <c r="B780" s="706">
        <v>31</v>
      </c>
    </row>
    <row r="781" spans="1:2" ht="12" customHeight="1">
      <c r="A781" s="708" t="s">
        <v>3071</v>
      </c>
      <c r="B781" s="706">
        <v>31</v>
      </c>
    </row>
    <row r="782" spans="1:2" ht="12" customHeight="1">
      <c r="A782" s="708" t="s">
        <v>3072</v>
      </c>
      <c r="B782" s="706">
        <v>31</v>
      </c>
    </row>
    <row r="783" spans="1:2" ht="12" customHeight="1">
      <c r="A783" s="708" t="s">
        <v>3073</v>
      </c>
      <c r="B783" s="706">
        <v>31</v>
      </c>
    </row>
    <row r="784" spans="1:2" ht="12" customHeight="1">
      <c r="A784" s="708" t="s">
        <v>3074</v>
      </c>
      <c r="B784" s="706">
        <v>31</v>
      </c>
    </row>
    <row r="785" spans="1:2" ht="12" customHeight="1">
      <c r="A785" s="708" t="s">
        <v>3075</v>
      </c>
      <c r="B785" s="706">
        <v>31</v>
      </c>
    </row>
    <row r="786" spans="1:2" ht="12" customHeight="1">
      <c r="A786" s="708" t="s">
        <v>3076</v>
      </c>
      <c r="B786" s="706">
        <v>31</v>
      </c>
    </row>
    <row r="787" spans="1:2" ht="12" customHeight="1">
      <c r="A787" s="708" t="s">
        <v>3077</v>
      </c>
      <c r="B787" s="706">
        <v>31</v>
      </c>
    </row>
    <row r="788" spans="1:2" ht="12" customHeight="1">
      <c r="A788" s="708" t="s">
        <v>3078</v>
      </c>
      <c r="B788" s="706">
        <v>31</v>
      </c>
    </row>
    <row r="789" spans="1:2" ht="12" customHeight="1">
      <c r="A789" s="708" t="s">
        <v>3079</v>
      </c>
      <c r="B789" s="706">
        <v>31</v>
      </c>
    </row>
    <row r="790" spans="1:2" ht="12" customHeight="1">
      <c r="A790" s="708" t="s">
        <v>3080</v>
      </c>
      <c r="B790" s="706">
        <v>31</v>
      </c>
    </row>
    <row r="791" spans="1:2" ht="12" customHeight="1">
      <c r="A791" s="708" t="s">
        <v>3081</v>
      </c>
      <c r="B791" s="706">
        <v>31</v>
      </c>
    </row>
    <row r="792" spans="1:2" ht="12" customHeight="1">
      <c r="A792" s="708" t="s">
        <v>16</v>
      </c>
      <c r="B792" s="706">
        <v>31</v>
      </c>
    </row>
    <row r="793" spans="1:2" ht="12" customHeight="1">
      <c r="A793" s="708" t="s">
        <v>3082</v>
      </c>
      <c r="B793" s="706">
        <v>31</v>
      </c>
    </row>
    <row r="794" spans="1:2" ht="12" customHeight="1">
      <c r="A794" s="708" t="s">
        <v>3083</v>
      </c>
      <c r="B794" s="706">
        <v>31</v>
      </c>
    </row>
    <row r="795" spans="1:2" ht="12" customHeight="1">
      <c r="A795" s="708" t="s">
        <v>3084</v>
      </c>
      <c r="B795" s="706">
        <v>31</v>
      </c>
    </row>
    <row r="796" spans="1:2" ht="12" customHeight="1">
      <c r="A796" s="708" t="s">
        <v>3085</v>
      </c>
      <c r="B796" s="706">
        <v>31</v>
      </c>
    </row>
    <row r="797" spans="1:2" ht="12" customHeight="1">
      <c r="A797" s="708" t="s">
        <v>3086</v>
      </c>
      <c r="B797" s="706">
        <v>31</v>
      </c>
    </row>
    <row r="798" spans="1:2" ht="12" customHeight="1">
      <c r="A798" s="708" t="s">
        <v>3087</v>
      </c>
      <c r="B798" s="706">
        <v>31</v>
      </c>
    </row>
    <row r="799" spans="1:2" ht="12" customHeight="1">
      <c r="A799" s="708" t="s">
        <v>3088</v>
      </c>
      <c r="B799" s="706">
        <v>31</v>
      </c>
    </row>
    <row r="800" spans="1:2" ht="12" customHeight="1">
      <c r="A800" s="708" t="s">
        <v>3089</v>
      </c>
      <c r="B800" s="706">
        <v>31</v>
      </c>
    </row>
    <row r="801" spans="1:2" ht="12" customHeight="1">
      <c r="A801" s="708" t="s">
        <v>3090</v>
      </c>
      <c r="B801" s="706">
        <v>31</v>
      </c>
    </row>
    <row r="802" spans="1:2" ht="12" customHeight="1">
      <c r="A802" s="708" t="s">
        <v>3091</v>
      </c>
      <c r="B802" s="706">
        <v>31</v>
      </c>
    </row>
    <row r="803" spans="1:2" ht="12" customHeight="1">
      <c r="A803" s="708" t="s">
        <v>3092</v>
      </c>
      <c r="B803" s="706">
        <v>31</v>
      </c>
    </row>
    <row r="804" spans="1:2" ht="12" customHeight="1">
      <c r="A804" s="708" t="s">
        <v>3093</v>
      </c>
      <c r="B804" s="706">
        <v>31</v>
      </c>
    </row>
    <row r="805" spans="1:2" ht="12" customHeight="1">
      <c r="A805" s="708" t="s">
        <v>3094</v>
      </c>
      <c r="B805" s="706">
        <v>31</v>
      </c>
    </row>
    <row r="806" spans="1:2" ht="12" customHeight="1">
      <c r="A806" s="708" t="s">
        <v>3095</v>
      </c>
      <c r="B806" s="706">
        <v>31</v>
      </c>
    </row>
    <row r="807" spans="1:2" ht="12" customHeight="1">
      <c r="A807" s="708" t="s">
        <v>3096</v>
      </c>
      <c r="B807" s="706">
        <v>31</v>
      </c>
    </row>
    <row r="808" spans="1:2" ht="12" customHeight="1">
      <c r="A808" s="708" t="s">
        <v>3097</v>
      </c>
      <c r="B808" s="706">
        <v>31</v>
      </c>
    </row>
    <row r="809" spans="1:2" ht="12" customHeight="1">
      <c r="A809" s="708" t="s">
        <v>3098</v>
      </c>
      <c r="B809" s="706">
        <v>31</v>
      </c>
    </row>
    <row r="810" spans="1:2" ht="12" customHeight="1">
      <c r="A810" s="708" t="s">
        <v>3119</v>
      </c>
      <c r="B810" s="706">
        <v>31</v>
      </c>
    </row>
    <row r="811" spans="1:2" ht="12" customHeight="1">
      <c r="A811" s="708" t="s">
        <v>3108</v>
      </c>
      <c r="B811" s="706">
        <v>31</v>
      </c>
    </row>
    <row r="812" spans="1:2" ht="12" customHeight="1">
      <c r="A812" s="708" t="s">
        <v>3109</v>
      </c>
      <c r="B812" s="706">
        <v>31</v>
      </c>
    </row>
    <row r="813" spans="1:2" ht="12" customHeight="1">
      <c r="A813" s="708" t="s">
        <v>3144</v>
      </c>
      <c r="B813" s="706">
        <v>31</v>
      </c>
    </row>
    <row r="814" spans="1:2" ht="12" customHeight="1">
      <c r="A814" s="708" t="s">
        <v>3110</v>
      </c>
      <c r="B814" s="706">
        <v>31</v>
      </c>
    </row>
    <row r="815" spans="1:2" ht="12" customHeight="1">
      <c r="A815" s="708" t="s">
        <v>3111</v>
      </c>
      <c r="B815" s="706">
        <v>31</v>
      </c>
    </row>
    <row r="816" spans="1:2" ht="12" customHeight="1">
      <c r="A816" s="708" t="s">
        <v>3112</v>
      </c>
      <c r="B816" s="706">
        <v>31</v>
      </c>
    </row>
    <row r="817" spans="1:2" ht="12" customHeight="1">
      <c r="A817" s="708" t="s">
        <v>2693</v>
      </c>
      <c r="B817" s="706">
        <v>31</v>
      </c>
    </row>
    <row r="818" spans="1:2" ht="12" customHeight="1">
      <c r="A818" s="708" t="s">
        <v>3113</v>
      </c>
      <c r="B818" s="706">
        <v>31</v>
      </c>
    </row>
    <row r="819" spans="1:2" ht="12" customHeight="1">
      <c r="A819" s="708" t="s">
        <v>3114</v>
      </c>
      <c r="B819" s="706">
        <v>31</v>
      </c>
    </row>
    <row r="820" spans="1:2" ht="12" customHeight="1">
      <c r="A820" s="708" t="s">
        <v>3115</v>
      </c>
      <c r="B820" s="706">
        <v>31</v>
      </c>
    </row>
    <row r="821" spans="1:2" ht="12" customHeight="1">
      <c r="A821" s="708" t="s">
        <v>3116</v>
      </c>
      <c r="B821" s="706">
        <v>31</v>
      </c>
    </row>
    <row r="822" spans="1:2" ht="12" customHeight="1">
      <c r="A822" s="708" t="s">
        <v>3117</v>
      </c>
      <c r="B822" s="706">
        <v>31</v>
      </c>
    </row>
    <row r="823" spans="1:2" ht="12" customHeight="1">
      <c r="A823" s="708" t="s">
        <v>3118</v>
      </c>
      <c r="B823" s="706">
        <v>31</v>
      </c>
    </row>
  </sheetData>
  <autoFilter ref="A1:B486"/>
  <phoneticPr fontId="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M1201"/>
  <sheetViews>
    <sheetView showGridLines="0" topLeftCell="A1172" workbookViewId="0">
      <selection activeCell="N1192" sqref="N1192"/>
    </sheetView>
  </sheetViews>
  <sheetFormatPr defaultColWidth="10.5546875" defaultRowHeight="11.4"/>
  <cols>
    <col min="1" max="16384" width="10.5546875" style="710"/>
  </cols>
  <sheetData>
    <row r="1" spans="1:13">
      <c r="A1" s="712" t="s">
        <v>20</v>
      </c>
      <c r="B1" s="712" t="s">
        <v>21</v>
      </c>
      <c r="C1" s="712" t="s">
        <v>22</v>
      </c>
      <c r="D1" s="712" t="s">
        <v>23</v>
      </c>
      <c r="E1" s="712" t="s">
        <v>24</v>
      </c>
      <c r="F1" s="713" t="s">
        <v>3510</v>
      </c>
      <c r="G1" s="713" t="s">
        <v>3514</v>
      </c>
      <c r="H1" s="713" t="s">
        <v>3511</v>
      </c>
      <c r="I1" s="713" t="s">
        <v>3512</v>
      </c>
      <c r="J1" s="713" t="s">
        <v>3513</v>
      </c>
      <c r="K1" s="714" t="s">
        <v>3507</v>
      </c>
      <c r="L1" s="715" t="s">
        <v>3508</v>
      </c>
      <c r="M1" s="715" t="s">
        <v>3509</v>
      </c>
    </row>
    <row r="2" spans="1:13">
      <c r="A2" s="711" t="s">
        <v>2706</v>
      </c>
      <c r="B2" s="711" t="s">
        <v>2420</v>
      </c>
      <c r="C2" s="711"/>
      <c r="D2" s="711"/>
      <c r="E2" s="711"/>
      <c r="F2" s="711">
        <v>31</v>
      </c>
      <c r="G2" s="711">
        <v>9</v>
      </c>
      <c r="H2" s="711"/>
      <c r="I2" s="711"/>
      <c r="J2" s="711"/>
      <c r="K2" s="711">
        <v>2</v>
      </c>
      <c r="L2" s="711">
        <v>31</v>
      </c>
      <c r="M2" s="711" t="s">
        <v>3146</v>
      </c>
    </row>
    <row r="3" spans="1:13">
      <c r="A3" s="711" t="s">
        <v>2393</v>
      </c>
      <c r="B3" s="711" t="s">
        <v>2420</v>
      </c>
      <c r="C3" s="711" t="s">
        <v>2440</v>
      </c>
      <c r="D3" s="711"/>
      <c r="E3" s="711"/>
      <c r="F3" s="711">
        <v>4</v>
      </c>
      <c r="G3" s="711">
        <v>9</v>
      </c>
      <c r="H3" s="711">
        <v>14</v>
      </c>
      <c r="I3" s="711"/>
      <c r="J3" s="711"/>
      <c r="K3" s="711">
        <v>3</v>
      </c>
      <c r="L3" s="711">
        <v>4</v>
      </c>
      <c r="M3" s="711" t="s">
        <v>3145</v>
      </c>
    </row>
    <row r="4" spans="1:13">
      <c r="A4" s="711" t="s">
        <v>2511</v>
      </c>
      <c r="B4" s="711"/>
      <c r="C4" s="711"/>
      <c r="D4" s="711"/>
      <c r="E4" s="711"/>
      <c r="F4" s="711">
        <v>31</v>
      </c>
      <c r="G4" s="711"/>
      <c r="H4" s="711"/>
      <c r="I4" s="711"/>
      <c r="J4" s="711"/>
      <c r="K4" s="711">
        <v>1</v>
      </c>
      <c r="L4" s="711">
        <v>31</v>
      </c>
      <c r="M4" s="711" t="s">
        <v>41</v>
      </c>
    </row>
    <row r="5" spans="1:13">
      <c r="A5" s="711" t="s">
        <v>3099</v>
      </c>
      <c r="B5" s="711"/>
      <c r="C5" s="711"/>
      <c r="D5" s="711"/>
      <c r="E5" s="711"/>
      <c r="F5" s="711">
        <v>3</v>
      </c>
      <c r="G5" s="711"/>
      <c r="H5" s="711"/>
      <c r="I5" s="711"/>
      <c r="J5" s="711"/>
      <c r="K5" s="711">
        <v>1</v>
      </c>
      <c r="L5" s="711">
        <v>3</v>
      </c>
      <c r="M5" s="711" t="s">
        <v>48</v>
      </c>
    </row>
    <row r="6" spans="1:13">
      <c r="A6" s="711" t="s">
        <v>2482</v>
      </c>
      <c r="B6" s="711" t="s">
        <v>2362</v>
      </c>
      <c r="C6" s="711" t="s">
        <v>3099</v>
      </c>
      <c r="D6" s="711"/>
      <c r="E6" s="711"/>
      <c r="F6" s="711">
        <v>31</v>
      </c>
      <c r="G6" s="711">
        <v>1</v>
      </c>
      <c r="H6" s="711">
        <v>3</v>
      </c>
      <c r="I6" s="711"/>
      <c r="J6" s="711"/>
      <c r="K6" s="711">
        <v>3</v>
      </c>
      <c r="L6" s="711">
        <v>31</v>
      </c>
      <c r="M6" s="711" t="s">
        <v>3147</v>
      </c>
    </row>
    <row r="7" spans="1:13">
      <c r="A7" s="711" t="s">
        <v>2950</v>
      </c>
      <c r="B7" s="711" t="s">
        <v>3099</v>
      </c>
      <c r="C7" s="711" t="s">
        <v>3100</v>
      </c>
      <c r="D7" s="711"/>
      <c r="E7" s="711"/>
      <c r="F7" s="711">
        <v>31</v>
      </c>
      <c r="G7" s="711">
        <v>3</v>
      </c>
      <c r="H7" s="711">
        <v>5</v>
      </c>
      <c r="I7" s="711"/>
      <c r="J7" s="711"/>
      <c r="K7" s="711">
        <v>3</v>
      </c>
      <c r="L7" s="711">
        <v>31</v>
      </c>
      <c r="M7" s="711" t="s">
        <v>3148</v>
      </c>
    </row>
    <row r="8" spans="1:13">
      <c r="A8" s="711" t="s">
        <v>2393</v>
      </c>
      <c r="B8" s="711" t="s">
        <v>3099</v>
      </c>
      <c r="C8" s="711" t="s">
        <v>3101</v>
      </c>
      <c r="D8" s="711"/>
      <c r="E8" s="711"/>
      <c r="F8" s="711">
        <v>4</v>
      </c>
      <c r="G8" s="711">
        <v>3</v>
      </c>
      <c r="H8" s="711">
        <v>6</v>
      </c>
      <c r="I8" s="711"/>
      <c r="J8" s="711"/>
      <c r="K8" s="711">
        <v>3</v>
      </c>
      <c r="L8" s="711">
        <v>4</v>
      </c>
      <c r="M8" s="711" t="s">
        <v>3149</v>
      </c>
    </row>
    <row r="9" spans="1:13">
      <c r="A9" s="711" t="s">
        <v>2482</v>
      </c>
      <c r="B9" s="711"/>
      <c r="C9" s="711"/>
      <c r="D9" s="711"/>
      <c r="E9" s="711"/>
      <c r="F9" s="711">
        <v>31</v>
      </c>
      <c r="G9" s="711"/>
      <c r="H9" s="711"/>
      <c r="I9" s="711"/>
      <c r="J9" s="711"/>
      <c r="K9" s="711">
        <v>1</v>
      </c>
      <c r="L9" s="711">
        <v>31</v>
      </c>
      <c r="M9" s="711" t="s">
        <v>41</v>
      </c>
    </row>
    <row r="10" spans="1:13">
      <c r="A10" s="711" t="s">
        <v>2393</v>
      </c>
      <c r="B10" s="711"/>
      <c r="C10" s="711"/>
      <c r="D10" s="711"/>
      <c r="E10" s="711"/>
      <c r="F10" s="711">
        <v>4</v>
      </c>
      <c r="G10" s="711"/>
      <c r="H10" s="711"/>
      <c r="I10" s="711"/>
      <c r="J10" s="711"/>
      <c r="K10" s="711">
        <v>1</v>
      </c>
      <c r="L10" s="711">
        <v>4</v>
      </c>
      <c r="M10" s="711" t="s">
        <v>39</v>
      </c>
    </row>
    <row r="11" spans="1:13">
      <c r="A11" s="711" t="s">
        <v>2362</v>
      </c>
      <c r="B11" s="711" t="s">
        <v>2393</v>
      </c>
      <c r="C11" s="711" t="s">
        <v>3099</v>
      </c>
      <c r="D11" s="711"/>
      <c r="E11" s="711"/>
      <c r="F11" s="711">
        <v>1</v>
      </c>
      <c r="G11" s="711">
        <v>4</v>
      </c>
      <c r="H11" s="711">
        <v>3</v>
      </c>
      <c r="I11" s="711"/>
      <c r="J11" s="711"/>
      <c r="K11" s="711">
        <v>3</v>
      </c>
      <c r="L11" s="711">
        <v>1</v>
      </c>
      <c r="M11" s="711" t="s">
        <v>3150</v>
      </c>
    </row>
    <row r="12" spans="1:13">
      <c r="A12" s="711" t="s">
        <v>2362</v>
      </c>
      <c r="B12" s="711" t="s">
        <v>2482</v>
      </c>
      <c r="C12" s="711"/>
      <c r="D12" s="711"/>
      <c r="E12" s="711"/>
      <c r="F12" s="711">
        <v>1</v>
      </c>
      <c r="G12" s="711">
        <v>31</v>
      </c>
      <c r="H12" s="711"/>
      <c r="I12" s="711"/>
      <c r="J12" s="711"/>
      <c r="K12" s="711">
        <v>2</v>
      </c>
      <c r="L12" s="711">
        <v>1</v>
      </c>
      <c r="M12" s="711" t="s">
        <v>3151</v>
      </c>
    </row>
    <row r="13" spans="1:13">
      <c r="A13" s="711" t="s">
        <v>3099</v>
      </c>
      <c r="B13" s="711"/>
      <c r="C13" s="711"/>
      <c r="D13" s="711"/>
      <c r="E13" s="711"/>
      <c r="F13" s="711">
        <v>3</v>
      </c>
      <c r="G13" s="711"/>
      <c r="H13" s="711"/>
      <c r="I13" s="711"/>
      <c r="J13" s="711"/>
      <c r="K13" s="711">
        <v>1</v>
      </c>
      <c r="L13" s="711">
        <v>3</v>
      </c>
      <c r="M13" s="711" t="s">
        <v>48</v>
      </c>
    </row>
    <row r="14" spans="1:13">
      <c r="A14" s="711" t="s">
        <v>2362</v>
      </c>
      <c r="B14" s="711"/>
      <c r="C14" s="711"/>
      <c r="D14" s="711"/>
      <c r="E14" s="711"/>
      <c r="F14" s="711">
        <v>1</v>
      </c>
      <c r="G14" s="711"/>
      <c r="H14" s="711"/>
      <c r="I14" s="711"/>
      <c r="J14" s="711"/>
      <c r="K14" s="711">
        <v>1</v>
      </c>
      <c r="L14" s="711">
        <v>1</v>
      </c>
      <c r="M14" s="711" t="s">
        <v>26</v>
      </c>
    </row>
    <row r="15" spans="1:13">
      <c r="A15" s="711" t="s">
        <v>2362</v>
      </c>
      <c r="B15" s="711"/>
      <c r="C15" s="711"/>
      <c r="D15" s="711"/>
      <c r="E15" s="711"/>
      <c r="F15" s="711">
        <v>1</v>
      </c>
      <c r="G15" s="711"/>
      <c r="H15" s="711"/>
      <c r="I15" s="711"/>
      <c r="J15" s="711"/>
      <c r="K15" s="711">
        <v>1</v>
      </c>
      <c r="L15" s="711">
        <v>1</v>
      </c>
      <c r="M15" s="711" t="s">
        <v>26</v>
      </c>
    </row>
    <row r="16" spans="1:13">
      <c r="A16" s="711" t="s">
        <v>144</v>
      </c>
      <c r="B16" s="711" t="s">
        <v>2482</v>
      </c>
      <c r="C16" s="711" t="s">
        <v>2409</v>
      </c>
      <c r="D16" s="711"/>
      <c r="E16" s="711"/>
      <c r="F16" s="711">
        <v>31</v>
      </c>
      <c r="G16" s="711">
        <v>31</v>
      </c>
      <c r="H16" s="711">
        <v>7</v>
      </c>
      <c r="I16" s="711"/>
      <c r="J16" s="711"/>
      <c r="K16" s="711">
        <v>3</v>
      </c>
      <c r="L16" s="711">
        <v>31</v>
      </c>
      <c r="M16" s="711" t="s">
        <v>3343</v>
      </c>
    </row>
    <row r="17" spans="1:13">
      <c r="A17" s="711" t="s">
        <v>2617</v>
      </c>
      <c r="B17" s="711"/>
      <c r="C17" s="711"/>
      <c r="D17" s="711"/>
      <c r="E17" s="711"/>
      <c r="F17" s="711">
        <v>31</v>
      </c>
      <c r="G17" s="711"/>
      <c r="H17" s="711"/>
      <c r="I17" s="711"/>
      <c r="J17" s="711"/>
      <c r="K17" s="711">
        <v>1</v>
      </c>
      <c r="L17" s="711">
        <v>31</v>
      </c>
      <c r="M17" s="711" t="s">
        <v>41</v>
      </c>
    </row>
    <row r="18" spans="1:13">
      <c r="A18" s="711" t="s">
        <v>2420</v>
      </c>
      <c r="B18" s="711" t="s">
        <v>2393</v>
      </c>
      <c r="C18" s="711"/>
      <c r="D18" s="711"/>
      <c r="E18" s="711"/>
      <c r="F18" s="711">
        <v>9</v>
      </c>
      <c r="G18" s="711">
        <v>4</v>
      </c>
      <c r="H18" s="711"/>
      <c r="I18" s="711"/>
      <c r="J18" s="711"/>
      <c r="K18" s="711">
        <v>2</v>
      </c>
      <c r="L18" s="711">
        <v>9</v>
      </c>
      <c r="M18" s="711" t="s">
        <v>3152</v>
      </c>
    </row>
    <row r="19" spans="1:13">
      <c r="A19" s="711" t="s">
        <v>3101</v>
      </c>
      <c r="B19" s="711" t="s">
        <v>3099</v>
      </c>
      <c r="C19" s="711"/>
      <c r="D19" s="711"/>
      <c r="E19" s="711"/>
      <c r="F19" s="711">
        <v>6</v>
      </c>
      <c r="G19" s="711">
        <v>3</v>
      </c>
      <c r="H19" s="711"/>
      <c r="I19" s="711"/>
      <c r="J19" s="711"/>
      <c r="K19" s="711">
        <v>2</v>
      </c>
      <c r="L19" s="711">
        <v>6</v>
      </c>
      <c r="M19" s="711" t="s">
        <v>3153</v>
      </c>
    </row>
    <row r="20" spans="1:13">
      <c r="A20" s="711" t="s">
        <v>2362</v>
      </c>
      <c r="B20" s="711"/>
      <c r="C20" s="711"/>
      <c r="D20" s="711"/>
      <c r="E20" s="711"/>
      <c r="F20" s="711">
        <v>1</v>
      </c>
      <c r="G20" s="711"/>
      <c r="H20" s="711"/>
      <c r="I20" s="711"/>
      <c r="J20" s="711"/>
      <c r="K20" s="711">
        <v>1</v>
      </c>
      <c r="L20" s="711">
        <v>1</v>
      </c>
      <c r="M20" s="711" t="s">
        <v>26</v>
      </c>
    </row>
    <row r="21" spans="1:13">
      <c r="A21" s="711" t="s">
        <v>2362</v>
      </c>
      <c r="B21" s="711"/>
      <c r="C21" s="711"/>
      <c r="D21" s="711"/>
      <c r="E21" s="711"/>
      <c r="F21" s="711">
        <v>1</v>
      </c>
      <c r="G21" s="711"/>
      <c r="H21" s="711"/>
      <c r="I21" s="711"/>
      <c r="J21" s="711"/>
      <c r="K21" s="711">
        <v>1</v>
      </c>
      <c r="L21" s="711">
        <v>1</v>
      </c>
      <c r="M21" s="711" t="s">
        <v>26</v>
      </c>
    </row>
    <row r="22" spans="1:13">
      <c r="A22" s="711" t="s">
        <v>3101</v>
      </c>
      <c r="B22" s="711" t="s">
        <v>3099</v>
      </c>
      <c r="C22" s="711"/>
      <c r="D22" s="711"/>
      <c r="E22" s="711"/>
      <c r="F22" s="711">
        <v>6</v>
      </c>
      <c r="G22" s="711">
        <v>3</v>
      </c>
      <c r="H22" s="711"/>
      <c r="I22" s="711"/>
      <c r="J22" s="711"/>
      <c r="K22" s="711">
        <v>2</v>
      </c>
      <c r="L22" s="711">
        <v>6</v>
      </c>
      <c r="M22" s="711" t="s">
        <v>3153</v>
      </c>
    </row>
    <row r="23" spans="1:13">
      <c r="A23" s="711" t="s">
        <v>2411</v>
      </c>
      <c r="B23" s="711"/>
      <c r="C23" s="711"/>
      <c r="D23" s="711"/>
      <c r="E23" s="711"/>
      <c r="F23" s="711">
        <v>8</v>
      </c>
      <c r="G23" s="711"/>
      <c r="H23" s="711"/>
      <c r="I23" s="711"/>
      <c r="J23" s="711"/>
      <c r="K23" s="711">
        <v>1</v>
      </c>
      <c r="L23" s="711">
        <v>8</v>
      </c>
      <c r="M23" s="711" t="s">
        <v>51</v>
      </c>
    </row>
    <row r="24" spans="1:13">
      <c r="A24" s="711" t="s">
        <v>2362</v>
      </c>
      <c r="B24" s="711" t="s">
        <v>2420</v>
      </c>
      <c r="C24" s="711" t="s">
        <v>2393</v>
      </c>
      <c r="D24" s="711" t="s">
        <v>3099</v>
      </c>
      <c r="E24" s="711" t="s">
        <v>2377</v>
      </c>
      <c r="F24" s="711">
        <v>1</v>
      </c>
      <c r="G24" s="711">
        <v>9</v>
      </c>
      <c r="H24" s="711">
        <v>4</v>
      </c>
      <c r="I24" s="711">
        <v>3</v>
      </c>
      <c r="J24" s="711">
        <v>2</v>
      </c>
      <c r="K24" s="711">
        <v>5</v>
      </c>
      <c r="L24" s="711">
        <v>1</v>
      </c>
      <c r="M24" s="711" t="s">
        <v>3412</v>
      </c>
    </row>
    <row r="25" spans="1:13">
      <c r="A25" s="711" t="s">
        <v>3101</v>
      </c>
      <c r="B25" s="711" t="s">
        <v>3099</v>
      </c>
      <c r="C25" s="711"/>
      <c r="D25" s="711"/>
      <c r="E25" s="711"/>
      <c r="F25" s="711">
        <v>6</v>
      </c>
      <c r="G25" s="711">
        <v>3</v>
      </c>
      <c r="H25" s="711"/>
      <c r="I25" s="711"/>
      <c r="J25" s="711"/>
      <c r="K25" s="711">
        <v>2</v>
      </c>
      <c r="L25" s="711">
        <v>6</v>
      </c>
      <c r="M25" s="711" t="s">
        <v>3153</v>
      </c>
    </row>
    <row r="26" spans="1:13">
      <c r="A26" s="711" t="s">
        <v>2969</v>
      </c>
      <c r="B26" s="711"/>
      <c r="C26" s="711"/>
      <c r="D26" s="711"/>
      <c r="E26" s="711"/>
      <c r="F26" s="711">
        <v>31</v>
      </c>
      <c r="G26" s="711"/>
      <c r="H26" s="711"/>
      <c r="I26" s="711"/>
      <c r="J26" s="711"/>
      <c r="K26" s="711">
        <v>1</v>
      </c>
      <c r="L26" s="711">
        <v>31</v>
      </c>
      <c r="M26" s="711" t="s">
        <v>41</v>
      </c>
    </row>
    <row r="27" spans="1:13">
      <c r="A27" s="711" t="s">
        <v>2438</v>
      </c>
      <c r="B27" s="711"/>
      <c r="C27" s="711"/>
      <c r="D27" s="711"/>
      <c r="E27" s="711"/>
      <c r="F27" s="711">
        <v>13</v>
      </c>
      <c r="G27" s="711"/>
      <c r="H27" s="711"/>
      <c r="I27" s="711"/>
      <c r="J27" s="711"/>
      <c r="K27" s="711">
        <v>1</v>
      </c>
      <c r="L27" s="711">
        <v>13</v>
      </c>
      <c r="M27" s="711" t="s">
        <v>50</v>
      </c>
    </row>
    <row r="28" spans="1:13">
      <c r="A28" s="711" t="s">
        <v>3101</v>
      </c>
      <c r="B28" s="711" t="s">
        <v>3099</v>
      </c>
      <c r="C28" s="711"/>
      <c r="D28" s="711"/>
      <c r="E28" s="711"/>
      <c r="F28" s="711">
        <v>6</v>
      </c>
      <c r="G28" s="711">
        <v>3</v>
      </c>
      <c r="H28" s="711"/>
      <c r="I28" s="711"/>
      <c r="J28" s="711"/>
      <c r="K28" s="711">
        <v>2</v>
      </c>
      <c r="L28" s="711">
        <v>6</v>
      </c>
      <c r="M28" s="711" t="s">
        <v>3153</v>
      </c>
    </row>
    <row r="29" spans="1:13">
      <c r="A29" s="711" t="s">
        <v>2393</v>
      </c>
      <c r="B29" s="711" t="s">
        <v>2362</v>
      </c>
      <c r="C29" s="711" t="s">
        <v>2409</v>
      </c>
      <c r="D29" s="711"/>
      <c r="E29" s="711"/>
      <c r="F29" s="711">
        <v>4</v>
      </c>
      <c r="G29" s="711">
        <v>1</v>
      </c>
      <c r="H29" s="711">
        <v>7</v>
      </c>
      <c r="I29" s="711"/>
      <c r="J29" s="711"/>
      <c r="K29" s="711">
        <v>3</v>
      </c>
      <c r="L29" s="711">
        <v>4</v>
      </c>
      <c r="M29" s="711" t="s">
        <v>3154</v>
      </c>
    </row>
    <row r="30" spans="1:13">
      <c r="A30" s="711" t="s">
        <v>2393</v>
      </c>
      <c r="B30" s="711" t="s">
        <v>2440</v>
      </c>
      <c r="C30" s="711" t="s">
        <v>2362</v>
      </c>
      <c r="D30" s="711"/>
      <c r="E30" s="711"/>
      <c r="F30" s="711">
        <v>4</v>
      </c>
      <c r="G30" s="711">
        <v>14</v>
      </c>
      <c r="H30" s="711">
        <v>1</v>
      </c>
      <c r="I30" s="711"/>
      <c r="J30" s="711"/>
      <c r="K30" s="711">
        <v>3</v>
      </c>
      <c r="L30" s="711">
        <v>4</v>
      </c>
      <c r="M30" s="711" t="s">
        <v>3155</v>
      </c>
    </row>
    <row r="31" spans="1:13">
      <c r="A31" s="711" t="s">
        <v>3099</v>
      </c>
      <c r="B31" s="711" t="s">
        <v>2377</v>
      </c>
      <c r="C31" s="711" t="s">
        <v>2483</v>
      </c>
      <c r="D31" s="711"/>
      <c r="E31" s="711"/>
      <c r="F31" s="711">
        <v>3</v>
      </c>
      <c r="G31" s="711">
        <v>2</v>
      </c>
      <c r="H31" s="711">
        <v>31</v>
      </c>
      <c r="I31" s="711"/>
      <c r="J31" s="711"/>
      <c r="K31" s="711">
        <v>3</v>
      </c>
      <c r="L31" s="711">
        <v>3</v>
      </c>
      <c r="M31" s="711" t="s">
        <v>3156</v>
      </c>
    </row>
    <row r="32" spans="1:13">
      <c r="A32" s="711" t="s">
        <v>2362</v>
      </c>
      <c r="B32" s="711" t="s">
        <v>2393</v>
      </c>
      <c r="C32" s="711" t="s">
        <v>2377</v>
      </c>
      <c r="D32" s="711" t="s">
        <v>3099</v>
      </c>
      <c r="E32" s="711" t="s">
        <v>2425</v>
      </c>
      <c r="F32" s="711">
        <v>1</v>
      </c>
      <c r="G32" s="711">
        <v>4</v>
      </c>
      <c r="H32" s="711">
        <v>2</v>
      </c>
      <c r="I32" s="711">
        <v>3</v>
      </c>
      <c r="J32" s="711">
        <v>9</v>
      </c>
      <c r="K32" s="711">
        <v>5</v>
      </c>
      <c r="L32" s="711">
        <v>1</v>
      </c>
      <c r="M32" s="711" t="s">
        <v>3413</v>
      </c>
    </row>
    <row r="33" spans="1:13">
      <c r="A33" s="711" t="s">
        <v>2362</v>
      </c>
      <c r="B33" s="711" t="s">
        <v>3099</v>
      </c>
      <c r="C33" s="711" t="s">
        <v>3100</v>
      </c>
      <c r="D33" s="711" t="s">
        <v>2378</v>
      </c>
      <c r="E33" s="711" t="s">
        <v>2434</v>
      </c>
      <c r="F33" s="711">
        <v>1</v>
      </c>
      <c r="G33" s="711">
        <v>3</v>
      </c>
      <c r="H33" s="711">
        <v>5</v>
      </c>
      <c r="I33" s="711">
        <v>2</v>
      </c>
      <c r="J33" s="711">
        <v>11</v>
      </c>
      <c r="K33" s="711">
        <v>5</v>
      </c>
      <c r="L33" s="711">
        <v>1</v>
      </c>
      <c r="M33" s="711" t="s">
        <v>3414</v>
      </c>
    </row>
    <row r="34" spans="1:13">
      <c r="A34" s="711" t="s">
        <v>2362</v>
      </c>
      <c r="B34" s="711" t="s">
        <v>2393</v>
      </c>
      <c r="C34" s="711"/>
      <c r="D34" s="711"/>
      <c r="E34" s="711"/>
      <c r="F34" s="711">
        <v>1</v>
      </c>
      <c r="G34" s="711">
        <v>4</v>
      </c>
      <c r="H34" s="711"/>
      <c r="I34" s="711"/>
      <c r="J34" s="711"/>
      <c r="K34" s="711">
        <v>2</v>
      </c>
      <c r="L34" s="711">
        <v>1</v>
      </c>
      <c r="M34" s="711" t="s">
        <v>42</v>
      </c>
    </row>
    <row r="35" spans="1:13">
      <c r="A35" s="711" t="s">
        <v>2362</v>
      </c>
      <c r="B35" s="711" t="s">
        <v>2393</v>
      </c>
      <c r="C35" s="711" t="s">
        <v>2409</v>
      </c>
      <c r="D35" s="711"/>
      <c r="E35" s="711"/>
      <c r="F35" s="711">
        <v>1</v>
      </c>
      <c r="G35" s="711">
        <v>4</v>
      </c>
      <c r="H35" s="711">
        <v>7</v>
      </c>
      <c r="I35" s="711"/>
      <c r="J35" s="711"/>
      <c r="K35" s="711">
        <v>3</v>
      </c>
      <c r="L35" s="711">
        <v>1</v>
      </c>
      <c r="M35" s="711" t="s">
        <v>46</v>
      </c>
    </row>
    <row r="36" spans="1:13">
      <c r="A36" s="711" t="s">
        <v>2362</v>
      </c>
      <c r="B36" s="711" t="s">
        <v>3023</v>
      </c>
      <c r="C36" s="711" t="s">
        <v>2588</v>
      </c>
      <c r="D36" s="711"/>
      <c r="E36" s="711"/>
      <c r="F36" s="711">
        <v>1</v>
      </c>
      <c r="G36" s="711">
        <v>31</v>
      </c>
      <c r="H36" s="711">
        <v>31</v>
      </c>
      <c r="I36" s="711"/>
      <c r="J36" s="711"/>
      <c r="K36" s="711">
        <v>3</v>
      </c>
      <c r="L36" s="711">
        <v>1</v>
      </c>
      <c r="M36" s="711" t="s">
        <v>3151</v>
      </c>
    </row>
    <row r="37" spans="1:13">
      <c r="A37" s="711" t="s">
        <v>2362</v>
      </c>
      <c r="B37" s="711" t="s">
        <v>2409</v>
      </c>
      <c r="C37" s="711" t="s">
        <v>2393</v>
      </c>
      <c r="D37" s="711"/>
      <c r="E37" s="711"/>
      <c r="F37" s="711">
        <v>1</v>
      </c>
      <c r="G37" s="711">
        <v>7</v>
      </c>
      <c r="H37" s="711">
        <v>4</v>
      </c>
      <c r="I37" s="711"/>
      <c r="J37" s="711"/>
      <c r="K37" s="711">
        <v>3</v>
      </c>
      <c r="L37" s="711">
        <v>1</v>
      </c>
      <c r="M37" s="711" t="s">
        <v>3157</v>
      </c>
    </row>
    <row r="38" spans="1:13">
      <c r="A38" s="711" t="s">
        <v>2362</v>
      </c>
      <c r="B38" s="711" t="s">
        <v>2393</v>
      </c>
      <c r="C38" s="711"/>
      <c r="D38" s="711"/>
      <c r="E38" s="711"/>
      <c r="F38" s="711">
        <v>1</v>
      </c>
      <c r="G38" s="711">
        <v>4</v>
      </c>
      <c r="H38" s="711"/>
      <c r="I38" s="711"/>
      <c r="J38" s="711"/>
      <c r="K38" s="711">
        <v>2</v>
      </c>
      <c r="L38" s="711">
        <v>1</v>
      </c>
      <c r="M38" s="711" t="s">
        <v>42</v>
      </c>
    </row>
    <row r="39" spans="1:13">
      <c r="A39" s="711" t="s">
        <v>2362</v>
      </c>
      <c r="B39" s="711"/>
      <c r="C39" s="711"/>
      <c r="D39" s="711"/>
      <c r="E39" s="711"/>
      <c r="F39" s="711">
        <v>1</v>
      </c>
      <c r="G39" s="711"/>
      <c r="H39" s="711"/>
      <c r="I39" s="711"/>
      <c r="J39" s="711"/>
      <c r="K39" s="711">
        <v>1</v>
      </c>
      <c r="L39" s="711">
        <v>1</v>
      </c>
      <c r="M39" s="711" t="s">
        <v>26</v>
      </c>
    </row>
    <row r="40" spans="1:13">
      <c r="A40" s="711" t="s">
        <v>2362</v>
      </c>
      <c r="B40" s="711" t="s">
        <v>3100</v>
      </c>
      <c r="C40" s="711" t="s">
        <v>2393</v>
      </c>
      <c r="D40" s="711" t="s">
        <v>2464</v>
      </c>
      <c r="E40" s="711"/>
      <c r="F40" s="711">
        <v>1</v>
      </c>
      <c r="G40" s="711">
        <v>5</v>
      </c>
      <c r="H40" s="711">
        <v>4</v>
      </c>
      <c r="I40" s="711">
        <v>25</v>
      </c>
      <c r="J40" s="711"/>
      <c r="K40" s="711">
        <v>4</v>
      </c>
      <c r="L40" s="711">
        <v>1</v>
      </c>
      <c r="M40" s="711" t="s">
        <v>3158</v>
      </c>
    </row>
    <row r="41" spans="1:13">
      <c r="A41" s="711" t="s">
        <v>2379</v>
      </c>
      <c r="B41" s="711" t="s">
        <v>2362</v>
      </c>
      <c r="C41" s="711" t="s">
        <v>3099</v>
      </c>
      <c r="D41" s="711"/>
      <c r="E41" s="711"/>
      <c r="F41" s="711">
        <v>2</v>
      </c>
      <c r="G41" s="711">
        <v>1</v>
      </c>
      <c r="H41" s="711">
        <v>3</v>
      </c>
      <c r="I41" s="711"/>
      <c r="J41" s="711"/>
      <c r="K41" s="711">
        <v>3</v>
      </c>
      <c r="L41" s="711">
        <v>2</v>
      </c>
      <c r="M41" s="711" t="s">
        <v>3159</v>
      </c>
    </row>
    <row r="42" spans="1:13">
      <c r="A42" s="711" t="s">
        <v>2362</v>
      </c>
      <c r="B42" s="711"/>
      <c r="C42" s="711"/>
      <c r="D42" s="711"/>
      <c r="E42" s="711"/>
      <c r="F42" s="711">
        <v>1</v>
      </c>
      <c r="G42" s="711"/>
      <c r="H42" s="711"/>
      <c r="I42" s="711"/>
      <c r="J42" s="711"/>
      <c r="K42" s="711">
        <v>1</v>
      </c>
      <c r="L42" s="711">
        <v>1</v>
      </c>
      <c r="M42" s="711" t="s">
        <v>26</v>
      </c>
    </row>
    <row r="43" spans="1:13">
      <c r="A43" s="711" t="s">
        <v>2362</v>
      </c>
      <c r="B43" s="711" t="s">
        <v>3099</v>
      </c>
      <c r="C43" s="711"/>
      <c r="D43" s="711"/>
      <c r="E43" s="711"/>
      <c r="F43" s="711">
        <v>1</v>
      </c>
      <c r="G43" s="711">
        <v>3</v>
      </c>
      <c r="H43" s="711"/>
      <c r="I43" s="711"/>
      <c r="J43" s="711"/>
      <c r="K43" s="711">
        <v>2</v>
      </c>
      <c r="L43" s="711">
        <v>1</v>
      </c>
      <c r="M43" s="711" t="s">
        <v>43</v>
      </c>
    </row>
    <row r="44" spans="1:13">
      <c r="A44" s="711" t="s">
        <v>2362</v>
      </c>
      <c r="B44" s="711" t="s">
        <v>2393</v>
      </c>
      <c r="C44" s="711"/>
      <c r="D44" s="711"/>
      <c r="E44" s="711"/>
      <c r="F44" s="711">
        <v>1</v>
      </c>
      <c r="G44" s="711">
        <v>4</v>
      </c>
      <c r="H44" s="711"/>
      <c r="I44" s="711"/>
      <c r="J44" s="711"/>
      <c r="K44" s="711">
        <v>2</v>
      </c>
      <c r="L44" s="711">
        <v>1</v>
      </c>
      <c r="M44" s="711" t="s">
        <v>42</v>
      </c>
    </row>
    <row r="45" spans="1:13">
      <c r="A45" s="711" t="s">
        <v>3100</v>
      </c>
      <c r="B45" s="711" t="s">
        <v>2377</v>
      </c>
      <c r="C45" s="711"/>
      <c r="D45" s="711"/>
      <c r="E45" s="711"/>
      <c r="F45" s="711">
        <v>5</v>
      </c>
      <c r="G45" s="711">
        <v>2</v>
      </c>
      <c r="H45" s="711"/>
      <c r="I45" s="711"/>
      <c r="J45" s="711"/>
      <c r="K45" s="711">
        <v>2</v>
      </c>
      <c r="L45" s="711">
        <v>5</v>
      </c>
      <c r="M45" s="711" t="s">
        <v>3160</v>
      </c>
    </row>
    <row r="46" spans="1:13">
      <c r="A46" s="711" t="s">
        <v>2362</v>
      </c>
      <c r="B46" s="711" t="s">
        <v>3099</v>
      </c>
      <c r="C46" s="711"/>
      <c r="D46" s="711"/>
      <c r="E46" s="711"/>
      <c r="F46" s="711">
        <v>1</v>
      </c>
      <c r="G46" s="711">
        <v>3</v>
      </c>
      <c r="H46" s="711"/>
      <c r="I46" s="711"/>
      <c r="J46" s="711"/>
      <c r="K46" s="711">
        <v>2</v>
      </c>
      <c r="L46" s="711">
        <v>1</v>
      </c>
      <c r="M46" s="711" t="s">
        <v>43</v>
      </c>
    </row>
    <row r="47" spans="1:13">
      <c r="A47" s="711" t="s">
        <v>2421</v>
      </c>
      <c r="B47" s="711" t="s">
        <v>3099</v>
      </c>
      <c r="C47" s="711" t="s">
        <v>3100</v>
      </c>
      <c r="D47" s="711" t="s">
        <v>2438</v>
      </c>
      <c r="E47" s="711" t="s">
        <v>2464</v>
      </c>
      <c r="F47" s="711">
        <v>9</v>
      </c>
      <c r="G47" s="711">
        <v>3</v>
      </c>
      <c r="H47" s="711">
        <v>5</v>
      </c>
      <c r="I47" s="711">
        <v>13</v>
      </c>
      <c r="J47" s="711">
        <v>25</v>
      </c>
      <c r="K47" s="711">
        <v>5</v>
      </c>
      <c r="L47" s="711">
        <v>9</v>
      </c>
      <c r="M47" s="711" t="s">
        <v>3415</v>
      </c>
    </row>
    <row r="48" spans="1:13">
      <c r="A48" s="711" t="s">
        <v>2955</v>
      </c>
      <c r="B48" s="711" t="s">
        <v>2589</v>
      </c>
      <c r="C48" s="711"/>
      <c r="D48" s="711"/>
      <c r="E48" s="711"/>
      <c r="F48" s="711">
        <v>31</v>
      </c>
      <c r="G48" s="711">
        <v>31</v>
      </c>
      <c r="H48" s="711"/>
      <c r="I48" s="711"/>
      <c r="J48" s="711"/>
      <c r="K48" s="711">
        <v>2</v>
      </c>
      <c r="L48" s="711">
        <v>31</v>
      </c>
      <c r="M48" s="711" t="s">
        <v>41</v>
      </c>
    </row>
    <row r="49" spans="1:13">
      <c r="A49" s="711" t="s">
        <v>3101</v>
      </c>
      <c r="B49" s="711" t="s">
        <v>3099</v>
      </c>
      <c r="C49" s="711"/>
      <c r="D49" s="711"/>
      <c r="E49" s="711"/>
      <c r="F49" s="711">
        <v>6</v>
      </c>
      <c r="G49" s="711">
        <v>3</v>
      </c>
      <c r="H49" s="711"/>
      <c r="I49" s="711"/>
      <c r="J49" s="711"/>
      <c r="K49" s="711">
        <v>2</v>
      </c>
      <c r="L49" s="711">
        <v>6</v>
      </c>
      <c r="M49" s="711" t="s">
        <v>3153</v>
      </c>
    </row>
    <row r="50" spans="1:13">
      <c r="A50" s="711" t="s">
        <v>3102</v>
      </c>
      <c r="B50" s="711"/>
      <c r="C50" s="711"/>
      <c r="D50" s="711"/>
      <c r="E50" s="711"/>
      <c r="F50" s="711">
        <v>10</v>
      </c>
      <c r="G50" s="711"/>
      <c r="H50" s="711"/>
      <c r="I50" s="711"/>
      <c r="J50" s="711"/>
      <c r="K50" s="711">
        <v>1</v>
      </c>
      <c r="L50" s="711">
        <v>10</v>
      </c>
      <c r="M50" s="711" t="s">
        <v>25</v>
      </c>
    </row>
    <row r="51" spans="1:13">
      <c r="A51" s="711" t="s">
        <v>2362</v>
      </c>
      <c r="B51" s="711"/>
      <c r="C51" s="711"/>
      <c r="D51" s="711"/>
      <c r="E51" s="711"/>
      <c r="F51" s="711">
        <v>1</v>
      </c>
      <c r="G51" s="711"/>
      <c r="H51" s="711"/>
      <c r="I51" s="711"/>
      <c r="J51" s="711"/>
      <c r="K51" s="711">
        <v>1</v>
      </c>
      <c r="L51" s="711">
        <v>1</v>
      </c>
      <c r="M51" s="711" t="s">
        <v>26</v>
      </c>
    </row>
    <row r="52" spans="1:13">
      <c r="A52" s="711" t="s">
        <v>2362</v>
      </c>
      <c r="B52" s="711" t="s">
        <v>2393</v>
      </c>
      <c r="C52" s="711"/>
      <c r="D52" s="711"/>
      <c r="E52" s="711"/>
      <c r="F52" s="711">
        <v>1</v>
      </c>
      <c r="G52" s="711">
        <v>4</v>
      </c>
      <c r="H52" s="711"/>
      <c r="I52" s="711"/>
      <c r="J52" s="711"/>
      <c r="K52" s="711">
        <v>2</v>
      </c>
      <c r="L52" s="711">
        <v>1</v>
      </c>
      <c r="M52" s="711" t="s">
        <v>42</v>
      </c>
    </row>
    <row r="53" spans="1:13">
      <c r="A53" s="711" t="s">
        <v>2956</v>
      </c>
      <c r="B53" s="711"/>
      <c r="C53" s="711"/>
      <c r="D53" s="711"/>
      <c r="E53" s="711"/>
      <c r="F53" s="711">
        <v>31</v>
      </c>
      <c r="G53" s="711"/>
      <c r="H53" s="711"/>
      <c r="I53" s="711"/>
      <c r="J53" s="711"/>
      <c r="K53" s="711">
        <v>1</v>
      </c>
      <c r="L53" s="711">
        <v>31</v>
      </c>
      <c r="M53" s="711" t="s">
        <v>41</v>
      </c>
    </row>
    <row r="54" spans="1:13">
      <c r="A54" s="711" t="s">
        <v>2420</v>
      </c>
      <c r="B54" s="711"/>
      <c r="C54" s="711"/>
      <c r="D54" s="711"/>
      <c r="E54" s="711"/>
      <c r="F54" s="711">
        <v>9</v>
      </c>
      <c r="G54" s="711"/>
      <c r="H54" s="711"/>
      <c r="I54" s="711"/>
      <c r="J54" s="711"/>
      <c r="K54" s="711">
        <v>1</v>
      </c>
      <c r="L54" s="711">
        <v>9</v>
      </c>
      <c r="M54" s="711" t="s">
        <v>27</v>
      </c>
    </row>
    <row r="55" spans="1:13">
      <c r="A55" s="711" t="s">
        <v>3100</v>
      </c>
      <c r="B55" s="711" t="s">
        <v>2377</v>
      </c>
      <c r="C55" s="711" t="s">
        <v>2362</v>
      </c>
      <c r="D55" s="711" t="s">
        <v>2394</v>
      </c>
      <c r="E55" s="711" t="s">
        <v>3099</v>
      </c>
      <c r="F55" s="711">
        <v>5</v>
      </c>
      <c r="G55" s="711">
        <v>2</v>
      </c>
      <c r="H55" s="711">
        <v>1</v>
      </c>
      <c r="I55" s="711">
        <v>4</v>
      </c>
      <c r="J55" s="711">
        <v>3</v>
      </c>
      <c r="K55" s="711">
        <v>5</v>
      </c>
      <c r="L55" s="711">
        <v>5</v>
      </c>
      <c r="M55" s="711" t="s">
        <v>3416</v>
      </c>
    </row>
    <row r="56" spans="1:13">
      <c r="A56" s="711" t="s">
        <v>2362</v>
      </c>
      <c r="B56" s="711"/>
      <c r="C56" s="711"/>
      <c r="D56" s="711"/>
      <c r="E56" s="711"/>
      <c r="F56" s="711">
        <v>1</v>
      </c>
      <c r="G56" s="711"/>
      <c r="H56" s="711"/>
      <c r="I56" s="711"/>
      <c r="J56" s="711"/>
      <c r="K56" s="711">
        <v>1</v>
      </c>
      <c r="L56" s="711">
        <v>1</v>
      </c>
      <c r="M56" s="711" t="s">
        <v>26</v>
      </c>
    </row>
    <row r="57" spans="1:13">
      <c r="A57" s="711" t="s">
        <v>2970</v>
      </c>
      <c r="B57" s="711" t="s">
        <v>2393</v>
      </c>
      <c r="C57" s="711"/>
      <c r="D57" s="711"/>
      <c r="E57" s="711"/>
      <c r="F57" s="711">
        <v>31</v>
      </c>
      <c r="G57" s="711">
        <v>4</v>
      </c>
      <c r="H57" s="711"/>
      <c r="I57" s="711"/>
      <c r="J57" s="711"/>
      <c r="K57" s="711">
        <v>2</v>
      </c>
      <c r="L57" s="711">
        <v>31</v>
      </c>
      <c r="M57" s="711" t="s">
        <v>3161</v>
      </c>
    </row>
    <row r="58" spans="1:13">
      <c r="A58" s="711" t="s">
        <v>2434</v>
      </c>
      <c r="B58" s="711" t="s">
        <v>3100</v>
      </c>
      <c r="C58" s="711" t="s">
        <v>2409</v>
      </c>
      <c r="D58" s="711"/>
      <c r="E58" s="711"/>
      <c r="F58" s="711">
        <v>11</v>
      </c>
      <c r="G58" s="711">
        <v>5</v>
      </c>
      <c r="H58" s="711">
        <v>7</v>
      </c>
      <c r="I58" s="711"/>
      <c r="J58" s="711"/>
      <c r="K58" s="711">
        <v>3</v>
      </c>
      <c r="L58" s="711">
        <v>11</v>
      </c>
      <c r="M58" s="711" t="s">
        <v>3162</v>
      </c>
    </row>
    <row r="59" spans="1:13">
      <c r="A59" s="711" t="s">
        <v>2377</v>
      </c>
      <c r="B59" s="711"/>
      <c r="C59" s="711"/>
      <c r="D59" s="711"/>
      <c r="E59" s="711"/>
      <c r="F59" s="711">
        <v>2</v>
      </c>
      <c r="G59" s="711"/>
      <c r="H59" s="711"/>
      <c r="I59" s="711"/>
      <c r="J59" s="711"/>
      <c r="K59" s="711">
        <v>1</v>
      </c>
      <c r="L59" s="711">
        <v>2</v>
      </c>
      <c r="M59" s="711" t="s">
        <v>47</v>
      </c>
    </row>
    <row r="60" spans="1:13">
      <c r="A60" s="711" t="s">
        <v>2362</v>
      </c>
      <c r="B60" s="711" t="s">
        <v>2377</v>
      </c>
      <c r="C60" s="711" t="s">
        <v>2409</v>
      </c>
      <c r="D60" s="711" t="s">
        <v>2464</v>
      </c>
      <c r="E60" s="711"/>
      <c r="F60" s="711">
        <v>1</v>
      </c>
      <c r="G60" s="711">
        <v>2</v>
      </c>
      <c r="H60" s="711">
        <v>7</v>
      </c>
      <c r="I60" s="711">
        <v>25</v>
      </c>
      <c r="J60" s="711"/>
      <c r="K60" s="711">
        <v>4</v>
      </c>
      <c r="L60" s="711">
        <v>1</v>
      </c>
      <c r="M60" s="711" t="s">
        <v>3163</v>
      </c>
    </row>
    <row r="61" spans="1:13">
      <c r="A61" s="711" t="s">
        <v>2434</v>
      </c>
      <c r="B61" s="711"/>
      <c r="C61" s="711"/>
      <c r="D61" s="711"/>
      <c r="E61" s="711"/>
      <c r="F61" s="711">
        <v>11</v>
      </c>
      <c r="G61" s="711"/>
      <c r="H61" s="711"/>
      <c r="I61" s="711"/>
      <c r="J61" s="711"/>
      <c r="K61" s="711">
        <v>1</v>
      </c>
      <c r="L61" s="711">
        <v>11</v>
      </c>
      <c r="M61" s="711" t="s">
        <v>38</v>
      </c>
    </row>
    <row r="62" spans="1:13">
      <c r="A62" s="711" t="s">
        <v>2362</v>
      </c>
      <c r="B62" s="711"/>
      <c r="C62" s="711"/>
      <c r="D62" s="711"/>
      <c r="E62" s="711"/>
      <c r="F62" s="711">
        <v>1</v>
      </c>
      <c r="G62" s="711"/>
      <c r="H62" s="711"/>
      <c r="I62" s="711"/>
      <c r="J62" s="711"/>
      <c r="K62" s="711">
        <v>1</v>
      </c>
      <c r="L62" s="711">
        <v>1</v>
      </c>
      <c r="M62" s="711" t="s">
        <v>26</v>
      </c>
    </row>
    <row r="63" spans="1:13">
      <c r="A63" s="711" t="s">
        <v>2434</v>
      </c>
      <c r="B63" s="711"/>
      <c r="C63" s="711"/>
      <c r="D63" s="711"/>
      <c r="E63" s="711"/>
      <c r="F63" s="711">
        <v>11</v>
      </c>
      <c r="G63" s="711"/>
      <c r="H63" s="711"/>
      <c r="I63" s="711"/>
      <c r="J63" s="711"/>
      <c r="K63" s="711">
        <v>1</v>
      </c>
      <c r="L63" s="711">
        <v>11</v>
      </c>
      <c r="M63" s="711" t="s">
        <v>38</v>
      </c>
    </row>
    <row r="64" spans="1:13">
      <c r="A64" s="711" t="s">
        <v>3101</v>
      </c>
      <c r="B64" s="711" t="s">
        <v>2362</v>
      </c>
      <c r="C64" s="711" t="s">
        <v>3099</v>
      </c>
      <c r="D64" s="711"/>
      <c r="E64" s="711"/>
      <c r="F64" s="711">
        <v>6</v>
      </c>
      <c r="G64" s="711">
        <v>1</v>
      </c>
      <c r="H64" s="711">
        <v>3</v>
      </c>
      <c r="I64" s="711"/>
      <c r="J64" s="711"/>
      <c r="K64" s="711">
        <v>3</v>
      </c>
      <c r="L64" s="711">
        <v>6</v>
      </c>
      <c r="M64" s="711" t="s">
        <v>3164</v>
      </c>
    </row>
    <row r="65" spans="1:13">
      <c r="A65" s="711" t="s">
        <v>2377</v>
      </c>
      <c r="B65" s="711" t="s">
        <v>3099</v>
      </c>
      <c r="C65" s="711" t="s">
        <v>2362</v>
      </c>
      <c r="D65" s="711"/>
      <c r="E65" s="711"/>
      <c r="F65" s="711">
        <v>2</v>
      </c>
      <c r="G65" s="711">
        <v>3</v>
      </c>
      <c r="H65" s="711">
        <v>1</v>
      </c>
      <c r="I65" s="711"/>
      <c r="J65" s="711"/>
      <c r="K65" s="711">
        <v>3</v>
      </c>
      <c r="L65" s="711">
        <v>2</v>
      </c>
      <c r="M65" s="711" t="s">
        <v>3165</v>
      </c>
    </row>
    <row r="66" spans="1:13">
      <c r="A66" s="711" t="s">
        <v>2362</v>
      </c>
      <c r="B66" s="711" t="s">
        <v>2420</v>
      </c>
      <c r="C66" s="711" t="s">
        <v>3100</v>
      </c>
      <c r="D66" s="711"/>
      <c r="E66" s="711"/>
      <c r="F66" s="711">
        <v>1</v>
      </c>
      <c r="G66" s="711">
        <v>9</v>
      </c>
      <c r="H66" s="711">
        <v>5</v>
      </c>
      <c r="I66" s="711"/>
      <c r="J66" s="711"/>
      <c r="K66" s="711">
        <v>3</v>
      </c>
      <c r="L66" s="711">
        <v>1</v>
      </c>
      <c r="M66" s="711" t="s">
        <v>3166</v>
      </c>
    </row>
    <row r="67" spans="1:13">
      <c r="A67" s="711" t="s">
        <v>2393</v>
      </c>
      <c r="B67" s="711" t="s">
        <v>2362</v>
      </c>
      <c r="C67" s="711" t="s">
        <v>2409</v>
      </c>
      <c r="D67" s="711"/>
      <c r="E67" s="711"/>
      <c r="F67" s="711">
        <v>4</v>
      </c>
      <c r="G67" s="711">
        <v>1</v>
      </c>
      <c r="H67" s="711">
        <v>7</v>
      </c>
      <c r="I67" s="711"/>
      <c r="J67" s="711"/>
      <c r="K67" s="711">
        <v>3</v>
      </c>
      <c r="L67" s="711">
        <v>4</v>
      </c>
      <c r="M67" s="711" t="s">
        <v>3154</v>
      </c>
    </row>
    <row r="68" spans="1:13">
      <c r="A68" s="711" t="s">
        <v>2394</v>
      </c>
      <c r="B68" s="711" t="s">
        <v>2362</v>
      </c>
      <c r="C68" s="711" t="s">
        <v>2409</v>
      </c>
      <c r="D68" s="711"/>
      <c r="E68" s="711"/>
      <c r="F68" s="711">
        <v>4</v>
      </c>
      <c r="G68" s="711">
        <v>1</v>
      </c>
      <c r="H68" s="711">
        <v>7</v>
      </c>
      <c r="I68" s="711"/>
      <c r="J68" s="711"/>
      <c r="K68" s="711">
        <v>3</v>
      </c>
      <c r="L68" s="711">
        <v>4</v>
      </c>
      <c r="M68" s="711" t="s">
        <v>3154</v>
      </c>
    </row>
    <row r="69" spans="1:13">
      <c r="A69" s="711" t="s">
        <v>2362</v>
      </c>
      <c r="B69" s="711" t="s">
        <v>3099</v>
      </c>
      <c r="C69" s="711"/>
      <c r="D69" s="711"/>
      <c r="E69" s="711"/>
      <c r="F69" s="711">
        <v>1</v>
      </c>
      <c r="G69" s="711">
        <v>3</v>
      </c>
      <c r="H69" s="711"/>
      <c r="I69" s="711"/>
      <c r="J69" s="711"/>
      <c r="K69" s="711">
        <v>2</v>
      </c>
      <c r="L69" s="711">
        <v>1</v>
      </c>
      <c r="M69" s="711" t="s">
        <v>43</v>
      </c>
    </row>
    <row r="70" spans="1:13">
      <c r="A70" s="711" t="s">
        <v>2452</v>
      </c>
      <c r="B70" s="711" t="s">
        <v>3100</v>
      </c>
      <c r="C70" s="711" t="s">
        <v>2434</v>
      </c>
      <c r="D70" s="711"/>
      <c r="E70" s="711"/>
      <c r="F70" s="711">
        <v>20</v>
      </c>
      <c r="G70" s="711">
        <v>5</v>
      </c>
      <c r="H70" s="711">
        <v>11</v>
      </c>
      <c r="I70" s="711"/>
      <c r="J70" s="711"/>
      <c r="K70" s="711">
        <v>3</v>
      </c>
      <c r="L70" s="711">
        <v>20</v>
      </c>
      <c r="M70" s="711" t="s">
        <v>3167</v>
      </c>
    </row>
    <row r="71" spans="1:13">
      <c r="A71" s="711" t="s">
        <v>2362</v>
      </c>
      <c r="B71" s="711" t="s">
        <v>2377</v>
      </c>
      <c r="C71" s="711" t="s">
        <v>3099</v>
      </c>
      <c r="D71" s="711"/>
      <c r="E71" s="711"/>
      <c r="F71" s="711">
        <v>1</v>
      </c>
      <c r="G71" s="711">
        <v>2</v>
      </c>
      <c r="H71" s="711">
        <v>3</v>
      </c>
      <c r="I71" s="711"/>
      <c r="J71" s="711"/>
      <c r="K71" s="711">
        <v>3</v>
      </c>
      <c r="L71" s="711">
        <v>1</v>
      </c>
      <c r="M71" s="711" t="s">
        <v>900</v>
      </c>
    </row>
    <row r="72" spans="1:13">
      <c r="A72" s="711" t="s">
        <v>3099</v>
      </c>
      <c r="B72" s="711" t="s">
        <v>3101</v>
      </c>
      <c r="C72" s="711"/>
      <c r="D72" s="711"/>
      <c r="E72" s="711"/>
      <c r="F72" s="711">
        <v>3</v>
      </c>
      <c r="G72" s="711">
        <v>6</v>
      </c>
      <c r="H72" s="711"/>
      <c r="I72" s="711"/>
      <c r="J72" s="711"/>
      <c r="K72" s="711">
        <v>2</v>
      </c>
      <c r="L72" s="711">
        <v>3</v>
      </c>
      <c r="M72" s="711" t="s">
        <v>937</v>
      </c>
    </row>
    <row r="73" spans="1:13">
      <c r="A73" s="711" t="s">
        <v>3101</v>
      </c>
      <c r="B73" s="711" t="s">
        <v>3099</v>
      </c>
      <c r="C73" s="711"/>
      <c r="D73" s="711"/>
      <c r="E73" s="711"/>
      <c r="F73" s="711">
        <v>6</v>
      </c>
      <c r="G73" s="711">
        <v>3</v>
      </c>
      <c r="H73" s="711"/>
      <c r="I73" s="711"/>
      <c r="J73" s="711"/>
      <c r="K73" s="711">
        <v>2</v>
      </c>
      <c r="L73" s="711">
        <v>6</v>
      </c>
      <c r="M73" s="711" t="s">
        <v>3153</v>
      </c>
    </row>
    <row r="74" spans="1:13">
      <c r="A74" s="711" t="s">
        <v>2971</v>
      </c>
      <c r="B74" s="711"/>
      <c r="C74" s="711"/>
      <c r="D74" s="711"/>
      <c r="E74" s="711"/>
      <c r="F74" s="711">
        <v>31</v>
      </c>
      <c r="G74" s="711"/>
      <c r="H74" s="711"/>
      <c r="I74" s="711"/>
      <c r="J74" s="711"/>
      <c r="K74" s="711">
        <v>1</v>
      </c>
      <c r="L74" s="711">
        <v>31</v>
      </c>
      <c r="M74" s="711" t="s">
        <v>41</v>
      </c>
    </row>
    <row r="75" spans="1:13">
      <c r="A75" s="711" t="s">
        <v>3100</v>
      </c>
      <c r="B75" s="711" t="s">
        <v>2409</v>
      </c>
      <c r="C75" s="711"/>
      <c r="D75" s="711" t="s">
        <v>2362</v>
      </c>
      <c r="E75" s="711"/>
      <c r="F75" s="711">
        <v>5</v>
      </c>
      <c r="G75" s="711">
        <v>7</v>
      </c>
      <c r="H75" s="711"/>
      <c r="I75" s="711">
        <v>1</v>
      </c>
      <c r="J75" s="711"/>
      <c r="K75" s="711">
        <v>3</v>
      </c>
      <c r="L75" s="711">
        <v>5</v>
      </c>
      <c r="M75" s="711" t="s">
        <v>3417</v>
      </c>
    </row>
    <row r="76" spans="1:13">
      <c r="A76" s="711" t="s">
        <v>2393</v>
      </c>
      <c r="B76" s="711"/>
      <c r="C76" s="711"/>
      <c r="D76" s="711"/>
      <c r="E76" s="711"/>
      <c r="F76" s="711">
        <v>4</v>
      </c>
      <c r="G76" s="711"/>
      <c r="H76" s="711"/>
      <c r="I76" s="711"/>
      <c r="J76" s="711"/>
      <c r="K76" s="711">
        <v>1</v>
      </c>
      <c r="L76" s="711">
        <v>4</v>
      </c>
      <c r="M76" s="711" t="s">
        <v>39</v>
      </c>
    </row>
    <row r="77" spans="1:13">
      <c r="A77" s="711" t="s">
        <v>2511</v>
      </c>
      <c r="B77" s="711"/>
      <c r="C77" s="711"/>
      <c r="D77" s="711"/>
      <c r="E77" s="711"/>
      <c r="F77" s="711">
        <v>31</v>
      </c>
      <c r="G77" s="711"/>
      <c r="H77" s="711"/>
      <c r="I77" s="711"/>
      <c r="J77" s="711"/>
      <c r="K77" s="711">
        <v>1</v>
      </c>
      <c r="L77" s="711">
        <v>31</v>
      </c>
      <c r="M77" s="711" t="s">
        <v>41</v>
      </c>
    </row>
    <row r="78" spans="1:13">
      <c r="A78" s="711" t="s">
        <v>2393</v>
      </c>
      <c r="B78" s="711"/>
      <c r="C78" s="711"/>
      <c r="D78" s="711"/>
      <c r="E78" s="711"/>
      <c r="F78" s="711">
        <v>4</v>
      </c>
      <c r="G78" s="711"/>
      <c r="H78" s="711"/>
      <c r="I78" s="711"/>
      <c r="J78" s="711"/>
      <c r="K78" s="711">
        <v>1</v>
      </c>
      <c r="L78" s="711">
        <v>4</v>
      </c>
      <c r="M78" s="711" t="s">
        <v>39</v>
      </c>
    </row>
    <row r="79" spans="1:13">
      <c r="A79" s="711" t="s">
        <v>2377</v>
      </c>
      <c r="B79" s="711" t="s">
        <v>2411</v>
      </c>
      <c r="C79" s="711" t="s">
        <v>2966</v>
      </c>
      <c r="D79" s="711"/>
      <c r="E79" s="711"/>
      <c r="F79" s="711">
        <v>2</v>
      </c>
      <c r="G79" s="711">
        <v>8</v>
      </c>
      <c r="H79" s="711">
        <v>31</v>
      </c>
      <c r="I79" s="711"/>
      <c r="J79" s="711"/>
      <c r="K79" s="711">
        <v>3</v>
      </c>
      <c r="L79" s="711">
        <v>2</v>
      </c>
      <c r="M79" s="711" t="s">
        <v>3168</v>
      </c>
    </row>
    <row r="80" spans="1:13">
      <c r="A80" s="711" t="s">
        <v>2362</v>
      </c>
      <c r="B80" s="711" t="s">
        <v>3099</v>
      </c>
      <c r="C80" s="711" t="s">
        <v>2409</v>
      </c>
      <c r="D80" s="711"/>
      <c r="E80" s="711"/>
      <c r="F80" s="711">
        <v>1</v>
      </c>
      <c r="G80" s="711">
        <v>3</v>
      </c>
      <c r="H80" s="711">
        <v>7</v>
      </c>
      <c r="I80" s="711"/>
      <c r="J80" s="711"/>
      <c r="K80" s="711">
        <v>3</v>
      </c>
      <c r="L80" s="711">
        <v>1</v>
      </c>
      <c r="M80" s="711" t="s">
        <v>3169</v>
      </c>
    </row>
    <row r="81" spans="1:13">
      <c r="A81" s="711" t="s">
        <v>2393</v>
      </c>
      <c r="B81" s="711" t="s">
        <v>2963</v>
      </c>
      <c r="C81" s="711"/>
      <c r="D81" s="711"/>
      <c r="E81" s="711"/>
      <c r="F81" s="711">
        <v>4</v>
      </c>
      <c r="G81" s="711">
        <v>31</v>
      </c>
      <c r="H81" s="711"/>
      <c r="I81" s="711"/>
      <c r="J81" s="711"/>
      <c r="K81" s="711">
        <v>2</v>
      </c>
      <c r="L81" s="711">
        <v>4</v>
      </c>
      <c r="M81" s="711" t="s">
        <v>3170</v>
      </c>
    </row>
    <row r="82" spans="1:13">
      <c r="A82" s="711" t="s">
        <v>3100</v>
      </c>
      <c r="B82" s="711" t="s">
        <v>2393</v>
      </c>
      <c r="C82" s="711" t="s">
        <v>2377</v>
      </c>
      <c r="D82" s="711"/>
      <c r="E82" s="711"/>
      <c r="F82" s="711">
        <v>5</v>
      </c>
      <c r="G82" s="711">
        <v>4</v>
      </c>
      <c r="H82" s="711">
        <v>2</v>
      </c>
      <c r="I82" s="711"/>
      <c r="J82" s="711"/>
      <c r="K82" s="711">
        <v>3</v>
      </c>
      <c r="L82" s="711">
        <v>5</v>
      </c>
      <c r="M82" s="711" t="s">
        <v>3171</v>
      </c>
    </row>
    <row r="83" spans="1:13">
      <c r="A83" s="711" t="s">
        <v>2377</v>
      </c>
      <c r="B83" s="711"/>
      <c r="C83" s="711"/>
      <c r="D83" s="711"/>
      <c r="E83" s="711"/>
      <c r="F83" s="711">
        <v>2</v>
      </c>
      <c r="G83" s="711"/>
      <c r="H83" s="711"/>
      <c r="I83" s="711"/>
      <c r="J83" s="711"/>
      <c r="K83" s="711">
        <v>1</v>
      </c>
      <c r="L83" s="711">
        <v>2</v>
      </c>
      <c r="M83" s="711" t="s">
        <v>47</v>
      </c>
    </row>
    <row r="84" spans="1:13">
      <c r="A84" s="711" t="s">
        <v>2362</v>
      </c>
      <c r="B84" s="711" t="s">
        <v>2409</v>
      </c>
      <c r="C84" s="711" t="s">
        <v>2393</v>
      </c>
      <c r="D84" s="711"/>
      <c r="E84" s="711"/>
      <c r="F84" s="711">
        <v>1</v>
      </c>
      <c r="G84" s="711">
        <v>7</v>
      </c>
      <c r="H84" s="711">
        <v>4</v>
      </c>
      <c r="I84" s="711"/>
      <c r="J84" s="711"/>
      <c r="K84" s="711">
        <v>3</v>
      </c>
      <c r="L84" s="711">
        <v>1</v>
      </c>
      <c r="M84" s="711" t="s">
        <v>3157</v>
      </c>
    </row>
    <row r="85" spans="1:13">
      <c r="A85" s="711" t="s">
        <v>2362</v>
      </c>
      <c r="B85" s="711" t="s">
        <v>2409</v>
      </c>
      <c r="C85" s="711" t="s">
        <v>3101</v>
      </c>
      <c r="D85" s="711"/>
      <c r="E85" s="711"/>
      <c r="F85" s="711">
        <v>1</v>
      </c>
      <c r="G85" s="711">
        <v>7</v>
      </c>
      <c r="H85" s="711">
        <v>6</v>
      </c>
      <c r="I85" s="711"/>
      <c r="J85" s="711"/>
      <c r="K85" s="711">
        <v>3</v>
      </c>
      <c r="L85" s="711">
        <v>1</v>
      </c>
      <c r="M85" s="711" t="s">
        <v>3172</v>
      </c>
    </row>
    <row r="86" spans="1:13">
      <c r="A86" s="711" t="s">
        <v>2362</v>
      </c>
      <c r="B86" s="711" t="s">
        <v>2362</v>
      </c>
      <c r="C86" s="711" t="s">
        <v>2409</v>
      </c>
      <c r="D86" s="711" t="s">
        <v>2393</v>
      </c>
      <c r="E86" s="711"/>
      <c r="F86" s="711">
        <v>1</v>
      </c>
      <c r="G86" s="711">
        <v>1</v>
      </c>
      <c r="H86" s="711">
        <v>7</v>
      </c>
      <c r="I86" s="711">
        <v>4</v>
      </c>
      <c r="J86" s="711"/>
      <c r="K86" s="711">
        <v>4</v>
      </c>
      <c r="L86" s="711">
        <v>1</v>
      </c>
      <c r="M86" s="711" t="s">
        <v>3157</v>
      </c>
    </row>
    <row r="87" spans="1:13">
      <c r="A87" s="711" t="s">
        <v>2362</v>
      </c>
      <c r="B87" s="711" t="s">
        <v>2377</v>
      </c>
      <c r="C87" s="711" t="s">
        <v>3099</v>
      </c>
      <c r="D87" s="711" t="s">
        <v>2872</v>
      </c>
      <c r="E87" s="711" t="s">
        <v>2425</v>
      </c>
      <c r="F87" s="711">
        <v>1</v>
      </c>
      <c r="G87" s="711">
        <v>2</v>
      </c>
      <c r="H87" s="711">
        <v>3</v>
      </c>
      <c r="I87" s="711">
        <v>31</v>
      </c>
      <c r="J87" s="711">
        <v>9</v>
      </c>
      <c r="K87" s="711">
        <v>5</v>
      </c>
      <c r="L87" s="711">
        <v>1</v>
      </c>
      <c r="M87" s="711" t="s">
        <v>3418</v>
      </c>
    </row>
    <row r="88" spans="1:13">
      <c r="A88" s="711" t="s">
        <v>2362</v>
      </c>
      <c r="B88" s="711"/>
      <c r="C88" s="711"/>
      <c r="D88" s="711"/>
      <c r="E88" s="711"/>
      <c r="F88" s="711">
        <v>1</v>
      </c>
      <c r="G88" s="711"/>
      <c r="H88" s="711"/>
      <c r="I88" s="711"/>
      <c r="J88" s="711"/>
      <c r="K88" s="711">
        <v>1</v>
      </c>
      <c r="L88" s="711">
        <v>1</v>
      </c>
      <c r="M88" s="711" t="s">
        <v>26</v>
      </c>
    </row>
    <row r="89" spans="1:13">
      <c r="A89" s="711" t="s">
        <v>2377</v>
      </c>
      <c r="B89" s="711"/>
      <c r="C89" s="711"/>
      <c r="D89" s="711"/>
      <c r="E89" s="711"/>
      <c r="F89" s="711">
        <v>2</v>
      </c>
      <c r="G89" s="711"/>
      <c r="H89" s="711"/>
      <c r="I89" s="711"/>
      <c r="J89" s="711"/>
      <c r="K89" s="711">
        <v>1</v>
      </c>
      <c r="L89" s="711">
        <v>2</v>
      </c>
      <c r="M89" s="711" t="s">
        <v>47</v>
      </c>
    </row>
    <row r="90" spans="1:13">
      <c r="A90" s="711" t="s">
        <v>3099</v>
      </c>
      <c r="B90" s="711" t="s">
        <v>2362</v>
      </c>
      <c r="C90" s="711" t="s">
        <v>2393</v>
      </c>
      <c r="D90" s="711" t="s">
        <v>3100</v>
      </c>
      <c r="E90" s="711"/>
      <c r="F90" s="711">
        <v>3</v>
      </c>
      <c r="G90" s="711">
        <v>1</v>
      </c>
      <c r="H90" s="711">
        <v>4</v>
      </c>
      <c r="I90" s="711">
        <v>5</v>
      </c>
      <c r="J90" s="711"/>
      <c r="K90" s="711">
        <v>4</v>
      </c>
      <c r="L90" s="711">
        <v>3</v>
      </c>
      <c r="M90" s="711" t="s">
        <v>3173</v>
      </c>
    </row>
    <row r="91" spans="1:13">
      <c r="A91" s="711" t="s">
        <v>2362</v>
      </c>
      <c r="B91" s="711"/>
      <c r="C91" s="711"/>
      <c r="D91" s="711"/>
      <c r="E91" s="711"/>
      <c r="F91" s="711">
        <v>1</v>
      </c>
      <c r="G91" s="711"/>
      <c r="H91" s="711"/>
      <c r="I91" s="711"/>
      <c r="J91" s="711"/>
      <c r="K91" s="711">
        <v>1</v>
      </c>
      <c r="L91" s="711">
        <v>1</v>
      </c>
      <c r="M91" s="711" t="s">
        <v>26</v>
      </c>
    </row>
    <row r="92" spans="1:13">
      <c r="A92" s="711" t="s">
        <v>2393</v>
      </c>
      <c r="B92" s="711"/>
      <c r="C92" s="711" t="s">
        <v>2362</v>
      </c>
      <c r="D92" s="711"/>
      <c r="E92" s="711" t="s">
        <v>3101</v>
      </c>
      <c r="F92" s="711">
        <v>4</v>
      </c>
      <c r="G92" s="711"/>
      <c r="H92" s="711">
        <v>1</v>
      </c>
      <c r="I92" s="711"/>
      <c r="J92" s="711">
        <v>6</v>
      </c>
      <c r="K92" s="711">
        <v>3</v>
      </c>
      <c r="L92" s="711">
        <v>4</v>
      </c>
      <c r="M92" s="711" t="s">
        <v>3174</v>
      </c>
    </row>
    <row r="93" spans="1:13">
      <c r="A93" s="711" t="s">
        <v>2362</v>
      </c>
      <c r="B93" s="711"/>
      <c r="C93" s="711"/>
      <c r="D93" s="711"/>
      <c r="E93" s="711"/>
      <c r="F93" s="711">
        <v>1</v>
      </c>
      <c r="G93" s="711"/>
      <c r="H93" s="711"/>
      <c r="I93" s="711"/>
      <c r="J93" s="711"/>
      <c r="K93" s="711">
        <v>1</v>
      </c>
      <c r="L93" s="711">
        <v>1</v>
      </c>
      <c r="M93" s="711" t="s">
        <v>26</v>
      </c>
    </row>
    <row r="94" spans="1:13">
      <c r="A94" s="711" t="s">
        <v>2440</v>
      </c>
      <c r="B94" s="711" t="s">
        <v>2420</v>
      </c>
      <c r="C94" s="711"/>
      <c r="D94" s="711"/>
      <c r="E94" s="711"/>
      <c r="F94" s="711">
        <v>14</v>
      </c>
      <c r="G94" s="711">
        <v>9</v>
      </c>
      <c r="H94" s="711"/>
      <c r="I94" s="711"/>
      <c r="J94" s="711"/>
      <c r="K94" s="711">
        <v>2</v>
      </c>
      <c r="L94" s="711">
        <v>14</v>
      </c>
      <c r="M94" s="711" t="s">
        <v>3175</v>
      </c>
    </row>
    <row r="95" spans="1:13">
      <c r="A95" s="711" t="s">
        <v>2362</v>
      </c>
      <c r="B95" s="711" t="s">
        <v>2409</v>
      </c>
      <c r="C95" s="711" t="s">
        <v>1040</v>
      </c>
      <c r="D95" s="711" t="s">
        <v>2464</v>
      </c>
      <c r="E95" s="711"/>
      <c r="F95" s="711">
        <v>1</v>
      </c>
      <c r="G95" s="711">
        <v>7</v>
      </c>
      <c r="H95" s="711">
        <v>31</v>
      </c>
      <c r="I95" s="711">
        <v>25</v>
      </c>
      <c r="J95" s="711"/>
      <c r="K95" s="711">
        <v>4</v>
      </c>
      <c r="L95" s="711">
        <v>1</v>
      </c>
      <c r="M95" s="711" t="s">
        <v>3176</v>
      </c>
    </row>
    <row r="96" spans="1:13">
      <c r="A96" s="711" t="s">
        <v>2393</v>
      </c>
      <c r="B96" s="711" t="s">
        <v>2377</v>
      </c>
      <c r="C96" s="711"/>
      <c r="D96" s="711"/>
      <c r="E96" s="711"/>
      <c r="F96" s="711">
        <v>4</v>
      </c>
      <c r="G96" s="711">
        <v>2</v>
      </c>
      <c r="H96" s="711"/>
      <c r="I96" s="711"/>
      <c r="J96" s="711"/>
      <c r="K96" s="711">
        <v>2</v>
      </c>
      <c r="L96" s="711">
        <v>4</v>
      </c>
      <c r="M96" s="711" t="s">
        <v>3177</v>
      </c>
    </row>
    <row r="97" spans="1:13">
      <c r="A97" s="711" t="s">
        <v>3102</v>
      </c>
      <c r="B97" s="711"/>
      <c r="C97" s="711"/>
      <c r="D97" s="711"/>
      <c r="E97" s="711"/>
      <c r="F97" s="711">
        <v>10</v>
      </c>
      <c r="G97" s="711"/>
      <c r="H97" s="711"/>
      <c r="I97" s="711"/>
      <c r="J97" s="711"/>
      <c r="K97" s="711">
        <v>1</v>
      </c>
      <c r="L97" s="711">
        <v>10</v>
      </c>
      <c r="M97" s="711" t="s">
        <v>25</v>
      </c>
    </row>
    <row r="98" spans="1:13">
      <c r="A98" s="711" t="s">
        <v>2409</v>
      </c>
      <c r="B98" s="711"/>
      <c r="C98" s="711"/>
      <c r="D98" s="711"/>
      <c r="E98" s="711"/>
      <c r="F98" s="711">
        <v>7</v>
      </c>
      <c r="G98" s="711"/>
      <c r="H98" s="711"/>
      <c r="I98" s="711"/>
      <c r="J98" s="711"/>
      <c r="K98" s="711">
        <v>1</v>
      </c>
      <c r="L98" s="711">
        <v>7</v>
      </c>
      <c r="M98" s="711" t="s">
        <v>34</v>
      </c>
    </row>
    <row r="99" spans="1:13">
      <c r="A99" s="711" t="s">
        <v>2949</v>
      </c>
      <c r="B99" s="711" t="s">
        <v>2481</v>
      </c>
      <c r="C99" s="711"/>
      <c r="D99" s="711"/>
      <c r="E99" s="711"/>
      <c r="F99" s="711">
        <v>31</v>
      </c>
      <c r="G99" s="711">
        <v>31</v>
      </c>
      <c r="H99" s="711"/>
      <c r="I99" s="711"/>
      <c r="J99" s="711"/>
      <c r="K99" s="711">
        <v>2</v>
      </c>
      <c r="L99" s="711">
        <v>31</v>
      </c>
      <c r="M99" s="711" t="s">
        <v>41</v>
      </c>
    </row>
    <row r="100" spans="1:13">
      <c r="A100" s="711" t="s">
        <v>2972</v>
      </c>
      <c r="B100" s="711" t="s">
        <v>3024</v>
      </c>
      <c r="C100" s="711"/>
      <c r="D100" s="711"/>
      <c r="E100" s="711"/>
      <c r="F100" s="711">
        <v>31</v>
      </c>
      <c r="G100" s="711">
        <v>31</v>
      </c>
      <c r="H100" s="711"/>
      <c r="I100" s="711"/>
      <c r="J100" s="711"/>
      <c r="K100" s="711">
        <v>2</v>
      </c>
      <c r="L100" s="711">
        <v>31</v>
      </c>
      <c r="M100" s="711" t="s">
        <v>41</v>
      </c>
    </row>
    <row r="101" spans="1:13">
      <c r="A101" s="711" t="s">
        <v>2362</v>
      </c>
      <c r="B101" s="711" t="s">
        <v>2409</v>
      </c>
      <c r="C101" s="711" t="s">
        <v>3101</v>
      </c>
      <c r="D101" s="711"/>
      <c r="E101" s="711"/>
      <c r="F101" s="711">
        <v>1</v>
      </c>
      <c r="G101" s="711">
        <v>7</v>
      </c>
      <c r="H101" s="711">
        <v>6</v>
      </c>
      <c r="I101" s="711"/>
      <c r="J101" s="711"/>
      <c r="K101" s="711">
        <v>3</v>
      </c>
      <c r="L101" s="711">
        <v>1</v>
      </c>
      <c r="M101" s="711" t="s">
        <v>3172</v>
      </c>
    </row>
    <row r="102" spans="1:13">
      <c r="A102" s="711" t="s">
        <v>2949</v>
      </c>
      <c r="B102" s="711"/>
      <c r="C102" s="711"/>
      <c r="D102" s="711"/>
      <c r="E102" s="711"/>
      <c r="F102" s="711">
        <v>31</v>
      </c>
      <c r="G102" s="711"/>
      <c r="H102" s="711"/>
      <c r="I102" s="711"/>
      <c r="J102" s="711"/>
      <c r="K102" s="711">
        <v>1</v>
      </c>
      <c r="L102" s="711">
        <v>31</v>
      </c>
      <c r="M102" s="711" t="s">
        <v>41</v>
      </c>
    </row>
    <row r="103" spans="1:13">
      <c r="A103" s="711" t="s">
        <v>2587</v>
      </c>
      <c r="B103" s="711" t="s">
        <v>2482</v>
      </c>
      <c r="C103" s="711"/>
      <c r="D103" s="711"/>
      <c r="E103" s="711"/>
      <c r="F103" s="711">
        <v>31</v>
      </c>
      <c r="G103" s="711">
        <v>31</v>
      </c>
      <c r="H103" s="711"/>
      <c r="I103" s="711"/>
      <c r="J103" s="711"/>
      <c r="K103" s="711">
        <v>2</v>
      </c>
      <c r="L103" s="711">
        <v>31</v>
      </c>
      <c r="M103" s="711" t="s">
        <v>41</v>
      </c>
    </row>
    <row r="104" spans="1:13">
      <c r="A104" s="711" t="s">
        <v>2420</v>
      </c>
      <c r="B104" s="711" t="s">
        <v>2362</v>
      </c>
      <c r="C104" s="711" t="s">
        <v>2440</v>
      </c>
      <c r="D104" s="711"/>
      <c r="E104" s="711"/>
      <c r="F104" s="711">
        <v>9</v>
      </c>
      <c r="G104" s="711">
        <v>1</v>
      </c>
      <c r="H104" s="711">
        <v>14</v>
      </c>
      <c r="I104" s="711"/>
      <c r="J104" s="711"/>
      <c r="K104" s="711">
        <v>3</v>
      </c>
      <c r="L104" s="711">
        <v>9</v>
      </c>
      <c r="M104" s="711" t="s">
        <v>3178</v>
      </c>
    </row>
    <row r="105" spans="1:13">
      <c r="A105" s="711" t="s">
        <v>2362</v>
      </c>
      <c r="B105" s="711"/>
      <c r="C105" s="711"/>
      <c r="D105" s="711"/>
      <c r="E105" s="711"/>
      <c r="F105" s="711">
        <v>1</v>
      </c>
      <c r="G105" s="711"/>
      <c r="H105" s="711"/>
      <c r="I105" s="711"/>
      <c r="J105" s="711"/>
      <c r="K105" s="711">
        <v>1</v>
      </c>
      <c r="L105" s="711">
        <v>1</v>
      </c>
      <c r="M105" s="711" t="s">
        <v>26</v>
      </c>
    </row>
    <row r="106" spans="1:13">
      <c r="A106" s="711" t="s">
        <v>2362</v>
      </c>
      <c r="B106" s="711" t="s">
        <v>2393</v>
      </c>
      <c r="C106" s="711" t="s">
        <v>2409</v>
      </c>
      <c r="D106" s="711"/>
      <c r="E106" s="711"/>
      <c r="F106" s="711">
        <v>1</v>
      </c>
      <c r="G106" s="711">
        <v>4</v>
      </c>
      <c r="H106" s="711">
        <v>7</v>
      </c>
      <c r="I106" s="711"/>
      <c r="J106" s="711"/>
      <c r="K106" s="711">
        <v>3</v>
      </c>
      <c r="L106" s="711">
        <v>1</v>
      </c>
      <c r="M106" s="711" t="s">
        <v>46</v>
      </c>
    </row>
    <row r="107" spans="1:13">
      <c r="A107" s="711" t="s">
        <v>2464</v>
      </c>
      <c r="B107" s="711" t="s">
        <v>2393</v>
      </c>
      <c r="C107" s="711" t="s">
        <v>2362</v>
      </c>
      <c r="D107" s="711" t="s">
        <v>3099</v>
      </c>
      <c r="E107" s="711" t="s">
        <v>2464</v>
      </c>
      <c r="F107" s="711">
        <v>25</v>
      </c>
      <c r="G107" s="711">
        <v>4</v>
      </c>
      <c r="H107" s="711">
        <v>1</v>
      </c>
      <c r="I107" s="711">
        <v>3</v>
      </c>
      <c r="J107" s="711">
        <v>25</v>
      </c>
      <c r="K107" s="711">
        <v>5</v>
      </c>
      <c r="L107" s="711">
        <v>25</v>
      </c>
      <c r="M107" s="711" t="s">
        <v>3419</v>
      </c>
    </row>
    <row r="108" spans="1:13">
      <c r="A108" s="711" t="s">
        <v>2393</v>
      </c>
      <c r="B108" s="711" t="s">
        <v>2377</v>
      </c>
      <c r="C108" s="711" t="s">
        <v>3100</v>
      </c>
      <c r="D108" s="711" t="s">
        <v>2434</v>
      </c>
      <c r="E108" s="711"/>
      <c r="F108" s="711">
        <v>4</v>
      </c>
      <c r="G108" s="711">
        <v>2</v>
      </c>
      <c r="H108" s="711">
        <v>5</v>
      </c>
      <c r="I108" s="711">
        <v>11</v>
      </c>
      <c r="J108" s="711"/>
      <c r="K108" s="711">
        <v>4</v>
      </c>
      <c r="L108" s="711">
        <v>4</v>
      </c>
      <c r="M108" s="711" t="s">
        <v>3179</v>
      </c>
    </row>
    <row r="109" spans="1:13">
      <c r="A109" s="711" t="s">
        <v>2957</v>
      </c>
      <c r="B109" s="711"/>
      <c r="C109" s="711"/>
      <c r="D109" s="711"/>
      <c r="E109" s="711"/>
      <c r="F109" s="711">
        <v>31</v>
      </c>
      <c r="G109" s="711"/>
      <c r="H109" s="711"/>
      <c r="I109" s="711"/>
      <c r="J109" s="711"/>
      <c r="K109" s="711">
        <v>1</v>
      </c>
      <c r="L109" s="711">
        <v>31</v>
      </c>
      <c r="M109" s="711" t="s">
        <v>41</v>
      </c>
    </row>
    <row r="110" spans="1:13">
      <c r="A110" s="711" t="s">
        <v>2362</v>
      </c>
      <c r="B110" s="711"/>
      <c r="C110" s="711"/>
      <c r="D110" s="711"/>
      <c r="E110" s="711"/>
      <c r="F110" s="711">
        <v>1</v>
      </c>
      <c r="G110" s="711"/>
      <c r="H110" s="711"/>
      <c r="I110" s="711"/>
      <c r="J110" s="711"/>
      <c r="K110" s="711">
        <v>1</v>
      </c>
      <c r="L110" s="711">
        <v>1</v>
      </c>
      <c r="M110" s="711" t="s">
        <v>26</v>
      </c>
    </row>
    <row r="111" spans="1:13">
      <c r="A111" s="711" t="s">
        <v>2393</v>
      </c>
      <c r="B111" s="711" t="s">
        <v>2963</v>
      </c>
      <c r="C111" s="711"/>
      <c r="D111" s="711"/>
      <c r="E111" s="711"/>
      <c r="F111" s="711">
        <v>4</v>
      </c>
      <c r="G111" s="711">
        <v>31</v>
      </c>
      <c r="H111" s="711"/>
      <c r="I111" s="711"/>
      <c r="J111" s="711"/>
      <c r="K111" s="711">
        <v>2</v>
      </c>
      <c r="L111" s="711">
        <v>4</v>
      </c>
      <c r="M111" s="711" t="s">
        <v>3170</v>
      </c>
    </row>
    <row r="112" spans="1:13">
      <c r="A112" s="711" t="s">
        <v>2377</v>
      </c>
      <c r="B112" s="711" t="s">
        <v>2362</v>
      </c>
      <c r="C112" s="711"/>
      <c r="D112" s="711"/>
      <c r="E112" s="711"/>
      <c r="F112" s="711">
        <v>2</v>
      </c>
      <c r="G112" s="711">
        <v>1</v>
      </c>
      <c r="H112" s="711"/>
      <c r="I112" s="711"/>
      <c r="J112" s="711"/>
      <c r="K112" s="711">
        <v>2</v>
      </c>
      <c r="L112" s="711">
        <v>2</v>
      </c>
      <c r="M112" s="711" t="s">
        <v>3180</v>
      </c>
    </row>
    <row r="113" spans="1:13">
      <c r="A113" s="711" t="s">
        <v>2434</v>
      </c>
      <c r="B113" s="711" t="s">
        <v>2393</v>
      </c>
      <c r="C113" s="711"/>
      <c r="D113" s="711"/>
      <c r="E113" s="711"/>
      <c r="F113" s="711">
        <v>11</v>
      </c>
      <c r="G113" s="711">
        <v>4</v>
      </c>
      <c r="H113" s="711"/>
      <c r="I113" s="711"/>
      <c r="J113" s="711"/>
      <c r="K113" s="711">
        <v>2</v>
      </c>
      <c r="L113" s="711">
        <v>11</v>
      </c>
      <c r="M113" s="711" t="s">
        <v>3181</v>
      </c>
    </row>
    <row r="114" spans="1:13">
      <c r="A114" s="711" t="s">
        <v>2393</v>
      </c>
      <c r="B114" s="711"/>
      <c r="C114" s="711"/>
      <c r="D114" s="711"/>
      <c r="E114" s="711"/>
      <c r="F114" s="711">
        <v>4</v>
      </c>
      <c r="G114" s="711"/>
      <c r="H114" s="711"/>
      <c r="I114" s="711"/>
      <c r="J114" s="711"/>
      <c r="K114" s="711">
        <v>1</v>
      </c>
      <c r="L114" s="711">
        <v>4</v>
      </c>
      <c r="M114" s="711" t="s">
        <v>39</v>
      </c>
    </row>
    <row r="115" spans="1:13">
      <c r="A115" s="711" t="s">
        <v>2393</v>
      </c>
      <c r="B115" s="711" t="s">
        <v>2362</v>
      </c>
      <c r="C115" s="711" t="s">
        <v>3101</v>
      </c>
      <c r="D115" s="711"/>
      <c r="E115" s="711"/>
      <c r="F115" s="711">
        <v>4</v>
      </c>
      <c r="G115" s="711">
        <v>1</v>
      </c>
      <c r="H115" s="711">
        <v>6</v>
      </c>
      <c r="I115" s="711"/>
      <c r="J115" s="711"/>
      <c r="K115" s="711">
        <v>3</v>
      </c>
      <c r="L115" s="711">
        <v>4</v>
      </c>
      <c r="M115" s="711" t="s">
        <v>3174</v>
      </c>
    </row>
    <row r="116" spans="1:13">
      <c r="A116" s="711" t="s">
        <v>2393</v>
      </c>
      <c r="B116" s="711"/>
      <c r="C116" s="711"/>
      <c r="D116" s="711"/>
      <c r="E116" s="711"/>
      <c r="F116" s="711">
        <v>4</v>
      </c>
      <c r="G116" s="711"/>
      <c r="H116" s="711"/>
      <c r="I116" s="711"/>
      <c r="J116" s="711"/>
      <c r="K116" s="711">
        <v>1</v>
      </c>
      <c r="L116" s="711">
        <v>4</v>
      </c>
      <c r="M116" s="711" t="s">
        <v>39</v>
      </c>
    </row>
    <row r="117" spans="1:13">
      <c r="A117" s="711" t="s">
        <v>2362</v>
      </c>
      <c r="B117" s="711" t="s">
        <v>2420</v>
      </c>
      <c r="C117" s="711"/>
      <c r="D117" s="711"/>
      <c r="E117" s="711"/>
      <c r="F117" s="711">
        <v>1</v>
      </c>
      <c r="G117" s="711">
        <v>9</v>
      </c>
      <c r="H117" s="711"/>
      <c r="I117" s="711"/>
      <c r="J117" s="711"/>
      <c r="K117" s="711">
        <v>2</v>
      </c>
      <c r="L117" s="711">
        <v>1</v>
      </c>
      <c r="M117" s="711" t="s">
        <v>29</v>
      </c>
    </row>
    <row r="118" spans="1:13">
      <c r="A118" s="711" t="s">
        <v>2511</v>
      </c>
      <c r="B118" s="711"/>
      <c r="C118" s="711"/>
      <c r="D118" s="711"/>
      <c r="E118" s="711"/>
      <c r="F118" s="711">
        <v>31</v>
      </c>
      <c r="G118" s="711"/>
      <c r="H118" s="711"/>
      <c r="I118" s="711"/>
      <c r="J118" s="711"/>
      <c r="K118" s="711">
        <v>1</v>
      </c>
      <c r="L118" s="711">
        <v>31</v>
      </c>
      <c r="M118" s="711" t="s">
        <v>41</v>
      </c>
    </row>
    <row r="119" spans="1:13">
      <c r="A119" s="711" t="s">
        <v>3101</v>
      </c>
      <c r="B119" s="711" t="s">
        <v>2362</v>
      </c>
      <c r="C119" s="711" t="s">
        <v>2409</v>
      </c>
      <c r="D119" s="711"/>
      <c r="E119" s="711"/>
      <c r="F119" s="711">
        <v>6</v>
      </c>
      <c r="G119" s="711">
        <v>1</v>
      </c>
      <c r="H119" s="711">
        <v>7</v>
      </c>
      <c r="I119" s="711"/>
      <c r="J119" s="711"/>
      <c r="K119" s="711">
        <v>3</v>
      </c>
      <c r="L119" s="711">
        <v>6</v>
      </c>
      <c r="M119" s="711" t="s">
        <v>3182</v>
      </c>
    </row>
    <row r="120" spans="1:13">
      <c r="A120" s="711" t="s">
        <v>2394</v>
      </c>
      <c r="B120" s="711" t="s">
        <v>2482</v>
      </c>
      <c r="C120" s="711"/>
      <c r="D120" s="711"/>
      <c r="E120" s="711"/>
      <c r="F120" s="711">
        <v>4</v>
      </c>
      <c r="G120" s="711">
        <v>31</v>
      </c>
      <c r="H120" s="711"/>
      <c r="I120" s="711"/>
      <c r="J120" s="711"/>
      <c r="K120" s="711">
        <v>2</v>
      </c>
      <c r="L120" s="711">
        <v>4</v>
      </c>
      <c r="M120" s="711" t="s">
        <v>3170</v>
      </c>
    </row>
    <row r="121" spans="1:13">
      <c r="A121" s="711" t="s">
        <v>2393</v>
      </c>
      <c r="B121" s="711" t="s">
        <v>3025</v>
      </c>
      <c r="C121" s="711" t="s">
        <v>3056</v>
      </c>
      <c r="D121" s="711"/>
      <c r="E121" s="711"/>
      <c r="F121" s="711">
        <v>4</v>
      </c>
      <c r="G121" s="711">
        <v>31</v>
      </c>
      <c r="H121" s="711">
        <v>31</v>
      </c>
      <c r="I121" s="711"/>
      <c r="J121" s="711"/>
      <c r="K121" s="711">
        <v>3</v>
      </c>
      <c r="L121" s="711">
        <v>4</v>
      </c>
      <c r="M121" s="711" t="s">
        <v>3170</v>
      </c>
    </row>
    <row r="122" spans="1:13">
      <c r="A122" s="711" t="s">
        <v>2511</v>
      </c>
      <c r="B122" s="711"/>
      <c r="C122" s="711"/>
      <c r="D122" s="711"/>
      <c r="E122" s="711"/>
      <c r="F122" s="711">
        <v>31</v>
      </c>
      <c r="G122" s="711"/>
      <c r="H122" s="711"/>
      <c r="I122" s="711"/>
      <c r="J122" s="711"/>
      <c r="K122" s="711">
        <v>1</v>
      </c>
      <c r="L122" s="711">
        <v>31</v>
      </c>
      <c r="M122" s="711" t="s">
        <v>41</v>
      </c>
    </row>
    <row r="123" spans="1:13">
      <c r="A123" s="711" t="s">
        <v>2620</v>
      </c>
      <c r="B123" s="711"/>
      <c r="C123" s="711"/>
      <c r="D123" s="711"/>
      <c r="E123" s="711"/>
      <c r="F123" s="711">
        <v>31</v>
      </c>
      <c r="G123" s="711"/>
      <c r="H123" s="711"/>
      <c r="I123" s="711"/>
      <c r="J123" s="711"/>
      <c r="K123" s="711">
        <v>1</v>
      </c>
      <c r="L123" s="711">
        <v>31</v>
      </c>
      <c r="M123" s="711" t="s">
        <v>41</v>
      </c>
    </row>
    <row r="124" spans="1:13">
      <c r="A124" s="711" t="s">
        <v>2409</v>
      </c>
      <c r="B124" s="711" t="s">
        <v>2393</v>
      </c>
      <c r="C124" s="711"/>
      <c r="D124" s="711"/>
      <c r="E124" s="711"/>
      <c r="F124" s="711">
        <v>7</v>
      </c>
      <c r="G124" s="711">
        <v>4</v>
      </c>
      <c r="H124" s="711"/>
      <c r="I124" s="711"/>
      <c r="J124" s="711"/>
      <c r="K124" s="711">
        <v>2</v>
      </c>
      <c r="L124" s="711">
        <v>7</v>
      </c>
      <c r="M124" s="711" t="s">
        <v>3183</v>
      </c>
    </row>
    <row r="125" spans="1:13">
      <c r="A125" s="711" t="s">
        <v>3099</v>
      </c>
      <c r="B125" s="711" t="s">
        <v>2362</v>
      </c>
      <c r="C125" s="711" t="s">
        <v>2377</v>
      </c>
      <c r="D125" s="711"/>
      <c r="E125" s="711"/>
      <c r="F125" s="711">
        <v>3</v>
      </c>
      <c r="G125" s="711">
        <v>1</v>
      </c>
      <c r="H125" s="711">
        <v>2</v>
      </c>
      <c r="I125" s="711"/>
      <c r="J125" s="711"/>
      <c r="K125" s="711">
        <v>3</v>
      </c>
      <c r="L125" s="711">
        <v>3</v>
      </c>
      <c r="M125" s="711" t="s">
        <v>3184</v>
      </c>
    </row>
    <row r="126" spans="1:13">
      <c r="A126" s="711" t="s">
        <v>2465</v>
      </c>
      <c r="B126" s="711"/>
      <c r="C126" s="711"/>
      <c r="D126" s="711"/>
      <c r="E126" s="711"/>
      <c r="F126" s="711">
        <v>26</v>
      </c>
      <c r="G126" s="711"/>
      <c r="H126" s="711"/>
      <c r="I126" s="711"/>
      <c r="J126" s="711"/>
      <c r="K126" s="711">
        <v>1</v>
      </c>
      <c r="L126" s="711">
        <v>26</v>
      </c>
      <c r="M126" s="711" t="s">
        <v>3185</v>
      </c>
    </row>
    <row r="127" spans="1:13">
      <c r="A127" s="711" t="s">
        <v>3101</v>
      </c>
      <c r="B127" s="711" t="s">
        <v>2362</v>
      </c>
      <c r="C127" s="711"/>
      <c r="D127" s="711"/>
      <c r="E127" s="711"/>
      <c r="F127" s="711">
        <v>6</v>
      </c>
      <c r="G127" s="711">
        <v>1</v>
      </c>
      <c r="H127" s="711"/>
      <c r="I127" s="711"/>
      <c r="J127" s="711"/>
      <c r="K127" s="711">
        <v>2</v>
      </c>
      <c r="L127" s="711">
        <v>6</v>
      </c>
      <c r="M127" s="711" t="s">
        <v>3186</v>
      </c>
    </row>
    <row r="128" spans="1:13">
      <c r="A128" s="711" t="s">
        <v>3101</v>
      </c>
      <c r="B128" s="711" t="s">
        <v>2362</v>
      </c>
      <c r="C128" s="711"/>
      <c r="D128" s="711"/>
      <c r="E128" s="711"/>
      <c r="F128" s="711">
        <v>6</v>
      </c>
      <c r="G128" s="711">
        <v>1</v>
      </c>
      <c r="H128" s="711"/>
      <c r="I128" s="711"/>
      <c r="J128" s="711"/>
      <c r="K128" s="711">
        <v>2</v>
      </c>
      <c r="L128" s="711">
        <v>6</v>
      </c>
      <c r="M128" s="711" t="s">
        <v>3186</v>
      </c>
    </row>
    <row r="129" spans="1:13">
      <c r="A129" s="711" t="s">
        <v>2362</v>
      </c>
      <c r="B129" s="711" t="s">
        <v>3101</v>
      </c>
      <c r="C129" s="711"/>
      <c r="D129" s="711"/>
      <c r="E129" s="711"/>
      <c r="F129" s="711">
        <v>1</v>
      </c>
      <c r="G129" s="711">
        <v>6</v>
      </c>
      <c r="H129" s="711"/>
      <c r="I129" s="711"/>
      <c r="J129" s="711"/>
      <c r="K129" s="711">
        <v>2</v>
      </c>
      <c r="L129" s="711">
        <v>1</v>
      </c>
      <c r="M129" s="711" t="s">
        <v>912</v>
      </c>
    </row>
    <row r="130" spans="1:13">
      <c r="A130" s="711" t="s">
        <v>2409</v>
      </c>
      <c r="B130" s="711"/>
      <c r="C130" s="711"/>
      <c r="D130" s="711"/>
      <c r="E130" s="711"/>
      <c r="F130" s="711">
        <v>7</v>
      </c>
      <c r="G130" s="711"/>
      <c r="H130" s="711"/>
      <c r="I130" s="711"/>
      <c r="J130" s="711"/>
      <c r="K130" s="711">
        <v>1</v>
      </c>
      <c r="L130" s="711">
        <v>7</v>
      </c>
      <c r="M130" s="711" t="s">
        <v>34</v>
      </c>
    </row>
    <row r="131" spans="1:13">
      <c r="A131" s="711" t="s">
        <v>2511</v>
      </c>
      <c r="B131" s="711"/>
      <c r="C131" s="711"/>
      <c r="D131" s="711"/>
      <c r="E131" s="711"/>
      <c r="F131" s="711">
        <v>31</v>
      </c>
      <c r="G131" s="711"/>
      <c r="H131" s="711"/>
      <c r="I131" s="711"/>
      <c r="J131" s="711"/>
      <c r="K131" s="711">
        <v>1</v>
      </c>
      <c r="L131" s="711">
        <v>31</v>
      </c>
      <c r="M131" s="711" t="s">
        <v>41</v>
      </c>
    </row>
    <row r="132" spans="1:13">
      <c r="A132" s="711" t="s">
        <v>2363</v>
      </c>
      <c r="B132" s="711" t="s">
        <v>2395</v>
      </c>
      <c r="C132" s="711"/>
      <c r="D132" s="711"/>
      <c r="E132" s="711"/>
      <c r="F132" s="711">
        <v>1</v>
      </c>
      <c r="G132" s="711">
        <v>4</v>
      </c>
      <c r="H132" s="711"/>
      <c r="I132" s="711"/>
      <c r="J132" s="711"/>
      <c r="K132" s="711">
        <v>2</v>
      </c>
      <c r="L132" s="711">
        <v>1</v>
      </c>
      <c r="M132" s="711" t="s">
        <v>42</v>
      </c>
    </row>
    <row r="133" spans="1:13">
      <c r="A133" s="711" t="s">
        <v>2377</v>
      </c>
      <c r="B133" s="711" t="s">
        <v>2587</v>
      </c>
      <c r="C133" s="711"/>
      <c r="D133" s="711"/>
      <c r="E133" s="711"/>
      <c r="F133" s="711">
        <v>2</v>
      </c>
      <c r="G133" s="711">
        <v>31</v>
      </c>
      <c r="H133" s="711"/>
      <c r="I133" s="711"/>
      <c r="J133" s="711"/>
      <c r="K133" s="711">
        <v>2</v>
      </c>
      <c r="L133" s="711">
        <v>2</v>
      </c>
      <c r="M133" s="711" t="s">
        <v>3187</v>
      </c>
    </row>
    <row r="134" spans="1:13">
      <c r="A134" s="711" t="s">
        <v>2393</v>
      </c>
      <c r="B134" s="711" t="s">
        <v>2434</v>
      </c>
      <c r="C134" s="711"/>
      <c r="D134" s="711"/>
      <c r="E134" s="711"/>
      <c r="F134" s="711">
        <v>4</v>
      </c>
      <c r="G134" s="711">
        <v>11</v>
      </c>
      <c r="H134" s="711"/>
      <c r="I134" s="711"/>
      <c r="J134" s="711"/>
      <c r="K134" s="711">
        <v>2</v>
      </c>
      <c r="L134" s="711">
        <v>4</v>
      </c>
      <c r="M134" s="711" t="s">
        <v>3188</v>
      </c>
    </row>
    <row r="135" spans="1:13">
      <c r="A135" s="711" t="s">
        <v>2377</v>
      </c>
      <c r="B135" s="711" t="s">
        <v>2409</v>
      </c>
      <c r="C135" s="711"/>
      <c r="D135" s="711"/>
      <c r="E135" s="711"/>
      <c r="F135" s="711">
        <v>2</v>
      </c>
      <c r="G135" s="711">
        <v>7</v>
      </c>
      <c r="H135" s="711"/>
      <c r="I135" s="711"/>
      <c r="J135" s="711"/>
      <c r="K135" s="711">
        <v>2</v>
      </c>
      <c r="L135" s="711">
        <v>2</v>
      </c>
      <c r="M135" s="711" t="s">
        <v>947</v>
      </c>
    </row>
    <row r="136" spans="1:13">
      <c r="A136" s="711" t="s">
        <v>2362</v>
      </c>
      <c r="B136" s="711"/>
      <c r="C136" s="711"/>
      <c r="D136" s="711"/>
      <c r="E136" s="711"/>
      <c r="F136" s="711">
        <v>1</v>
      </c>
      <c r="G136" s="711"/>
      <c r="H136" s="711"/>
      <c r="I136" s="711"/>
      <c r="J136" s="711"/>
      <c r="K136" s="711">
        <v>1</v>
      </c>
      <c r="L136" s="711">
        <v>1</v>
      </c>
      <c r="M136" s="711" t="s">
        <v>26</v>
      </c>
    </row>
    <row r="137" spans="1:13">
      <c r="A137" s="711" t="s">
        <v>2708</v>
      </c>
      <c r="B137" s="711" t="s">
        <v>2377</v>
      </c>
      <c r="C137" s="711" t="s">
        <v>2434</v>
      </c>
      <c r="D137" s="711" t="s">
        <v>3099</v>
      </c>
      <c r="E137" s="711" t="s">
        <v>2393</v>
      </c>
      <c r="F137" s="711">
        <v>31</v>
      </c>
      <c r="G137" s="711">
        <v>2</v>
      </c>
      <c r="H137" s="711">
        <v>11</v>
      </c>
      <c r="I137" s="711">
        <v>3</v>
      </c>
      <c r="J137" s="711">
        <v>4</v>
      </c>
      <c r="K137" s="711">
        <v>5</v>
      </c>
      <c r="L137" s="711">
        <v>31</v>
      </c>
      <c r="M137" s="711" t="s">
        <v>3420</v>
      </c>
    </row>
    <row r="138" spans="1:13">
      <c r="A138" s="711" t="s">
        <v>2362</v>
      </c>
      <c r="B138" s="711"/>
      <c r="C138" s="711"/>
      <c r="D138" s="711"/>
      <c r="E138" s="711"/>
      <c r="F138" s="711">
        <v>1</v>
      </c>
      <c r="G138" s="711"/>
      <c r="H138" s="711"/>
      <c r="I138" s="711"/>
      <c r="J138" s="711"/>
      <c r="K138" s="711">
        <v>1</v>
      </c>
      <c r="L138" s="711">
        <v>1</v>
      </c>
      <c r="M138" s="711" t="s">
        <v>26</v>
      </c>
    </row>
    <row r="139" spans="1:13">
      <c r="A139" s="711" t="s">
        <v>2420</v>
      </c>
      <c r="B139" s="711"/>
      <c r="C139" s="711"/>
      <c r="D139" s="711"/>
      <c r="E139" s="711"/>
      <c r="F139" s="711">
        <v>9</v>
      </c>
      <c r="G139" s="711"/>
      <c r="H139" s="711"/>
      <c r="I139" s="711"/>
      <c r="J139" s="711"/>
      <c r="K139" s="711">
        <v>1</v>
      </c>
      <c r="L139" s="711">
        <v>9</v>
      </c>
      <c r="M139" s="711" t="s">
        <v>27</v>
      </c>
    </row>
    <row r="140" spans="1:13">
      <c r="A140" s="711" t="s">
        <v>2362</v>
      </c>
      <c r="B140" s="711"/>
      <c r="C140" s="711"/>
      <c r="D140" s="711"/>
      <c r="E140" s="711"/>
      <c r="F140" s="711">
        <v>1</v>
      </c>
      <c r="G140" s="711"/>
      <c r="H140" s="711"/>
      <c r="I140" s="711"/>
      <c r="J140" s="711"/>
      <c r="K140" s="711">
        <v>1</v>
      </c>
      <c r="L140" s="711">
        <v>1</v>
      </c>
      <c r="M140" s="711" t="s">
        <v>26</v>
      </c>
    </row>
    <row r="141" spans="1:13">
      <c r="A141" s="711" t="s">
        <v>2362</v>
      </c>
      <c r="B141" s="711" t="s">
        <v>3099</v>
      </c>
      <c r="C141" s="711" t="s">
        <v>3100</v>
      </c>
      <c r="D141" s="711"/>
      <c r="E141" s="711"/>
      <c r="F141" s="711">
        <v>1</v>
      </c>
      <c r="G141" s="711">
        <v>3</v>
      </c>
      <c r="H141" s="711">
        <v>5</v>
      </c>
      <c r="I141" s="711"/>
      <c r="J141" s="711"/>
      <c r="K141" s="711">
        <v>3</v>
      </c>
      <c r="L141" s="711">
        <v>1</v>
      </c>
      <c r="M141" s="711" t="s">
        <v>948</v>
      </c>
    </row>
    <row r="142" spans="1:13">
      <c r="A142" s="711" t="s">
        <v>2377</v>
      </c>
      <c r="B142" s="711"/>
      <c r="C142" s="711"/>
      <c r="D142" s="711"/>
      <c r="E142" s="711"/>
      <c r="F142" s="711">
        <v>2</v>
      </c>
      <c r="G142" s="711"/>
      <c r="H142" s="711"/>
      <c r="I142" s="711"/>
      <c r="J142" s="711"/>
      <c r="K142" s="711">
        <v>1</v>
      </c>
      <c r="L142" s="711">
        <v>2</v>
      </c>
      <c r="M142" s="711" t="s">
        <v>47</v>
      </c>
    </row>
    <row r="143" spans="1:13">
      <c r="A143" s="711" t="s">
        <v>2734</v>
      </c>
      <c r="B143" s="711" t="s">
        <v>2362</v>
      </c>
      <c r="C143" s="711" t="s">
        <v>2393</v>
      </c>
      <c r="D143" s="711" t="s">
        <v>2409</v>
      </c>
      <c r="E143" s="711" t="s">
        <v>3101</v>
      </c>
      <c r="F143" s="711">
        <v>31</v>
      </c>
      <c r="G143" s="711">
        <v>1</v>
      </c>
      <c r="H143" s="711">
        <v>4</v>
      </c>
      <c r="I143" s="711">
        <v>7</v>
      </c>
      <c r="J143" s="711">
        <v>6</v>
      </c>
      <c r="K143" s="711">
        <v>5</v>
      </c>
      <c r="L143" s="711">
        <v>31</v>
      </c>
      <c r="M143" s="711" t="s">
        <v>3421</v>
      </c>
    </row>
    <row r="144" spans="1:13">
      <c r="A144" s="711" t="s">
        <v>2434</v>
      </c>
      <c r="B144" s="711" t="s">
        <v>2393</v>
      </c>
      <c r="C144" s="711" t="s">
        <v>2452</v>
      </c>
      <c r="D144" s="711"/>
      <c r="E144" s="711"/>
      <c r="F144" s="711">
        <v>11</v>
      </c>
      <c r="G144" s="711">
        <v>4</v>
      </c>
      <c r="H144" s="711">
        <v>20</v>
      </c>
      <c r="I144" s="711"/>
      <c r="J144" s="711"/>
      <c r="K144" s="711">
        <v>3</v>
      </c>
      <c r="L144" s="711">
        <v>11</v>
      </c>
      <c r="M144" s="711" t="s">
        <v>3189</v>
      </c>
    </row>
    <row r="145" spans="1:13">
      <c r="A145" s="711" t="s">
        <v>2362</v>
      </c>
      <c r="B145" s="711"/>
      <c r="C145" s="711"/>
      <c r="D145" s="711"/>
      <c r="E145" s="711"/>
      <c r="F145" s="711">
        <v>1</v>
      </c>
      <c r="G145" s="711"/>
      <c r="H145" s="711"/>
      <c r="I145" s="711"/>
      <c r="J145" s="711"/>
      <c r="K145" s="711">
        <v>1</v>
      </c>
      <c r="L145" s="711">
        <v>1</v>
      </c>
      <c r="M145" s="711" t="s">
        <v>26</v>
      </c>
    </row>
    <row r="146" spans="1:13">
      <c r="A146" s="711" t="s">
        <v>2393</v>
      </c>
      <c r="B146" s="711"/>
      <c r="C146" s="711"/>
      <c r="D146" s="711"/>
      <c r="E146" s="711"/>
      <c r="F146" s="711">
        <v>4</v>
      </c>
      <c r="G146" s="711"/>
      <c r="H146" s="711"/>
      <c r="I146" s="711"/>
      <c r="J146" s="711"/>
      <c r="K146" s="711">
        <v>1</v>
      </c>
      <c r="L146" s="711">
        <v>4</v>
      </c>
      <c r="M146" s="711" t="s">
        <v>39</v>
      </c>
    </row>
    <row r="147" spans="1:13">
      <c r="A147" s="711" t="s">
        <v>2362</v>
      </c>
      <c r="B147" s="711" t="s">
        <v>3099</v>
      </c>
      <c r="C147" s="711" t="s">
        <v>2377</v>
      </c>
      <c r="D147" s="711" t="s">
        <v>3100</v>
      </c>
      <c r="E147" s="711"/>
      <c r="F147" s="711">
        <v>1</v>
      </c>
      <c r="G147" s="711">
        <v>3</v>
      </c>
      <c r="H147" s="711">
        <v>2</v>
      </c>
      <c r="I147" s="711">
        <v>5</v>
      </c>
      <c r="J147" s="711"/>
      <c r="K147" s="711">
        <v>4</v>
      </c>
      <c r="L147" s="711">
        <v>1</v>
      </c>
      <c r="M147" s="711" t="s">
        <v>3190</v>
      </c>
    </row>
    <row r="148" spans="1:13">
      <c r="A148" s="711" t="s">
        <v>2393</v>
      </c>
      <c r="B148" s="711" t="s">
        <v>2362</v>
      </c>
      <c r="C148" s="711" t="s">
        <v>2411</v>
      </c>
      <c r="D148" s="711" t="s">
        <v>2377</v>
      </c>
      <c r="E148" s="711"/>
      <c r="F148" s="711">
        <v>4</v>
      </c>
      <c r="G148" s="711">
        <v>1</v>
      </c>
      <c r="H148" s="711">
        <v>8</v>
      </c>
      <c r="I148" s="711">
        <v>2</v>
      </c>
      <c r="J148" s="711"/>
      <c r="K148" s="711">
        <v>4</v>
      </c>
      <c r="L148" s="711">
        <v>4</v>
      </c>
      <c r="M148" s="711" t="s">
        <v>3191</v>
      </c>
    </row>
    <row r="149" spans="1:13">
      <c r="A149" s="711" t="s">
        <v>2393</v>
      </c>
      <c r="B149" s="711"/>
      <c r="C149" s="711"/>
      <c r="D149" s="711"/>
      <c r="E149" s="711"/>
      <c r="F149" s="711">
        <v>4</v>
      </c>
      <c r="G149" s="711"/>
      <c r="H149" s="711"/>
      <c r="I149" s="711"/>
      <c r="J149" s="711"/>
      <c r="K149" s="711">
        <v>1</v>
      </c>
      <c r="L149" s="711">
        <v>4</v>
      </c>
      <c r="M149" s="711" t="s">
        <v>39</v>
      </c>
    </row>
    <row r="150" spans="1:13">
      <c r="A150" s="711" t="s">
        <v>2362</v>
      </c>
      <c r="B150" s="711"/>
      <c r="C150" s="711"/>
      <c r="D150" s="711"/>
      <c r="E150" s="711"/>
      <c r="F150" s="711">
        <v>1</v>
      </c>
      <c r="G150" s="711"/>
      <c r="H150" s="711"/>
      <c r="I150" s="711"/>
      <c r="J150" s="711"/>
      <c r="K150" s="711">
        <v>1</v>
      </c>
      <c r="L150" s="711">
        <v>1</v>
      </c>
      <c r="M150" s="711" t="s">
        <v>26</v>
      </c>
    </row>
    <row r="151" spans="1:13">
      <c r="A151" s="711" t="s">
        <v>2409</v>
      </c>
      <c r="B151" s="711" t="s">
        <v>2377</v>
      </c>
      <c r="C151" s="711"/>
      <c r="D151" s="711"/>
      <c r="E151" s="711"/>
      <c r="F151" s="711">
        <v>7</v>
      </c>
      <c r="G151" s="711">
        <v>2</v>
      </c>
      <c r="H151" s="711"/>
      <c r="I151" s="711"/>
      <c r="J151" s="711"/>
      <c r="K151" s="711">
        <v>2</v>
      </c>
      <c r="L151" s="711">
        <v>7</v>
      </c>
      <c r="M151" s="711" t="s">
        <v>3192</v>
      </c>
    </row>
    <row r="152" spans="1:13">
      <c r="A152" s="711" t="s">
        <v>2362</v>
      </c>
      <c r="B152" s="711"/>
      <c r="C152" s="711"/>
      <c r="D152" s="711"/>
      <c r="E152" s="711"/>
      <c r="F152" s="711">
        <v>1</v>
      </c>
      <c r="G152" s="711"/>
      <c r="H152" s="711"/>
      <c r="I152" s="711"/>
      <c r="J152" s="711"/>
      <c r="K152" s="711">
        <v>1</v>
      </c>
      <c r="L152" s="711">
        <v>1</v>
      </c>
      <c r="M152" s="711" t="s">
        <v>26</v>
      </c>
    </row>
    <row r="153" spans="1:13">
      <c r="A153" s="711" t="s">
        <v>2362</v>
      </c>
      <c r="B153" s="711"/>
      <c r="C153" s="711"/>
      <c r="D153" s="711"/>
      <c r="E153" s="711"/>
      <c r="F153" s="711">
        <v>1</v>
      </c>
      <c r="G153" s="711"/>
      <c r="H153" s="711"/>
      <c r="I153" s="711"/>
      <c r="J153" s="711"/>
      <c r="K153" s="711">
        <v>1</v>
      </c>
      <c r="L153" s="711">
        <v>1</v>
      </c>
      <c r="M153" s="711" t="s">
        <v>26</v>
      </c>
    </row>
    <row r="154" spans="1:13">
      <c r="A154" s="711" t="s">
        <v>2362</v>
      </c>
      <c r="B154" s="711" t="s">
        <v>3099</v>
      </c>
      <c r="C154" s="711" t="s">
        <v>2393</v>
      </c>
      <c r="D154" s="711" t="s">
        <v>2409</v>
      </c>
      <c r="E154" s="711" t="s">
        <v>2377</v>
      </c>
      <c r="F154" s="711">
        <v>1</v>
      </c>
      <c r="G154" s="711">
        <v>3</v>
      </c>
      <c r="H154" s="711">
        <v>4</v>
      </c>
      <c r="I154" s="711">
        <v>7</v>
      </c>
      <c r="J154" s="711">
        <v>2</v>
      </c>
      <c r="K154" s="711">
        <v>5</v>
      </c>
      <c r="L154" s="711">
        <v>1</v>
      </c>
      <c r="M154" s="711" t="s">
        <v>3422</v>
      </c>
    </row>
    <row r="155" spans="1:13">
      <c r="A155" s="711" t="s">
        <v>2511</v>
      </c>
      <c r="B155" s="711"/>
      <c r="C155" s="711"/>
      <c r="D155" s="711"/>
      <c r="E155" s="711"/>
      <c r="F155" s="711">
        <v>31</v>
      </c>
      <c r="G155" s="711"/>
      <c r="H155" s="711"/>
      <c r="I155" s="711"/>
      <c r="J155" s="711"/>
      <c r="K155" s="711">
        <v>1</v>
      </c>
      <c r="L155" s="711">
        <v>31</v>
      </c>
      <c r="M155" s="711" t="s">
        <v>41</v>
      </c>
    </row>
    <row r="156" spans="1:13">
      <c r="A156" s="711" t="s">
        <v>3121</v>
      </c>
      <c r="B156" s="711" t="s">
        <v>3132</v>
      </c>
      <c r="C156" s="711" t="s">
        <v>3130</v>
      </c>
      <c r="D156" s="711" t="s">
        <v>2377</v>
      </c>
      <c r="E156" s="711" t="s">
        <v>3099</v>
      </c>
      <c r="F156" s="711">
        <v>1</v>
      </c>
      <c r="G156" s="711">
        <v>9</v>
      </c>
      <c r="H156" s="711">
        <v>5</v>
      </c>
      <c r="I156" s="711">
        <v>2</v>
      </c>
      <c r="J156" s="711">
        <v>3</v>
      </c>
      <c r="K156" s="711">
        <v>5</v>
      </c>
      <c r="L156" s="711">
        <v>1</v>
      </c>
      <c r="M156" s="711" t="s">
        <v>3423</v>
      </c>
    </row>
    <row r="157" spans="1:13">
      <c r="A157" s="711" t="s">
        <v>3099</v>
      </c>
      <c r="B157" s="711" t="s">
        <v>2377</v>
      </c>
      <c r="C157" s="711"/>
      <c r="D157" s="711"/>
      <c r="E157" s="711"/>
      <c r="F157" s="711">
        <v>3</v>
      </c>
      <c r="G157" s="711">
        <v>2</v>
      </c>
      <c r="H157" s="711"/>
      <c r="I157" s="711"/>
      <c r="J157" s="711"/>
      <c r="K157" s="711">
        <v>2</v>
      </c>
      <c r="L157" s="711">
        <v>3</v>
      </c>
      <c r="M157" s="711" t="s">
        <v>3193</v>
      </c>
    </row>
    <row r="158" spans="1:13">
      <c r="A158" s="711" t="s">
        <v>2362</v>
      </c>
      <c r="B158" s="711" t="s">
        <v>3101</v>
      </c>
      <c r="C158" s="711"/>
      <c r="D158" s="711"/>
      <c r="E158" s="711"/>
      <c r="F158" s="711">
        <v>1</v>
      </c>
      <c r="G158" s="711">
        <v>6</v>
      </c>
      <c r="H158" s="711"/>
      <c r="I158" s="711"/>
      <c r="J158" s="711"/>
      <c r="K158" s="711">
        <v>2</v>
      </c>
      <c r="L158" s="711">
        <v>1</v>
      </c>
      <c r="M158" s="711" t="s">
        <v>912</v>
      </c>
    </row>
    <row r="159" spans="1:13">
      <c r="A159" s="711" t="s">
        <v>2958</v>
      </c>
      <c r="B159" s="711"/>
      <c r="C159" s="711"/>
      <c r="D159" s="711"/>
      <c r="E159" s="711"/>
      <c r="F159" s="711">
        <v>31</v>
      </c>
      <c r="G159" s="711"/>
      <c r="H159" s="711"/>
      <c r="I159" s="711"/>
      <c r="J159" s="711"/>
      <c r="K159" s="711">
        <v>1</v>
      </c>
      <c r="L159" s="711">
        <v>31</v>
      </c>
      <c r="M159" s="711" t="s">
        <v>41</v>
      </c>
    </row>
    <row r="160" spans="1:13">
      <c r="A160" s="711" t="s">
        <v>2511</v>
      </c>
      <c r="B160" s="711"/>
      <c r="C160" s="711"/>
      <c r="D160" s="711"/>
      <c r="E160" s="711"/>
      <c r="F160" s="711">
        <v>31</v>
      </c>
      <c r="G160" s="711"/>
      <c r="H160" s="711"/>
      <c r="I160" s="711"/>
      <c r="J160" s="711"/>
      <c r="K160" s="711">
        <v>1</v>
      </c>
      <c r="L160" s="711">
        <v>31</v>
      </c>
      <c r="M160" s="711" t="s">
        <v>41</v>
      </c>
    </row>
    <row r="161" spans="1:13">
      <c r="A161" s="711" t="s">
        <v>2420</v>
      </c>
      <c r="B161" s="711" t="s">
        <v>3100</v>
      </c>
      <c r="C161" s="711"/>
      <c r="D161" s="711"/>
      <c r="E161" s="711"/>
      <c r="F161" s="711">
        <v>9</v>
      </c>
      <c r="G161" s="711">
        <v>5</v>
      </c>
      <c r="H161" s="711"/>
      <c r="I161" s="711"/>
      <c r="J161" s="711"/>
      <c r="K161" s="711">
        <v>2</v>
      </c>
      <c r="L161" s="711">
        <v>9</v>
      </c>
      <c r="M161" s="711" t="s">
        <v>3194</v>
      </c>
    </row>
    <row r="162" spans="1:13">
      <c r="A162" s="711" t="s">
        <v>2949</v>
      </c>
      <c r="B162" s="711"/>
      <c r="C162" s="711"/>
      <c r="D162" s="711"/>
      <c r="E162" s="711"/>
      <c r="F162" s="711">
        <v>31</v>
      </c>
      <c r="G162" s="711"/>
      <c r="H162" s="711"/>
      <c r="I162" s="711"/>
      <c r="J162" s="711"/>
      <c r="K162" s="711">
        <v>1</v>
      </c>
      <c r="L162" s="711">
        <v>31</v>
      </c>
      <c r="M162" s="711" t="s">
        <v>41</v>
      </c>
    </row>
    <row r="163" spans="1:13">
      <c r="A163" s="711" t="s">
        <v>2362</v>
      </c>
      <c r="B163" s="711"/>
      <c r="C163" s="711"/>
      <c r="D163" s="711"/>
      <c r="E163" s="711"/>
      <c r="F163" s="711">
        <v>1</v>
      </c>
      <c r="G163" s="711"/>
      <c r="H163" s="711"/>
      <c r="I163" s="711"/>
      <c r="J163" s="711"/>
      <c r="K163" s="711">
        <v>1</v>
      </c>
      <c r="L163" s="711">
        <v>1</v>
      </c>
      <c r="M163" s="711" t="s">
        <v>26</v>
      </c>
    </row>
    <row r="164" spans="1:13">
      <c r="A164" s="711" t="s">
        <v>3100</v>
      </c>
      <c r="B164" s="711" t="s">
        <v>2377</v>
      </c>
      <c r="C164" s="711"/>
      <c r="D164" s="711"/>
      <c r="E164" s="711"/>
      <c r="F164" s="711">
        <v>5</v>
      </c>
      <c r="G164" s="711">
        <v>2</v>
      </c>
      <c r="H164" s="711"/>
      <c r="I164" s="711"/>
      <c r="J164" s="711"/>
      <c r="K164" s="711">
        <v>2</v>
      </c>
      <c r="L164" s="711">
        <v>5</v>
      </c>
      <c r="M164" s="711" t="s">
        <v>3160</v>
      </c>
    </row>
    <row r="165" spans="1:13">
      <c r="A165" s="711" t="s">
        <v>2511</v>
      </c>
      <c r="B165" s="711"/>
      <c r="C165" s="711"/>
      <c r="D165" s="711"/>
      <c r="E165" s="711"/>
      <c r="F165" s="711">
        <v>31</v>
      </c>
      <c r="G165" s="711"/>
      <c r="H165" s="711"/>
      <c r="I165" s="711"/>
      <c r="J165" s="711"/>
      <c r="K165" s="711">
        <v>1</v>
      </c>
      <c r="L165" s="711">
        <v>31</v>
      </c>
      <c r="M165" s="711" t="s">
        <v>41</v>
      </c>
    </row>
    <row r="166" spans="1:13">
      <c r="A166" s="711" t="s">
        <v>2393</v>
      </c>
      <c r="B166" s="711"/>
      <c r="C166" s="711"/>
      <c r="D166" s="711"/>
      <c r="E166" s="711"/>
      <c r="F166" s="711">
        <v>4</v>
      </c>
      <c r="G166" s="711"/>
      <c r="H166" s="711"/>
      <c r="I166" s="711"/>
      <c r="J166" s="711"/>
      <c r="K166" s="711">
        <v>1</v>
      </c>
      <c r="L166" s="711">
        <v>4</v>
      </c>
      <c r="M166" s="711" t="s">
        <v>39</v>
      </c>
    </row>
    <row r="167" spans="1:13">
      <c r="A167" s="711" t="s">
        <v>2409</v>
      </c>
      <c r="B167" s="711" t="s">
        <v>2377</v>
      </c>
      <c r="C167" s="711"/>
      <c r="D167" s="711"/>
      <c r="E167" s="711"/>
      <c r="F167" s="711">
        <v>7</v>
      </c>
      <c r="G167" s="711">
        <v>2</v>
      </c>
      <c r="H167" s="711"/>
      <c r="I167" s="711"/>
      <c r="J167" s="711"/>
      <c r="K167" s="711">
        <v>2</v>
      </c>
      <c r="L167" s="711">
        <v>7</v>
      </c>
      <c r="M167" s="711" t="s">
        <v>3192</v>
      </c>
    </row>
    <row r="168" spans="1:13">
      <c r="A168" s="711" t="s">
        <v>2973</v>
      </c>
      <c r="B168" s="711"/>
      <c r="C168" s="711"/>
      <c r="D168" s="711"/>
      <c r="E168" s="711"/>
      <c r="F168" s="711">
        <v>31</v>
      </c>
      <c r="G168" s="711"/>
      <c r="H168" s="711"/>
      <c r="I168" s="711"/>
      <c r="J168" s="711"/>
      <c r="K168" s="711">
        <v>1</v>
      </c>
      <c r="L168" s="711">
        <v>31</v>
      </c>
      <c r="M168" s="711" t="s">
        <v>41</v>
      </c>
    </row>
    <row r="169" spans="1:13">
      <c r="A169" s="711" t="s">
        <v>2393</v>
      </c>
      <c r="B169" s="711" t="s">
        <v>2377</v>
      </c>
      <c r="C169" s="711"/>
      <c r="D169" s="711"/>
      <c r="E169" s="711"/>
      <c r="F169" s="711">
        <v>4</v>
      </c>
      <c r="G169" s="711">
        <v>2</v>
      </c>
      <c r="H169" s="711"/>
      <c r="I169" s="711"/>
      <c r="J169" s="711"/>
      <c r="K169" s="711">
        <v>2</v>
      </c>
      <c r="L169" s="711">
        <v>4</v>
      </c>
      <c r="M169" s="711" t="s">
        <v>3177</v>
      </c>
    </row>
    <row r="170" spans="1:13">
      <c r="A170" s="711" t="s">
        <v>2362</v>
      </c>
      <c r="B170" s="711" t="s">
        <v>2409</v>
      </c>
      <c r="C170" s="711" t="s">
        <v>2393</v>
      </c>
      <c r="D170" s="711"/>
      <c r="E170" s="711"/>
      <c r="F170" s="711">
        <v>1</v>
      </c>
      <c r="G170" s="711">
        <v>7</v>
      </c>
      <c r="H170" s="711">
        <v>4</v>
      </c>
      <c r="I170" s="711"/>
      <c r="J170" s="711"/>
      <c r="K170" s="711">
        <v>3</v>
      </c>
      <c r="L170" s="711">
        <v>1</v>
      </c>
      <c r="M170" s="711" t="s">
        <v>3157</v>
      </c>
    </row>
    <row r="171" spans="1:13">
      <c r="A171" s="711" t="s">
        <v>2362</v>
      </c>
      <c r="B171" s="711" t="s">
        <v>2393</v>
      </c>
      <c r="C171" s="711"/>
      <c r="D171" s="711"/>
      <c r="E171" s="711"/>
      <c r="F171" s="711">
        <v>1</v>
      </c>
      <c r="G171" s="711">
        <v>4</v>
      </c>
      <c r="H171" s="711"/>
      <c r="I171" s="711"/>
      <c r="J171" s="711"/>
      <c r="K171" s="711">
        <v>2</v>
      </c>
      <c r="L171" s="711">
        <v>1</v>
      </c>
      <c r="M171" s="711" t="s">
        <v>42</v>
      </c>
    </row>
    <row r="172" spans="1:13">
      <c r="A172" s="711" t="s">
        <v>2362</v>
      </c>
      <c r="B172" s="711" t="s">
        <v>2420</v>
      </c>
      <c r="C172" s="711"/>
      <c r="D172" s="711"/>
      <c r="E172" s="711"/>
      <c r="F172" s="711">
        <v>1</v>
      </c>
      <c r="G172" s="711">
        <v>9</v>
      </c>
      <c r="H172" s="711"/>
      <c r="I172" s="711"/>
      <c r="J172" s="711"/>
      <c r="K172" s="711">
        <v>2</v>
      </c>
      <c r="L172" s="711">
        <v>1</v>
      </c>
      <c r="M172" s="711" t="s">
        <v>29</v>
      </c>
    </row>
    <row r="173" spans="1:13">
      <c r="A173" s="711" t="s">
        <v>2393</v>
      </c>
      <c r="B173" s="711"/>
      <c r="C173" s="711"/>
      <c r="D173" s="711"/>
      <c r="E173" s="711"/>
      <c r="F173" s="711">
        <v>4</v>
      </c>
      <c r="G173" s="711"/>
      <c r="H173" s="711"/>
      <c r="I173" s="711"/>
      <c r="J173" s="711"/>
      <c r="K173" s="711">
        <v>1</v>
      </c>
      <c r="L173" s="711">
        <v>4</v>
      </c>
      <c r="M173" s="711" t="s">
        <v>39</v>
      </c>
    </row>
    <row r="174" spans="1:13">
      <c r="A174" s="711" t="s">
        <v>2362</v>
      </c>
      <c r="B174" s="711" t="s">
        <v>2409</v>
      </c>
      <c r="C174" s="711" t="s">
        <v>2464</v>
      </c>
      <c r="D174" s="711" t="s">
        <v>1040</v>
      </c>
      <c r="E174" s="711" t="s">
        <v>2377</v>
      </c>
      <c r="F174" s="711">
        <v>1</v>
      </c>
      <c r="G174" s="711">
        <v>7</v>
      </c>
      <c r="H174" s="711">
        <v>25</v>
      </c>
      <c r="I174" s="711">
        <v>31</v>
      </c>
      <c r="J174" s="711">
        <v>2</v>
      </c>
      <c r="K174" s="711">
        <v>5</v>
      </c>
      <c r="L174" s="711">
        <v>1</v>
      </c>
      <c r="M174" s="711" t="s">
        <v>3424</v>
      </c>
    </row>
    <row r="175" spans="1:13">
      <c r="A175" s="711" t="s">
        <v>2482</v>
      </c>
      <c r="B175" s="711"/>
      <c r="C175" s="711"/>
      <c r="D175" s="711"/>
      <c r="E175" s="711"/>
      <c r="F175" s="711">
        <v>31</v>
      </c>
      <c r="G175" s="711"/>
      <c r="H175" s="711"/>
      <c r="I175" s="711"/>
      <c r="J175" s="711"/>
      <c r="K175" s="711">
        <v>1</v>
      </c>
      <c r="L175" s="711">
        <v>31</v>
      </c>
      <c r="M175" s="711" t="s">
        <v>41</v>
      </c>
    </row>
    <row r="176" spans="1:13">
      <c r="A176" s="711" t="s">
        <v>2393</v>
      </c>
      <c r="B176" s="711" t="s">
        <v>2362</v>
      </c>
      <c r="C176" s="711"/>
      <c r="D176" s="711"/>
      <c r="E176" s="711"/>
      <c r="F176" s="711">
        <v>4</v>
      </c>
      <c r="G176" s="711">
        <v>1</v>
      </c>
      <c r="H176" s="711"/>
      <c r="I176" s="711"/>
      <c r="J176" s="711"/>
      <c r="K176" s="711">
        <v>2</v>
      </c>
      <c r="L176" s="711">
        <v>4</v>
      </c>
      <c r="M176" s="711" t="s">
        <v>3195</v>
      </c>
    </row>
    <row r="177" spans="1:13">
      <c r="A177" s="711" t="s">
        <v>2511</v>
      </c>
      <c r="B177" s="711"/>
      <c r="C177" s="711"/>
      <c r="D177" s="711"/>
      <c r="E177" s="711"/>
      <c r="F177" s="711">
        <v>31</v>
      </c>
      <c r="G177" s="711"/>
      <c r="H177" s="711"/>
      <c r="I177" s="711"/>
      <c r="J177" s="711"/>
      <c r="K177" s="711">
        <v>1</v>
      </c>
      <c r="L177" s="711">
        <v>31</v>
      </c>
      <c r="M177" s="711" t="s">
        <v>41</v>
      </c>
    </row>
    <row r="178" spans="1:13">
      <c r="A178" s="711" t="s">
        <v>3100</v>
      </c>
      <c r="B178" s="711" t="s">
        <v>2362</v>
      </c>
      <c r="C178" s="711" t="s">
        <v>2377</v>
      </c>
      <c r="D178" s="711"/>
      <c r="E178" s="711"/>
      <c r="F178" s="711">
        <v>5</v>
      </c>
      <c r="G178" s="711">
        <v>1</v>
      </c>
      <c r="H178" s="711">
        <v>2</v>
      </c>
      <c r="I178" s="711"/>
      <c r="J178" s="711"/>
      <c r="K178" s="711">
        <v>3</v>
      </c>
      <c r="L178" s="711">
        <v>5</v>
      </c>
      <c r="M178" s="711" t="s">
        <v>3196</v>
      </c>
    </row>
    <row r="179" spans="1:13">
      <c r="A179" s="711" t="s">
        <v>3099</v>
      </c>
      <c r="B179" s="711" t="s">
        <v>2362</v>
      </c>
      <c r="C179" s="711"/>
      <c r="D179" s="711"/>
      <c r="E179" s="711"/>
      <c r="F179" s="711">
        <v>3</v>
      </c>
      <c r="G179" s="711">
        <v>1</v>
      </c>
      <c r="H179" s="711"/>
      <c r="I179" s="711"/>
      <c r="J179" s="711"/>
      <c r="K179" s="711">
        <v>2</v>
      </c>
      <c r="L179" s="711">
        <v>3</v>
      </c>
      <c r="M179" s="711" t="s">
        <v>3197</v>
      </c>
    </row>
    <row r="180" spans="1:13">
      <c r="A180" s="711" t="s">
        <v>2434</v>
      </c>
      <c r="B180" s="711"/>
      <c r="C180" s="711"/>
      <c r="D180" s="711"/>
      <c r="E180" s="711"/>
      <c r="F180" s="711">
        <v>11</v>
      </c>
      <c r="G180" s="711"/>
      <c r="H180" s="711"/>
      <c r="I180" s="711"/>
      <c r="J180" s="711"/>
      <c r="K180" s="711">
        <v>1</v>
      </c>
      <c r="L180" s="711">
        <v>11</v>
      </c>
      <c r="M180" s="711" t="s">
        <v>38</v>
      </c>
    </row>
    <row r="181" spans="1:13">
      <c r="A181" s="711" t="s">
        <v>2362</v>
      </c>
      <c r="B181" s="711" t="s">
        <v>3099</v>
      </c>
      <c r="C181" s="711" t="s">
        <v>3100</v>
      </c>
      <c r="D181" s="711" t="s">
        <v>2377</v>
      </c>
      <c r="E181" s="711"/>
      <c r="F181" s="711">
        <v>1</v>
      </c>
      <c r="G181" s="711">
        <v>3</v>
      </c>
      <c r="H181" s="711">
        <v>5</v>
      </c>
      <c r="I181" s="711">
        <v>2</v>
      </c>
      <c r="J181" s="711"/>
      <c r="K181" s="711">
        <v>4</v>
      </c>
      <c r="L181" s="711">
        <v>1</v>
      </c>
      <c r="M181" s="711" t="s">
        <v>3198</v>
      </c>
    </row>
    <row r="182" spans="1:13">
      <c r="A182" s="711" t="s">
        <v>2362</v>
      </c>
      <c r="B182" s="711"/>
      <c r="C182" s="711"/>
      <c r="D182" s="711"/>
      <c r="E182" s="711"/>
      <c r="F182" s="711">
        <v>1</v>
      </c>
      <c r="G182" s="711"/>
      <c r="H182" s="711"/>
      <c r="I182" s="711"/>
      <c r="J182" s="711"/>
      <c r="K182" s="711">
        <v>1</v>
      </c>
      <c r="L182" s="711">
        <v>1</v>
      </c>
      <c r="M182" s="711" t="s">
        <v>26</v>
      </c>
    </row>
    <row r="183" spans="1:13">
      <c r="A183" s="711" t="s">
        <v>2511</v>
      </c>
      <c r="B183" s="711"/>
      <c r="C183" s="711"/>
      <c r="D183" s="711"/>
      <c r="E183" s="711"/>
      <c r="F183" s="711">
        <v>31</v>
      </c>
      <c r="G183" s="711"/>
      <c r="H183" s="711"/>
      <c r="I183" s="711"/>
      <c r="J183" s="711"/>
      <c r="K183" s="711">
        <v>1</v>
      </c>
      <c r="L183" s="711">
        <v>31</v>
      </c>
      <c r="M183" s="711" t="s">
        <v>41</v>
      </c>
    </row>
    <row r="184" spans="1:13">
      <c r="A184" s="711" t="s">
        <v>2362</v>
      </c>
      <c r="B184" s="711" t="s">
        <v>2393</v>
      </c>
      <c r="C184" s="711" t="s">
        <v>3101</v>
      </c>
      <c r="D184" s="711" t="s">
        <v>2483</v>
      </c>
      <c r="E184" s="711"/>
      <c r="F184" s="711">
        <v>1</v>
      </c>
      <c r="G184" s="711">
        <v>4</v>
      </c>
      <c r="H184" s="711">
        <v>6</v>
      </c>
      <c r="I184" s="711">
        <v>31</v>
      </c>
      <c r="J184" s="711"/>
      <c r="K184" s="711">
        <v>4</v>
      </c>
      <c r="L184" s="711">
        <v>1</v>
      </c>
      <c r="M184" s="711" t="s">
        <v>3199</v>
      </c>
    </row>
    <row r="185" spans="1:13">
      <c r="A185" s="711" t="s">
        <v>2377</v>
      </c>
      <c r="B185" s="711"/>
      <c r="C185" s="711"/>
      <c r="D185" s="711"/>
      <c r="E185" s="711"/>
      <c r="F185" s="711">
        <v>2</v>
      </c>
      <c r="G185" s="711"/>
      <c r="H185" s="711"/>
      <c r="I185" s="711"/>
      <c r="J185" s="711"/>
      <c r="K185" s="711">
        <v>1</v>
      </c>
      <c r="L185" s="711">
        <v>2</v>
      </c>
      <c r="M185" s="711" t="s">
        <v>47</v>
      </c>
    </row>
    <row r="186" spans="1:13">
      <c r="A186" s="711" t="s">
        <v>2377</v>
      </c>
      <c r="B186" s="711" t="s">
        <v>2409</v>
      </c>
      <c r="C186" s="711"/>
      <c r="D186" s="711"/>
      <c r="E186" s="711"/>
      <c r="F186" s="711">
        <v>2</v>
      </c>
      <c r="G186" s="711">
        <v>7</v>
      </c>
      <c r="H186" s="711"/>
      <c r="I186" s="711"/>
      <c r="J186" s="711"/>
      <c r="K186" s="711">
        <v>2</v>
      </c>
      <c r="L186" s="711">
        <v>2</v>
      </c>
      <c r="M186" s="711" t="s">
        <v>947</v>
      </c>
    </row>
    <row r="187" spans="1:13">
      <c r="A187" s="711" t="s">
        <v>2377</v>
      </c>
      <c r="B187" s="711"/>
      <c r="C187" s="711"/>
      <c r="D187" s="711"/>
      <c r="E187" s="711"/>
      <c r="F187" s="711">
        <v>2</v>
      </c>
      <c r="G187" s="711"/>
      <c r="H187" s="711"/>
      <c r="I187" s="711"/>
      <c r="J187" s="711"/>
      <c r="K187" s="711">
        <v>1</v>
      </c>
      <c r="L187" s="711">
        <v>2</v>
      </c>
      <c r="M187" s="711" t="s">
        <v>47</v>
      </c>
    </row>
    <row r="188" spans="1:13">
      <c r="A188" s="711" t="s">
        <v>2394</v>
      </c>
      <c r="B188" s="711" t="s">
        <v>2362</v>
      </c>
      <c r="C188" s="711"/>
      <c r="D188" s="711"/>
      <c r="E188" s="711"/>
      <c r="F188" s="711">
        <v>4</v>
      </c>
      <c r="G188" s="711">
        <v>1</v>
      </c>
      <c r="H188" s="711"/>
      <c r="I188" s="711"/>
      <c r="J188" s="711"/>
      <c r="K188" s="711">
        <v>2</v>
      </c>
      <c r="L188" s="711">
        <v>4</v>
      </c>
      <c r="M188" s="711" t="s">
        <v>3195</v>
      </c>
    </row>
    <row r="189" spans="1:13">
      <c r="A189" s="711" t="s">
        <v>2511</v>
      </c>
      <c r="B189" s="711"/>
      <c r="C189" s="711"/>
      <c r="D189" s="711"/>
      <c r="E189" s="711"/>
      <c r="F189" s="711">
        <v>31</v>
      </c>
      <c r="G189" s="711"/>
      <c r="H189" s="711"/>
      <c r="I189" s="711"/>
      <c r="J189" s="711"/>
      <c r="K189" s="711">
        <v>1</v>
      </c>
      <c r="L189" s="711">
        <v>31</v>
      </c>
      <c r="M189" s="711" t="s">
        <v>41</v>
      </c>
    </row>
    <row r="190" spans="1:13">
      <c r="A190" s="711" t="s">
        <v>2362</v>
      </c>
      <c r="B190" s="711"/>
      <c r="C190" s="711"/>
      <c r="D190" s="711"/>
      <c r="E190" s="711"/>
      <c r="F190" s="711">
        <v>1</v>
      </c>
      <c r="G190" s="711"/>
      <c r="H190" s="711"/>
      <c r="I190" s="711"/>
      <c r="J190" s="711"/>
      <c r="K190" s="711">
        <v>1</v>
      </c>
      <c r="L190" s="711">
        <v>1</v>
      </c>
      <c r="M190" s="711" t="s">
        <v>26</v>
      </c>
    </row>
    <row r="191" spans="1:13">
      <c r="A191" s="711" t="s">
        <v>2511</v>
      </c>
      <c r="B191" s="711"/>
      <c r="C191" s="711"/>
      <c r="D191" s="711"/>
      <c r="E191" s="711"/>
      <c r="F191" s="711">
        <v>31</v>
      </c>
      <c r="G191" s="711"/>
      <c r="H191" s="711"/>
      <c r="I191" s="711"/>
      <c r="J191" s="711"/>
      <c r="K191" s="711">
        <v>1</v>
      </c>
      <c r="L191" s="711">
        <v>31</v>
      </c>
      <c r="M191" s="711" t="s">
        <v>41</v>
      </c>
    </row>
    <row r="192" spans="1:13">
      <c r="A192" s="711" t="s">
        <v>2420</v>
      </c>
      <c r="B192" s="711" t="s">
        <v>2362</v>
      </c>
      <c r="C192" s="711" t="s">
        <v>3099</v>
      </c>
      <c r="D192" s="711" t="s">
        <v>2393</v>
      </c>
      <c r="E192" s="711" t="s">
        <v>2409</v>
      </c>
      <c r="F192" s="711">
        <v>9</v>
      </c>
      <c r="G192" s="711">
        <v>1</v>
      </c>
      <c r="H192" s="711">
        <v>3</v>
      </c>
      <c r="I192" s="711">
        <v>4</v>
      </c>
      <c r="J192" s="711">
        <v>7</v>
      </c>
      <c r="K192" s="711">
        <v>5</v>
      </c>
      <c r="L192" s="711">
        <v>9</v>
      </c>
      <c r="M192" s="711" t="s">
        <v>3425</v>
      </c>
    </row>
    <row r="193" spans="1:13">
      <c r="A193" s="711" t="s">
        <v>2377</v>
      </c>
      <c r="B193" s="711" t="s">
        <v>2434</v>
      </c>
      <c r="C193" s="711" t="s">
        <v>2388</v>
      </c>
      <c r="D193" s="711" t="s">
        <v>2708</v>
      </c>
      <c r="E193" s="711" t="s">
        <v>2420</v>
      </c>
      <c r="F193" s="711">
        <v>2</v>
      </c>
      <c r="G193" s="711">
        <v>11</v>
      </c>
      <c r="H193" s="711">
        <v>3</v>
      </c>
      <c r="I193" s="711">
        <v>31</v>
      </c>
      <c r="J193" s="711">
        <v>9</v>
      </c>
      <c r="K193" s="711">
        <v>5</v>
      </c>
      <c r="L193" s="711">
        <v>2</v>
      </c>
      <c r="M193" s="711" t="s">
        <v>3426</v>
      </c>
    </row>
    <row r="194" spans="1:13">
      <c r="A194" s="711" t="s">
        <v>3100</v>
      </c>
      <c r="B194" s="711" t="s">
        <v>2362</v>
      </c>
      <c r="C194" s="711"/>
      <c r="D194" s="711"/>
      <c r="E194" s="711"/>
      <c r="F194" s="711">
        <v>5</v>
      </c>
      <c r="G194" s="711">
        <v>1</v>
      </c>
      <c r="H194" s="711"/>
      <c r="I194" s="711"/>
      <c r="J194" s="711"/>
      <c r="K194" s="711">
        <v>2</v>
      </c>
      <c r="L194" s="711">
        <v>5</v>
      </c>
      <c r="M194" s="711" t="s">
        <v>3200</v>
      </c>
    </row>
    <row r="195" spans="1:13">
      <c r="A195" s="711" t="s">
        <v>2362</v>
      </c>
      <c r="B195" s="711" t="s">
        <v>2409</v>
      </c>
      <c r="C195" s="711" t="s">
        <v>2377</v>
      </c>
      <c r="D195" s="711" t="s">
        <v>2394</v>
      </c>
      <c r="E195" s="711" t="s">
        <v>3099</v>
      </c>
      <c r="F195" s="711">
        <v>1</v>
      </c>
      <c r="G195" s="711">
        <v>7</v>
      </c>
      <c r="H195" s="711">
        <v>2</v>
      </c>
      <c r="I195" s="711">
        <v>4</v>
      </c>
      <c r="J195" s="711">
        <v>3</v>
      </c>
      <c r="K195" s="711">
        <v>5</v>
      </c>
      <c r="L195" s="711">
        <v>1</v>
      </c>
      <c r="M195" s="711" t="s">
        <v>3427</v>
      </c>
    </row>
    <row r="196" spans="1:13">
      <c r="A196" s="711" t="s">
        <v>2377</v>
      </c>
      <c r="B196" s="711"/>
      <c r="C196" s="711"/>
      <c r="D196" s="711"/>
      <c r="E196" s="711"/>
      <c r="F196" s="711">
        <v>2</v>
      </c>
      <c r="G196" s="711"/>
      <c r="H196" s="711"/>
      <c r="I196" s="711"/>
      <c r="J196" s="711"/>
      <c r="K196" s="711">
        <v>1</v>
      </c>
      <c r="L196" s="711">
        <v>2</v>
      </c>
      <c r="M196" s="711" t="s">
        <v>47</v>
      </c>
    </row>
    <row r="197" spans="1:13">
      <c r="A197" s="711" t="s">
        <v>3100</v>
      </c>
      <c r="B197" s="711" t="s">
        <v>2362</v>
      </c>
      <c r="C197" s="711"/>
      <c r="D197" s="711"/>
      <c r="E197" s="711"/>
      <c r="F197" s="711">
        <v>5</v>
      </c>
      <c r="G197" s="711">
        <v>1</v>
      </c>
      <c r="H197" s="711"/>
      <c r="I197" s="711"/>
      <c r="J197" s="711"/>
      <c r="K197" s="711">
        <v>2</v>
      </c>
      <c r="L197" s="711">
        <v>5</v>
      </c>
      <c r="M197" s="711" t="s">
        <v>3200</v>
      </c>
    </row>
    <row r="198" spans="1:13">
      <c r="A198" s="711" t="s">
        <v>2434</v>
      </c>
      <c r="B198" s="711"/>
      <c r="C198" s="711"/>
      <c r="D198" s="711"/>
      <c r="E198" s="711"/>
      <c r="F198" s="711">
        <v>11</v>
      </c>
      <c r="G198" s="711"/>
      <c r="H198" s="711"/>
      <c r="I198" s="711"/>
      <c r="J198" s="711"/>
      <c r="K198" s="711">
        <v>1</v>
      </c>
      <c r="L198" s="711">
        <v>11</v>
      </c>
      <c r="M198" s="711" t="s">
        <v>38</v>
      </c>
    </row>
    <row r="199" spans="1:13">
      <c r="A199" s="711" t="s">
        <v>2511</v>
      </c>
      <c r="B199" s="711"/>
      <c r="C199" s="711"/>
      <c r="D199" s="711"/>
      <c r="E199" s="711"/>
      <c r="F199" s="711">
        <v>31</v>
      </c>
      <c r="G199" s="711"/>
      <c r="H199" s="711"/>
      <c r="I199" s="711"/>
      <c r="J199" s="711"/>
      <c r="K199" s="711">
        <v>1</v>
      </c>
      <c r="L199" s="711">
        <v>31</v>
      </c>
      <c r="M199" s="711" t="s">
        <v>41</v>
      </c>
    </row>
    <row r="200" spans="1:13">
      <c r="A200" s="711" t="s">
        <v>3099</v>
      </c>
      <c r="B200" s="711" t="s">
        <v>2420</v>
      </c>
      <c r="C200" s="711" t="s">
        <v>2362</v>
      </c>
      <c r="D200" s="711"/>
      <c r="E200" s="711"/>
      <c r="F200" s="711">
        <v>3</v>
      </c>
      <c r="G200" s="711">
        <v>9</v>
      </c>
      <c r="H200" s="711">
        <v>1</v>
      </c>
      <c r="I200" s="711"/>
      <c r="J200" s="711"/>
      <c r="K200" s="711">
        <v>3</v>
      </c>
      <c r="L200" s="711">
        <v>3</v>
      </c>
      <c r="M200" s="711" t="s">
        <v>3201</v>
      </c>
    </row>
    <row r="201" spans="1:13">
      <c r="A201" s="711" t="s">
        <v>2377</v>
      </c>
      <c r="B201" s="711"/>
      <c r="C201" s="711"/>
      <c r="D201" s="711"/>
      <c r="E201" s="711"/>
      <c r="F201" s="711">
        <v>2</v>
      </c>
      <c r="G201" s="711"/>
      <c r="H201" s="711"/>
      <c r="I201" s="711"/>
      <c r="J201" s="711"/>
      <c r="K201" s="711">
        <v>1</v>
      </c>
      <c r="L201" s="711">
        <v>2</v>
      </c>
      <c r="M201" s="711" t="s">
        <v>47</v>
      </c>
    </row>
    <row r="202" spans="1:13">
      <c r="A202" s="711" t="s">
        <v>2511</v>
      </c>
      <c r="B202" s="711" t="s">
        <v>2479</v>
      </c>
      <c r="C202" s="711" t="s">
        <v>2377</v>
      </c>
      <c r="D202" s="711" t="s">
        <v>2483</v>
      </c>
      <c r="E202" s="711"/>
      <c r="F202" s="711">
        <v>31</v>
      </c>
      <c r="G202" s="711">
        <v>31</v>
      </c>
      <c r="H202" s="711">
        <v>2</v>
      </c>
      <c r="I202" s="711">
        <v>31</v>
      </c>
      <c r="J202" s="711"/>
      <c r="K202" s="711">
        <v>4</v>
      </c>
      <c r="L202" s="711">
        <v>31</v>
      </c>
      <c r="M202" s="711" t="s">
        <v>3249</v>
      </c>
    </row>
    <row r="203" spans="1:13">
      <c r="A203" s="711" t="s">
        <v>2393</v>
      </c>
      <c r="B203" s="711"/>
      <c r="C203" s="711"/>
      <c r="D203" s="711"/>
      <c r="E203" s="711"/>
      <c r="F203" s="711">
        <v>4</v>
      </c>
      <c r="G203" s="711"/>
      <c r="H203" s="711"/>
      <c r="I203" s="711"/>
      <c r="J203" s="711"/>
      <c r="K203" s="711">
        <v>1</v>
      </c>
      <c r="L203" s="711">
        <v>4</v>
      </c>
      <c r="M203" s="711" t="s">
        <v>39</v>
      </c>
    </row>
    <row r="204" spans="1:13">
      <c r="A204" s="711" t="s">
        <v>2362</v>
      </c>
      <c r="B204" s="711" t="s">
        <v>2393</v>
      </c>
      <c r="C204" s="711" t="s">
        <v>3099</v>
      </c>
      <c r="D204" s="711"/>
      <c r="E204" s="711"/>
      <c r="F204" s="711">
        <v>1</v>
      </c>
      <c r="G204" s="711">
        <v>4</v>
      </c>
      <c r="H204" s="711">
        <v>3</v>
      </c>
      <c r="I204" s="711"/>
      <c r="J204" s="711"/>
      <c r="K204" s="711">
        <v>3</v>
      </c>
      <c r="L204" s="711">
        <v>1</v>
      </c>
      <c r="M204" s="711" t="s">
        <v>3150</v>
      </c>
    </row>
    <row r="205" spans="1:13">
      <c r="A205" s="711" t="s">
        <v>2511</v>
      </c>
      <c r="B205" s="711"/>
      <c r="C205" s="711"/>
      <c r="D205" s="711"/>
      <c r="E205" s="711"/>
      <c r="F205" s="711">
        <v>31</v>
      </c>
      <c r="G205" s="711"/>
      <c r="H205" s="711"/>
      <c r="I205" s="711"/>
      <c r="J205" s="711"/>
      <c r="K205" s="711">
        <v>1</v>
      </c>
      <c r="L205" s="711">
        <v>31</v>
      </c>
      <c r="M205" s="711" t="s">
        <v>41</v>
      </c>
    </row>
    <row r="206" spans="1:13">
      <c r="A206" s="711" t="s">
        <v>2377</v>
      </c>
      <c r="B206" s="711"/>
      <c r="C206" s="711"/>
      <c r="D206" s="711"/>
      <c r="E206" s="711"/>
      <c r="F206" s="711">
        <v>2</v>
      </c>
      <c r="G206" s="711"/>
      <c r="H206" s="711"/>
      <c r="I206" s="711"/>
      <c r="J206" s="711"/>
      <c r="K206" s="711">
        <v>1</v>
      </c>
      <c r="L206" s="711">
        <v>2</v>
      </c>
      <c r="M206" s="711" t="s">
        <v>47</v>
      </c>
    </row>
    <row r="207" spans="1:13">
      <c r="A207" s="711" t="s">
        <v>2377</v>
      </c>
      <c r="B207" s="711" t="s">
        <v>2409</v>
      </c>
      <c r="C207" s="711"/>
      <c r="D207" s="711"/>
      <c r="E207" s="711"/>
      <c r="F207" s="711">
        <v>2</v>
      </c>
      <c r="G207" s="711">
        <v>7</v>
      </c>
      <c r="H207" s="711"/>
      <c r="I207" s="711"/>
      <c r="J207" s="711"/>
      <c r="K207" s="711">
        <v>2</v>
      </c>
      <c r="L207" s="711">
        <v>2</v>
      </c>
      <c r="M207" s="711" t="s">
        <v>947</v>
      </c>
    </row>
    <row r="208" spans="1:13">
      <c r="A208" s="711" t="s">
        <v>2362</v>
      </c>
      <c r="B208" s="711" t="s">
        <v>2462</v>
      </c>
      <c r="C208" s="711" t="s">
        <v>2409</v>
      </c>
      <c r="D208" s="711"/>
      <c r="E208" s="711"/>
      <c r="F208" s="711">
        <v>1</v>
      </c>
      <c r="G208" s="711">
        <v>24</v>
      </c>
      <c r="H208" s="711">
        <v>7</v>
      </c>
      <c r="I208" s="711"/>
      <c r="J208" s="711"/>
      <c r="K208" s="711">
        <v>3</v>
      </c>
      <c r="L208" s="711">
        <v>1</v>
      </c>
      <c r="M208" s="711" t="s">
        <v>3202</v>
      </c>
    </row>
    <row r="209" spans="1:13">
      <c r="A209" s="711" t="s">
        <v>2377</v>
      </c>
      <c r="B209" s="711"/>
      <c r="C209" s="711"/>
      <c r="D209" s="711"/>
      <c r="E209" s="711"/>
      <c r="F209" s="711">
        <v>2</v>
      </c>
      <c r="G209" s="711"/>
      <c r="H209" s="711"/>
      <c r="I209" s="711"/>
      <c r="J209" s="711"/>
      <c r="K209" s="711">
        <v>1</v>
      </c>
      <c r="L209" s="711">
        <v>2</v>
      </c>
      <c r="M209" s="711" t="s">
        <v>47</v>
      </c>
    </row>
    <row r="210" spans="1:13">
      <c r="A210" s="711" t="s">
        <v>2377</v>
      </c>
      <c r="B210" s="711"/>
      <c r="C210" s="711"/>
      <c r="D210" s="711"/>
      <c r="E210" s="711"/>
      <c r="F210" s="711">
        <v>2</v>
      </c>
      <c r="G210" s="711"/>
      <c r="H210" s="711"/>
      <c r="I210" s="711"/>
      <c r="J210" s="711"/>
      <c r="K210" s="711">
        <v>1</v>
      </c>
      <c r="L210" s="711">
        <v>2</v>
      </c>
      <c r="M210" s="711" t="s">
        <v>47</v>
      </c>
    </row>
    <row r="211" spans="1:13">
      <c r="A211" s="711" t="s">
        <v>2377</v>
      </c>
      <c r="B211" s="711"/>
      <c r="C211" s="711"/>
      <c r="D211" s="711"/>
      <c r="E211" s="711"/>
      <c r="F211" s="711">
        <v>2</v>
      </c>
      <c r="G211" s="711"/>
      <c r="H211" s="711"/>
      <c r="I211" s="711"/>
      <c r="J211" s="711"/>
      <c r="K211" s="711">
        <v>1</v>
      </c>
      <c r="L211" s="711">
        <v>2</v>
      </c>
      <c r="M211" s="711" t="s">
        <v>47</v>
      </c>
    </row>
    <row r="212" spans="1:13">
      <c r="A212" s="711" t="s">
        <v>2393</v>
      </c>
      <c r="B212" s="711" t="s">
        <v>2409</v>
      </c>
      <c r="C212" s="711" t="s">
        <v>2597</v>
      </c>
      <c r="D212" s="711"/>
      <c r="E212" s="711"/>
      <c r="F212" s="711">
        <v>4</v>
      </c>
      <c r="G212" s="711">
        <v>7</v>
      </c>
      <c r="H212" s="711">
        <v>31</v>
      </c>
      <c r="I212" s="711"/>
      <c r="J212" s="711"/>
      <c r="K212" s="711">
        <v>3</v>
      </c>
      <c r="L212" s="711">
        <v>4</v>
      </c>
      <c r="M212" s="711" t="s">
        <v>3203</v>
      </c>
    </row>
    <row r="213" spans="1:13">
      <c r="A213" s="711" t="s">
        <v>2377</v>
      </c>
      <c r="B213" s="711"/>
      <c r="C213" s="711"/>
      <c r="D213" s="711"/>
      <c r="E213" s="711"/>
      <c r="F213" s="711">
        <v>2</v>
      </c>
      <c r="G213" s="711"/>
      <c r="H213" s="711"/>
      <c r="I213" s="711"/>
      <c r="J213" s="711"/>
      <c r="K213" s="711">
        <v>1</v>
      </c>
      <c r="L213" s="711">
        <v>2</v>
      </c>
      <c r="M213" s="711" t="s">
        <v>47</v>
      </c>
    </row>
    <row r="214" spans="1:13">
      <c r="A214" s="711" t="s">
        <v>2511</v>
      </c>
      <c r="B214" s="711"/>
      <c r="C214" s="711"/>
      <c r="D214" s="711"/>
      <c r="E214" s="711"/>
      <c r="F214" s="711">
        <v>31</v>
      </c>
      <c r="G214" s="711"/>
      <c r="H214" s="711"/>
      <c r="I214" s="711"/>
      <c r="J214" s="711"/>
      <c r="K214" s="711">
        <v>1</v>
      </c>
      <c r="L214" s="711">
        <v>31</v>
      </c>
      <c r="M214" s="711" t="s">
        <v>41</v>
      </c>
    </row>
    <row r="215" spans="1:13">
      <c r="A215" s="711" t="s">
        <v>3099</v>
      </c>
      <c r="B215" s="711" t="s">
        <v>2362</v>
      </c>
      <c r="C215" s="711" t="s">
        <v>2377</v>
      </c>
      <c r="D215" s="711"/>
      <c r="E215" s="711"/>
      <c r="F215" s="711">
        <v>3</v>
      </c>
      <c r="G215" s="711">
        <v>1</v>
      </c>
      <c r="H215" s="711">
        <v>2</v>
      </c>
      <c r="I215" s="711"/>
      <c r="J215" s="711"/>
      <c r="K215" s="711">
        <v>3</v>
      </c>
      <c r="L215" s="711">
        <v>3</v>
      </c>
      <c r="M215" s="711" t="s">
        <v>3184</v>
      </c>
    </row>
    <row r="216" spans="1:13">
      <c r="A216" s="711" t="s">
        <v>2362</v>
      </c>
      <c r="B216" s="711" t="s">
        <v>2420</v>
      </c>
      <c r="C216" s="711" t="s">
        <v>3100</v>
      </c>
      <c r="D216" s="711" t="s">
        <v>2377</v>
      </c>
      <c r="E216" s="711" t="s">
        <v>3099</v>
      </c>
      <c r="F216" s="711">
        <v>1</v>
      </c>
      <c r="G216" s="711">
        <v>9</v>
      </c>
      <c r="H216" s="711">
        <v>5</v>
      </c>
      <c r="I216" s="711">
        <v>2</v>
      </c>
      <c r="J216" s="711">
        <v>3</v>
      </c>
      <c r="K216" s="711">
        <v>5</v>
      </c>
      <c r="L216" s="711">
        <v>1</v>
      </c>
      <c r="M216" s="711" t="s">
        <v>3423</v>
      </c>
    </row>
    <row r="217" spans="1:13">
      <c r="A217" s="711" t="s">
        <v>2393</v>
      </c>
      <c r="B217" s="711" t="s">
        <v>2362</v>
      </c>
      <c r="C217" s="711"/>
      <c r="D217" s="711"/>
      <c r="E217" s="711"/>
      <c r="F217" s="711">
        <v>4</v>
      </c>
      <c r="G217" s="711">
        <v>1</v>
      </c>
      <c r="H217" s="711"/>
      <c r="I217" s="711"/>
      <c r="J217" s="711"/>
      <c r="K217" s="711">
        <v>2</v>
      </c>
      <c r="L217" s="711">
        <v>4</v>
      </c>
      <c r="M217" s="711" t="s">
        <v>3195</v>
      </c>
    </row>
    <row r="218" spans="1:13">
      <c r="A218" s="711" t="s">
        <v>3102</v>
      </c>
      <c r="B218" s="711"/>
      <c r="C218" s="711" t="s">
        <v>3102</v>
      </c>
      <c r="D218" s="711"/>
      <c r="E218" s="711" t="s">
        <v>2483</v>
      </c>
      <c r="F218" s="711">
        <v>10</v>
      </c>
      <c r="G218" s="711"/>
      <c r="H218" s="711">
        <v>10</v>
      </c>
      <c r="I218" s="711"/>
      <c r="J218" s="711">
        <v>31</v>
      </c>
      <c r="K218" s="711">
        <v>3</v>
      </c>
      <c r="L218" s="711">
        <v>10</v>
      </c>
      <c r="M218" s="711" t="s">
        <v>3428</v>
      </c>
    </row>
    <row r="219" spans="1:13">
      <c r="A219" s="711" t="s">
        <v>2476</v>
      </c>
      <c r="B219" s="711"/>
      <c r="C219" s="711"/>
      <c r="D219" s="711"/>
      <c r="E219" s="711"/>
      <c r="F219" s="711">
        <v>32</v>
      </c>
      <c r="G219" s="711"/>
      <c r="H219" s="711"/>
      <c r="I219" s="711"/>
      <c r="J219" s="711"/>
      <c r="K219" s="711">
        <v>1</v>
      </c>
      <c r="L219" s="711">
        <v>32</v>
      </c>
      <c r="M219" s="711" t="s">
        <v>3204</v>
      </c>
    </row>
    <row r="220" spans="1:13">
      <c r="A220" s="711" t="s">
        <v>2362</v>
      </c>
      <c r="B220" s="711" t="s">
        <v>2393</v>
      </c>
      <c r="C220" s="711" t="s">
        <v>2597</v>
      </c>
      <c r="D220" s="711"/>
      <c r="E220" s="711"/>
      <c r="F220" s="711">
        <v>1</v>
      </c>
      <c r="G220" s="711">
        <v>4</v>
      </c>
      <c r="H220" s="711">
        <v>31</v>
      </c>
      <c r="I220" s="711"/>
      <c r="J220" s="711"/>
      <c r="K220" s="711">
        <v>3</v>
      </c>
      <c r="L220" s="711">
        <v>1</v>
      </c>
      <c r="M220" s="711" t="s">
        <v>3205</v>
      </c>
    </row>
    <row r="221" spans="1:13">
      <c r="A221" s="711" t="s">
        <v>2393</v>
      </c>
      <c r="B221" s="711" t="s">
        <v>2362</v>
      </c>
      <c r="C221" s="711"/>
      <c r="D221" s="711"/>
      <c r="E221" s="711"/>
      <c r="F221" s="711">
        <v>4</v>
      </c>
      <c r="G221" s="711">
        <v>1</v>
      </c>
      <c r="H221" s="711"/>
      <c r="I221" s="711"/>
      <c r="J221" s="711"/>
      <c r="K221" s="711">
        <v>2</v>
      </c>
      <c r="L221" s="711">
        <v>4</v>
      </c>
      <c r="M221" s="711" t="s">
        <v>3195</v>
      </c>
    </row>
    <row r="222" spans="1:13">
      <c r="A222" s="711" t="s">
        <v>2799</v>
      </c>
      <c r="B222" s="711"/>
      <c r="C222" s="711"/>
      <c r="D222" s="711"/>
      <c r="E222" s="711"/>
      <c r="F222" s="711">
        <v>31</v>
      </c>
      <c r="G222" s="711"/>
      <c r="H222" s="711"/>
      <c r="I222" s="711"/>
      <c r="J222" s="711"/>
      <c r="K222" s="711">
        <v>1</v>
      </c>
      <c r="L222" s="711">
        <v>31</v>
      </c>
      <c r="M222" s="711" t="s">
        <v>41</v>
      </c>
    </row>
    <row r="223" spans="1:13">
      <c r="A223" s="711" t="s">
        <v>2393</v>
      </c>
      <c r="B223" s="711"/>
      <c r="C223" s="711"/>
      <c r="D223" s="711"/>
      <c r="E223" s="711"/>
      <c r="F223" s="711">
        <v>4</v>
      </c>
      <c r="G223" s="711"/>
      <c r="H223" s="711"/>
      <c r="I223" s="711"/>
      <c r="J223" s="711"/>
      <c r="K223" s="711">
        <v>1</v>
      </c>
      <c r="L223" s="711">
        <v>4</v>
      </c>
      <c r="M223" s="711" t="s">
        <v>39</v>
      </c>
    </row>
    <row r="224" spans="1:13">
      <c r="A224" s="711" t="s">
        <v>2974</v>
      </c>
      <c r="B224" s="711"/>
      <c r="C224" s="711"/>
      <c r="D224" s="711"/>
      <c r="E224" s="711"/>
      <c r="F224" s="711">
        <v>31</v>
      </c>
      <c r="G224" s="711"/>
      <c r="H224" s="711"/>
      <c r="I224" s="711"/>
      <c r="J224" s="711"/>
      <c r="K224" s="711">
        <v>1</v>
      </c>
      <c r="L224" s="711">
        <v>31</v>
      </c>
      <c r="M224" s="711" t="s">
        <v>41</v>
      </c>
    </row>
    <row r="225" spans="1:13">
      <c r="A225" s="711" t="s">
        <v>2377</v>
      </c>
      <c r="B225" s="711"/>
      <c r="C225" s="711"/>
      <c r="D225" s="711"/>
      <c r="E225" s="711"/>
      <c r="F225" s="711">
        <v>2</v>
      </c>
      <c r="G225" s="711"/>
      <c r="H225" s="711"/>
      <c r="I225" s="711"/>
      <c r="J225" s="711"/>
      <c r="K225" s="711">
        <v>1</v>
      </c>
      <c r="L225" s="711">
        <v>2</v>
      </c>
      <c r="M225" s="711" t="s">
        <v>47</v>
      </c>
    </row>
    <row r="226" spans="1:13">
      <c r="A226" s="711" t="s">
        <v>2390</v>
      </c>
      <c r="B226" s="711"/>
      <c r="C226" s="711"/>
      <c r="D226" s="711"/>
      <c r="E226" s="711"/>
      <c r="F226" s="711">
        <v>3</v>
      </c>
      <c r="G226" s="711"/>
      <c r="H226" s="711"/>
      <c r="I226" s="711"/>
      <c r="J226" s="711"/>
      <c r="K226" s="711">
        <v>1</v>
      </c>
      <c r="L226" s="711">
        <v>3</v>
      </c>
      <c r="M226" s="711" t="s">
        <v>48</v>
      </c>
    </row>
    <row r="227" spans="1:13">
      <c r="A227" s="711" t="s">
        <v>2511</v>
      </c>
      <c r="B227" s="711"/>
      <c r="C227" s="711"/>
      <c r="D227" s="711"/>
      <c r="E227" s="711"/>
      <c r="F227" s="711">
        <v>31</v>
      </c>
      <c r="G227" s="711"/>
      <c r="H227" s="711"/>
      <c r="I227" s="711"/>
      <c r="J227" s="711"/>
      <c r="K227" s="711">
        <v>1</v>
      </c>
      <c r="L227" s="711">
        <v>31</v>
      </c>
      <c r="M227" s="711" t="s">
        <v>41</v>
      </c>
    </row>
    <row r="228" spans="1:13">
      <c r="A228" s="711" t="s">
        <v>2362</v>
      </c>
      <c r="B228" s="711" t="s">
        <v>3099</v>
      </c>
      <c r="C228" s="711"/>
      <c r="D228" s="711"/>
      <c r="E228" s="711"/>
      <c r="F228" s="711">
        <v>1</v>
      </c>
      <c r="G228" s="711">
        <v>3</v>
      </c>
      <c r="H228" s="711"/>
      <c r="I228" s="711"/>
      <c r="J228" s="711"/>
      <c r="K228" s="711">
        <v>2</v>
      </c>
      <c r="L228" s="711">
        <v>1</v>
      </c>
      <c r="M228" s="711" t="s">
        <v>43</v>
      </c>
    </row>
    <row r="229" spans="1:13">
      <c r="A229" s="711" t="s">
        <v>3099</v>
      </c>
      <c r="B229" s="711" t="s">
        <v>2377</v>
      </c>
      <c r="C229" s="711" t="s">
        <v>2362</v>
      </c>
      <c r="D229" s="711" t="s">
        <v>2393</v>
      </c>
      <c r="E229" s="711"/>
      <c r="F229" s="711">
        <v>3</v>
      </c>
      <c r="G229" s="711">
        <v>2</v>
      </c>
      <c r="H229" s="711">
        <v>1</v>
      </c>
      <c r="I229" s="711">
        <v>4</v>
      </c>
      <c r="J229" s="711"/>
      <c r="K229" s="711">
        <v>4</v>
      </c>
      <c r="L229" s="711">
        <v>3</v>
      </c>
      <c r="M229" s="711" t="s">
        <v>3206</v>
      </c>
    </row>
    <row r="230" spans="1:13">
      <c r="A230" s="711" t="s">
        <v>2362</v>
      </c>
      <c r="B230" s="711" t="s">
        <v>2377</v>
      </c>
      <c r="C230" s="711" t="s">
        <v>3099</v>
      </c>
      <c r="D230" s="711"/>
      <c r="E230" s="711"/>
      <c r="F230" s="711">
        <v>1</v>
      </c>
      <c r="G230" s="711">
        <v>2</v>
      </c>
      <c r="H230" s="711">
        <v>3</v>
      </c>
      <c r="I230" s="711"/>
      <c r="J230" s="711"/>
      <c r="K230" s="711">
        <v>3</v>
      </c>
      <c r="L230" s="711">
        <v>1</v>
      </c>
      <c r="M230" s="711" t="s">
        <v>900</v>
      </c>
    </row>
    <row r="231" spans="1:13">
      <c r="A231" s="711" t="s">
        <v>2362</v>
      </c>
      <c r="B231" s="711" t="s">
        <v>2420</v>
      </c>
      <c r="C231" s="711" t="s">
        <v>3100</v>
      </c>
      <c r="D231" s="711" t="s">
        <v>2377</v>
      </c>
      <c r="E231" s="711"/>
      <c r="F231" s="711">
        <v>1</v>
      </c>
      <c r="G231" s="711">
        <v>9</v>
      </c>
      <c r="H231" s="711">
        <v>5</v>
      </c>
      <c r="I231" s="711">
        <v>2</v>
      </c>
      <c r="J231" s="711"/>
      <c r="K231" s="711">
        <v>4</v>
      </c>
      <c r="L231" s="711">
        <v>1</v>
      </c>
      <c r="M231" s="711" t="s">
        <v>3207</v>
      </c>
    </row>
    <row r="232" spans="1:13">
      <c r="A232" s="711" t="s">
        <v>2511</v>
      </c>
      <c r="B232" s="711"/>
      <c r="C232" s="711"/>
      <c r="D232" s="711"/>
      <c r="E232" s="711"/>
      <c r="F232" s="711">
        <v>31</v>
      </c>
      <c r="G232" s="711"/>
      <c r="H232" s="711"/>
      <c r="I232" s="711"/>
      <c r="J232" s="711"/>
      <c r="K232" s="711">
        <v>1</v>
      </c>
      <c r="L232" s="711">
        <v>31</v>
      </c>
      <c r="M232" s="711" t="s">
        <v>41</v>
      </c>
    </row>
    <row r="233" spans="1:13">
      <c r="A233" s="711" t="s">
        <v>2394</v>
      </c>
      <c r="B233" s="711"/>
      <c r="C233" s="711"/>
      <c r="D233" s="711"/>
      <c r="E233" s="711"/>
      <c r="F233" s="711">
        <v>4</v>
      </c>
      <c r="G233" s="711"/>
      <c r="H233" s="711"/>
      <c r="I233" s="711"/>
      <c r="J233" s="711"/>
      <c r="K233" s="711">
        <v>1</v>
      </c>
      <c r="L233" s="711">
        <v>4</v>
      </c>
      <c r="M233" s="711" t="s">
        <v>39</v>
      </c>
    </row>
    <row r="234" spans="1:13">
      <c r="A234" s="711" t="s">
        <v>2377</v>
      </c>
      <c r="B234" s="711"/>
      <c r="C234" s="711"/>
      <c r="D234" s="711"/>
      <c r="E234" s="711"/>
      <c r="F234" s="711">
        <v>2</v>
      </c>
      <c r="G234" s="711"/>
      <c r="H234" s="711"/>
      <c r="I234" s="711"/>
      <c r="J234" s="711"/>
      <c r="K234" s="711">
        <v>1</v>
      </c>
      <c r="L234" s="711">
        <v>2</v>
      </c>
      <c r="M234" s="711" t="s">
        <v>47</v>
      </c>
    </row>
    <row r="235" spans="1:13">
      <c r="A235" s="711" t="s">
        <v>2362</v>
      </c>
      <c r="B235" s="711" t="s">
        <v>2377</v>
      </c>
      <c r="C235" s="711" t="s">
        <v>2763</v>
      </c>
      <c r="D235" s="711"/>
      <c r="E235" s="711"/>
      <c r="F235" s="711">
        <v>1</v>
      </c>
      <c r="G235" s="711">
        <v>2</v>
      </c>
      <c r="H235" s="711">
        <v>31</v>
      </c>
      <c r="I235" s="711"/>
      <c r="J235" s="711"/>
      <c r="K235" s="711">
        <v>3</v>
      </c>
      <c r="L235" s="711">
        <v>1</v>
      </c>
      <c r="M235" s="711" t="s">
        <v>3208</v>
      </c>
    </row>
    <row r="236" spans="1:13">
      <c r="A236" s="711" t="s">
        <v>2362</v>
      </c>
      <c r="B236" s="711" t="s">
        <v>2511</v>
      </c>
      <c r="C236" s="711"/>
      <c r="D236" s="711"/>
      <c r="E236" s="711"/>
      <c r="F236" s="711">
        <v>1</v>
      </c>
      <c r="G236" s="711">
        <v>31</v>
      </c>
      <c r="H236" s="711"/>
      <c r="I236" s="711"/>
      <c r="J236" s="711"/>
      <c r="K236" s="711">
        <v>2</v>
      </c>
      <c r="L236" s="711">
        <v>1</v>
      </c>
      <c r="M236" s="711" t="s">
        <v>3151</v>
      </c>
    </row>
    <row r="237" spans="1:13">
      <c r="A237" s="711" t="s">
        <v>1118</v>
      </c>
      <c r="B237" s="711"/>
      <c r="C237" s="711"/>
      <c r="D237" s="711"/>
      <c r="E237" s="711"/>
      <c r="F237" s="711">
        <v>32</v>
      </c>
      <c r="G237" s="711"/>
      <c r="H237" s="711"/>
      <c r="I237" s="711"/>
      <c r="J237" s="711"/>
      <c r="K237" s="711">
        <v>1</v>
      </c>
      <c r="L237" s="711">
        <v>32</v>
      </c>
      <c r="M237" s="711" t="s">
        <v>3204</v>
      </c>
    </row>
    <row r="238" spans="1:13">
      <c r="A238" s="711" t="s">
        <v>2362</v>
      </c>
      <c r="B238" s="711" t="s">
        <v>2393</v>
      </c>
      <c r="C238" s="711"/>
      <c r="D238" s="711"/>
      <c r="E238" s="711"/>
      <c r="F238" s="711">
        <v>1</v>
      </c>
      <c r="G238" s="711">
        <v>4</v>
      </c>
      <c r="H238" s="711"/>
      <c r="I238" s="711"/>
      <c r="J238" s="711"/>
      <c r="K238" s="711">
        <v>2</v>
      </c>
      <c r="L238" s="711">
        <v>1</v>
      </c>
      <c r="M238" s="711" t="s">
        <v>42</v>
      </c>
    </row>
    <row r="239" spans="1:13">
      <c r="A239" s="711" t="s">
        <v>2393</v>
      </c>
      <c r="B239" s="711" t="s">
        <v>2377</v>
      </c>
      <c r="C239" s="711" t="s">
        <v>2411</v>
      </c>
      <c r="D239" s="711"/>
      <c r="E239" s="711"/>
      <c r="F239" s="711">
        <v>4</v>
      </c>
      <c r="G239" s="711">
        <v>2</v>
      </c>
      <c r="H239" s="711">
        <v>8</v>
      </c>
      <c r="I239" s="711"/>
      <c r="J239" s="711"/>
      <c r="K239" s="711">
        <v>3</v>
      </c>
      <c r="L239" s="711">
        <v>4</v>
      </c>
      <c r="M239" s="711" t="s">
        <v>3209</v>
      </c>
    </row>
    <row r="240" spans="1:13">
      <c r="A240" s="711" t="s">
        <v>2393</v>
      </c>
      <c r="B240" s="711"/>
      <c r="C240" s="711"/>
      <c r="D240" s="711"/>
      <c r="E240" s="711"/>
      <c r="F240" s="711">
        <v>4</v>
      </c>
      <c r="G240" s="711"/>
      <c r="H240" s="711"/>
      <c r="I240" s="711"/>
      <c r="J240" s="711"/>
      <c r="K240" s="711">
        <v>1</v>
      </c>
      <c r="L240" s="711">
        <v>4</v>
      </c>
      <c r="M240" s="711" t="s">
        <v>39</v>
      </c>
    </row>
    <row r="241" spans="1:13">
      <c r="A241" s="711" t="s">
        <v>2393</v>
      </c>
      <c r="B241" s="711" t="s">
        <v>2511</v>
      </c>
      <c r="C241" s="711"/>
      <c r="D241" s="711"/>
      <c r="E241" s="711"/>
      <c r="F241" s="711">
        <v>4</v>
      </c>
      <c r="G241" s="711">
        <v>31</v>
      </c>
      <c r="H241" s="711"/>
      <c r="I241" s="711"/>
      <c r="J241" s="711"/>
      <c r="K241" s="711">
        <v>2</v>
      </c>
      <c r="L241" s="711">
        <v>4</v>
      </c>
      <c r="M241" s="711" t="s">
        <v>3170</v>
      </c>
    </row>
    <row r="242" spans="1:13">
      <c r="A242" s="711" t="s">
        <v>2362</v>
      </c>
      <c r="B242" s="711" t="s">
        <v>3099</v>
      </c>
      <c r="C242" s="711"/>
      <c r="D242" s="711"/>
      <c r="E242" s="711"/>
      <c r="F242" s="711">
        <v>1</v>
      </c>
      <c r="G242" s="711">
        <v>3</v>
      </c>
      <c r="H242" s="711"/>
      <c r="I242" s="711"/>
      <c r="J242" s="711"/>
      <c r="K242" s="711">
        <v>2</v>
      </c>
      <c r="L242" s="711">
        <v>1</v>
      </c>
      <c r="M242" s="711" t="s">
        <v>43</v>
      </c>
    </row>
    <row r="243" spans="1:13">
      <c r="A243" s="711" t="s">
        <v>2362</v>
      </c>
      <c r="B243" s="711"/>
      <c r="C243" s="711"/>
      <c r="D243" s="711"/>
      <c r="E243" s="711"/>
      <c r="F243" s="711">
        <v>1</v>
      </c>
      <c r="G243" s="711"/>
      <c r="H243" s="711"/>
      <c r="I243" s="711"/>
      <c r="J243" s="711"/>
      <c r="K243" s="711">
        <v>1</v>
      </c>
      <c r="L243" s="711">
        <v>1</v>
      </c>
      <c r="M243" s="711" t="s">
        <v>26</v>
      </c>
    </row>
    <row r="244" spans="1:13">
      <c r="A244" s="711" t="s">
        <v>3099</v>
      </c>
      <c r="B244" s="711"/>
      <c r="C244" s="711"/>
      <c r="D244" s="711"/>
      <c r="E244" s="711"/>
      <c r="F244" s="711">
        <v>3</v>
      </c>
      <c r="G244" s="711"/>
      <c r="H244" s="711"/>
      <c r="I244" s="711"/>
      <c r="J244" s="711"/>
      <c r="K244" s="711">
        <v>1</v>
      </c>
      <c r="L244" s="711">
        <v>3</v>
      </c>
      <c r="M244" s="711" t="s">
        <v>48</v>
      </c>
    </row>
    <row r="245" spans="1:13">
      <c r="A245" s="711" t="s">
        <v>2363</v>
      </c>
      <c r="B245" s="711" t="s">
        <v>2395</v>
      </c>
      <c r="C245" s="711" t="s">
        <v>2384</v>
      </c>
      <c r="D245" s="711"/>
      <c r="E245" s="711"/>
      <c r="F245" s="711">
        <v>1</v>
      </c>
      <c r="G245" s="711">
        <v>4</v>
      </c>
      <c r="H245" s="711">
        <v>2</v>
      </c>
      <c r="I245" s="711"/>
      <c r="J245" s="711"/>
      <c r="K245" s="711">
        <v>3</v>
      </c>
      <c r="L245" s="711">
        <v>1</v>
      </c>
      <c r="M245" s="711" t="s">
        <v>3210</v>
      </c>
    </row>
    <row r="246" spans="1:13">
      <c r="A246" s="711" t="s">
        <v>2394</v>
      </c>
      <c r="B246" s="711" t="s">
        <v>2440</v>
      </c>
      <c r="C246" s="711" t="s">
        <v>2377</v>
      </c>
      <c r="D246" s="711" t="s">
        <v>3099</v>
      </c>
      <c r="E246" s="711"/>
      <c r="F246" s="711">
        <v>4</v>
      </c>
      <c r="G246" s="711">
        <v>14</v>
      </c>
      <c r="H246" s="711">
        <v>2</v>
      </c>
      <c r="I246" s="711">
        <v>3</v>
      </c>
      <c r="J246" s="711"/>
      <c r="K246" s="711">
        <v>4</v>
      </c>
      <c r="L246" s="711">
        <v>4</v>
      </c>
      <c r="M246" s="711" t="s">
        <v>3211</v>
      </c>
    </row>
    <row r="247" spans="1:13">
      <c r="A247" s="711" t="s">
        <v>2362</v>
      </c>
      <c r="B247" s="711"/>
      <c r="C247" s="711"/>
      <c r="D247" s="711"/>
      <c r="E247" s="711"/>
      <c r="F247" s="711">
        <v>1</v>
      </c>
      <c r="G247" s="711"/>
      <c r="H247" s="711"/>
      <c r="I247" s="711"/>
      <c r="J247" s="711"/>
      <c r="K247" s="711">
        <v>1</v>
      </c>
      <c r="L247" s="711">
        <v>1</v>
      </c>
      <c r="M247" s="711" t="s">
        <v>26</v>
      </c>
    </row>
    <row r="248" spans="1:13">
      <c r="A248" s="711" t="s">
        <v>2377</v>
      </c>
      <c r="B248" s="711" t="s">
        <v>3099</v>
      </c>
      <c r="C248" s="711" t="s">
        <v>2393</v>
      </c>
      <c r="D248" s="711"/>
      <c r="E248" s="711"/>
      <c r="F248" s="711">
        <v>2</v>
      </c>
      <c r="G248" s="711">
        <v>3</v>
      </c>
      <c r="H248" s="711">
        <v>4</v>
      </c>
      <c r="I248" s="711"/>
      <c r="J248" s="711"/>
      <c r="K248" s="711">
        <v>3</v>
      </c>
      <c r="L248" s="711">
        <v>2</v>
      </c>
      <c r="M248" s="711" t="s">
        <v>904</v>
      </c>
    </row>
    <row r="249" spans="1:13">
      <c r="A249" s="711" t="s">
        <v>2393</v>
      </c>
      <c r="B249" s="711" t="s">
        <v>2377</v>
      </c>
      <c r="C249" s="711"/>
      <c r="D249" s="711"/>
      <c r="E249" s="711"/>
      <c r="F249" s="711">
        <v>4</v>
      </c>
      <c r="G249" s="711">
        <v>2</v>
      </c>
      <c r="H249" s="711"/>
      <c r="I249" s="711"/>
      <c r="J249" s="711"/>
      <c r="K249" s="711">
        <v>2</v>
      </c>
      <c r="L249" s="711">
        <v>4</v>
      </c>
      <c r="M249" s="711" t="s">
        <v>3177</v>
      </c>
    </row>
    <row r="250" spans="1:13">
      <c r="A250" s="711" t="s">
        <v>2393</v>
      </c>
      <c r="B250" s="711" t="s">
        <v>2362</v>
      </c>
      <c r="C250" s="711" t="s">
        <v>2464</v>
      </c>
      <c r="D250" s="711"/>
      <c r="E250" s="711"/>
      <c r="F250" s="711">
        <v>4</v>
      </c>
      <c r="G250" s="711">
        <v>1</v>
      </c>
      <c r="H250" s="711">
        <v>25</v>
      </c>
      <c r="I250" s="711"/>
      <c r="J250" s="711"/>
      <c r="K250" s="711">
        <v>3</v>
      </c>
      <c r="L250" s="711">
        <v>4</v>
      </c>
      <c r="M250" s="711" t="s">
        <v>3212</v>
      </c>
    </row>
    <row r="251" spans="1:13">
      <c r="A251" s="711" t="s">
        <v>2362</v>
      </c>
      <c r="B251" s="711"/>
      <c r="C251" s="711"/>
      <c r="D251" s="711"/>
      <c r="E251" s="711"/>
      <c r="F251" s="711">
        <v>1</v>
      </c>
      <c r="G251" s="711"/>
      <c r="H251" s="711"/>
      <c r="I251" s="711"/>
      <c r="J251" s="711"/>
      <c r="K251" s="711">
        <v>1</v>
      </c>
      <c r="L251" s="711">
        <v>1</v>
      </c>
      <c r="M251" s="711" t="s">
        <v>26</v>
      </c>
    </row>
    <row r="252" spans="1:13">
      <c r="A252" s="711" t="s">
        <v>2377</v>
      </c>
      <c r="B252" s="711"/>
      <c r="C252" s="711"/>
      <c r="D252" s="711"/>
      <c r="E252" s="711"/>
      <c r="F252" s="711">
        <v>2</v>
      </c>
      <c r="G252" s="711"/>
      <c r="H252" s="711"/>
      <c r="I252" s="711"/>
      <c r="J252" s="711"/>
      <c r="K252" s="711">
        <v>1</v>
      </c>
      <c r="L252" s="711">
        <v>2</v>
      </c>
      <c r="M252" s="711" t="s">
        <v>47</v>
      </c>
    </row>
    <row r="253" spans="1:13">
      <c r="A253" s="711" t="s">
        <v>2393</v>
      </c>
      <c r="B253" s="711"/>
      <c r="C253" s="711"/>
      <c r="D253" s="711"/>
      <c r="E253" s="711"/>
      <c r="F253" s="711">
        <v>4</v>
      </c>
      <c r="G253" s="711"/>
      <c r="H253" s="711"/>
      <c r="I253" s="711"/>
      <c r="J253" s="711"/>
      <c r="K253" s="711">
        <v>1</v>
      </c>
      <c r="L253" s="711">
        <v>4</v>
      </c>
      <c r="M253" s="711" t="s">
        <v>39</v>
      </c>
    </row>
    <row r="254" spans="1:13">
      <c r="A254" s="711" t="s">
        <v>2377</v>
      </c>
      <c r="B254" s="711"/>
      <c r="C254" s="711"/>
      <c r="D254" s="711"/>
      <c r="E254" s="711"/>
      <c r="F254" s="711">
        <v>2</v>
      </c>
      <c r="G254" s="711"/>
      <c r="H254" s="711"/>
      <c r="I254" s="711"/>
      <c r="J254" s="711"/>
      <c r="K254" s="711">
        <v>1</v>
      </c>
      <c r="L254" s="711">
        <v>2</v>
      </c>
      <c r="M254" s="711" t="s">
        <v>47</v>
      </c>
    </row>
    <row r="255" spans="1:13">
      <c r="A255" s="711" t="s">
        <v>2362</v>
      </c>
      <c r="B255" s="711" t="s">
        <v>2393</v>
      </c>
      <c r="C255" s="711" t="s">
        <v>3099</v>
      </c>
      <c r="D255" s="711" t="s">
        <v>2377</v>
      </c>
      <c r="E255" s="711"/>
      <c r="F255" s="711">
        <v>1</v>
      </c>
      <c r="G255" s="711">
        <v>4</v>
      </c>
      <c r="H255" s="711">
        <v>3</v>
      </c>
      <c r="I255" s="711">
        <v>2</v>
      </c>
      <c r="J255" s="711"/>
      <c r="K255" s="711">
        <v>4</v>
      </c>
      <c r="L255" s="711">
        <v>1</v>
      </c>
      <c r="M255" s="711" t="s">
        <v>3213</v>
      </c>
    </row>
    <row r="256" spans="1:13">
      <c r="A256" s="711" t="s">
        <v>2434</v>
      </c>
      <c r="B256" s="711" t="s">
        <v>3101</v>
      </c>
      <c r="C256" s="711"/>
      <c r="D256" s="711"/>
      <c r="E256" s="711"/>
      <c r="F256" s="711">
        <v>11</v>
      </c>
      <c r="G256" s="711">
        <v>6</v>
      </c>
      <c r="H256" s="711"/>
      <c r="I256" s="711"/>
      <c r="J256" s="711"/>
      <c r="K256" s="711">
        <v>2</v>
      </c>
      <c r="L256" s="711">
        <v>11</v>
      </c>
      <c r="M256" s="711" t="s">
        <v>3214</v>
      </c>
    </row>
    <row r="257" spans="1:13">
      <c r="A257" s="711" t="s">
        <v>2362</v>
      </c>
      <c r="B257" s="711" t="s">
        <v>2377</v>
      </c>
      <c r="C257" s="711" t="s">
        <v>2393</v>
      </c>
      <c r="D257" s="711" t="s">
        <v>3099</v>
      </c>
      <c r="E257" s="711"/>
      <c r="F257" s="711">
        <v>1</v>
      </c>
      <c r="G257" s="711">
        <v>2</v>
      </c>
      <c r="H257" s="711">
        <v>4</v>
      </c>
      <c r="I257" s="711">
        <v>3</v>
      </c>
      <c r="J257" s="711"/>
      <c r="K257" s="711">
        <v>4</v>
      </c>
      <c r="L257" s="711">
        <v>1</v>
      </c>
      <c r="M257" s="711" t="s">
        <v>3215</v>
      </c>
    </row>
    <row r="258" spans="1:13">
      <c r="A258" s="711" t="s">
        <v>2393</v>
      </c>
      <c r="B258" s="711"/>
      <c r="C258" s="711"/>
      <c r="D258" s="711"/>
      <c r="E258" s="711"/>
      <c r="F258" s="711">
        <v>4</v>
      </c>
      <c r="G258" s="711"/>
      <c r="H258" s="711"/>
      <c r="I258" s="711"/>
      <c r="J258" s="711"/>
      <c r="K258" s="711">
        <v>1</v>
      </c>
      <c r="L258" s="711">
        <v>4</v>
      </c>
      <c r="M258" s="711" t="s">
        <v>39</v>
      </c>
    </row>
    <row r="259" spans="1:13">
      <c r="A259" s="711" t="s">
        <v>3099</v>
      </c>
      <c r="B259" s="711" t="s">
        <v>2377</v>
      </c>
      <c r="C259" s="711" t="s">
        <v>2511</v>
      </c>
      <c r="D259" s="711" t="s">
        <v>2589</v>
      </c>
      <c r="E259" s="711" t="s">
        <v>2409</v>
      </c>
      <c r="F259" s="711">
        <v>3</v>
      </c>
      <c r="G259" s="711">
        <v>2</v>
      </c>
      <c r="H259" s="711">
        <v>31</v>
      </c>
      <c r="I259" s="711">
        <v>31</v>
      </c>
      <c r="J259" s="711">
        <v>7</v>
      </c>
      <c r="K259" s="711">
        <v>5</v>
      </c>
      <c r="L259" s="711">
        <v>3</v>
      </c>
      <c r="M259" s="711" t="s">
        <v>3429</v>
      </c>
    </row>
    <row r="260" spans="1:13">
      <c r="A260" s="711" t="s">
        <v>2362</v>
      </c>
      <c r="B260" s="711" t="s">
        <v>2462</v>
      </c>
      <c r="C260" s="711" t="s">
        <v>2409</v>
      </c>
      <c r="D260" s="711" t="s">
        <v>2420</v>
      </c>
      <c r="E260" s="711"/>
      <c r="F260" s="711">
        <v>1</v>
      </c>
      <c r="G260" s="711">
        <v>24</v>
      </c>
      <c r="H260" s="711">
        <v>7</v>
      </c>
      <c r="I260" s="711">
        <v>9</v>
      </c>
      <c r="J260" s="711"/>
      <c r="K260" s="711">
        <v>4</v>
      </c>
      <c r="L260" s="711">
        <v>1</v>
      </c>
      <c r="M260" s="711" t="s">
        <v>3216</v>
      </c>
    </row>
    <row r="261" spans="1:13">
      <c r="A261" s="711" t="s">
        <v>2464</v>
      </c>
      <c r="B261" s="711"/>
      <c r="C261" s="711"/>
      <c r="D261" s="711"/>
      <c r="E261" s="711"/>
      <c r="F261" s="711">
        <v>25</v>
      </c>
      <c r="G261" s="711"/>
      <c r="H261" s="711"/>
      <c r="I261" s="711"/>
      <c r="J261" s="711"/>
      <c r="K261" s="711">
        <v>1</v>
      </c>
      <c r="L261" s="711">
        <v>25</v>
      </c>
      <c r="M261" s="711" t="s">
        <v>3217</v>
      </c>
    </row>
    <row r="262" spans="1:13">
      <c r="A262" s="711" t="s">
        <v>2362</v>
      </c>
      <c r="B262" s="711" t="s">
        <v>2394</v>
      </c>
      <c r="C262" s="711"/>
      <c r="D262" s="711"/>
      <c r="E262" s="711"/>
      <c r="F262" s="711">
        <v>1</v>
      </c>
      <c r="G262" s="711">
        <v>4</v>
      </c>
      <c r="H262" s="711"/>
      <c r="I262" s="711"/>
      <c r="J262" s="711"/>
      <c r="K262" s="711">
        <v>2</v>
      </c>
      <c r="L262" s="711">
        <v>1</v>
      </c>
      <c r="M262" s="711" t="s">
        <v>42</v>
      </c>
    </row>
    <row r="263" spans="1:13">
      <c r="A263" s="711" t="s">
        <v>2362</v>
      </c>
      <c r="B263" s="711" t="s">
        <v>2377</v>
      </c>
      <c r="C263" s="711" t="s">
        <v>2411</v>
      </c>
      <c r="D263" s="711"/>
      <c r="E263" s="711"/>
      <c r="F263" s="711">
        <v>1</v>
      </c>
      <c r="G263" s="711">
        <v>2</v>
      </c>
      <c r="H263" s="711">
        <v>8</v>
      </c>
      <c r="I263" s="711"/>
      <c r="J263" s="711"/>
      <c r="K263" s="711">
        <v>3</v>
      </c>
      <c r="L263" s="711">
        <v>1</v>
      </c>
      <c r="M263" s="711" t="s">
        <v>3218</v>
      </c>
    </row>
    <row r="264" spans="1:13">
      <c r="A264" s="711" t="s">
        <v>2362</v>
      </c>
      <c r="B264" s="711" t="s">
        <v>2393</v>
      </c>
      <c r="C264" s="711" t="s">
        <v>2377</v>
      </c>
      <c r="D264" s="711"/>
      <c r="E264" s="711"/>
      <c r="F264" s="711">
        <v>1</v>
      </c>
      <c r="G264" s="711">
        <v>4</v>
      </c>
      <c r="H264" s="711">
        <v>2</v>
      </c>
      <c r="I264" s="711"/>
      <c r="J264" s="711"/>
      <c r="K264" s="711">
        <v>3</v>
      </c>
      <c r="L264" s="711">
        <v>1</v>
      </c>
      <c r="M264" s="711" t="s">
        <v>3210</v>
      </c>
    </row>
    <row r="265" spans="1:13">
      <c r="A265" s="711" t="s">
        <v>2511</v>
      </c>
      <c r="B265" s="711" t="s">
        <v>2706</v>
      </c>
      <c r="C265" s="711"/>
      <c r="D265" s="711"/>
      <c r="E265" s="711"/>
      <c r="F265" s="711">
        <v>31</v>
      </c>
      <c r="G265" s="711">
        <v>31</v>
      </c>
      <c r="H265" s="711"/>
      <c r="I265" s="711"/>
      <c r="J265" s="711"/>
      <c r="K265" s="711">
        <v>2</v>
      </c>
      <c r="L265" s="711">
        <v>31</v>
      </c>
      <c r="M265" s="711" t="s">
        <v>41</v>
      </c>
    </row>
    <row r="266" spans="1:13">
      <c r="A266" s="711" t="s">
        <v>3099</v>
      </c>
      <c r="B266" s="711" t="s">
        <v>3026</v>
      </c>
      <c r="C266" s="711" t="s">
        <v>2967</v>
      </c>
      <c r="D266" s="711" t="s">
        <v>3088</v>
      </c>
      <c r="E266" s="711"/>
      <c r="F266" s="711">
        <v>3</v>
      </c>
      <c r="G266" s="711">
        <v>31</v>
      </c>
      <c r="H266" s="711">
        <v>31</v>
      </c>
      <c r="I266" s="711">
        <v>31</v>
      </c>
      <c r="J266" s="711"/>
      <c r="K266" s="711">
        <v>4</v>
      </c>
      <c r="L266" s="711">
        <v>3</v>
      </c>
      <c r="M266" s="711" t="s">
        <v>3238</v>
      </c>
    </row>
    <row r="267" spans="1:13">
      <c r="A267" s="711" t="s">
        <v>3099</v>
      </c>
      <c r="B267" s="711" t="s">
        <v>2377</v>
      </c>
      <c r="C267" s="711" t="s">
        <v>2362</v>
      </c>
      <c r="D267" s="711" t="s">
        <v>1013</v>
      </c>
      <c r="E267" s="711"/>
      <c r="F267" s="711">
        <v>3</v>
      </c>
      <c r="G267" s="711">
        <v>2</v>
      </c>
      <c r="H267" s="711">
        <v>1</v>
      </c>
      <c r="I267" s="711">
        <v>31</v>
      </c>
      <c r="J267" s="711"/>
      <c r="K267" s="711">
        <v>4</v>
      </c>
      <c r="L267" s="711">
        <v>3</v>
      </c>
      <c r="M267" s="711" t="s">
        <v>3219</v>
      </c>
    </row>
    <row r="268" spans="1:13">
      <c r="A268" s="711" t="s">
        <v>2975</v>
      </c>
      <c r="B268" s="711"/>
      <c r="C268" s="711"/>
      <c r="D268" s="711"/>
      <c r="E268" s="711"/>
      <c r="F268" s="711">
        <v>31</v>
      </c>
      <c r="G268" s="711"/>
      <c r="H268" s="711"/>
      <c r="I268" s="711"/>
      <c r="J268" s="711"/>
      <c r="K268" s="711">
        <v>1</v>
      </c>
      <c r="L268" s="711">
        <v>31</v>
      </c>
      <c r="M268" s="711" t="s">
        <v>41</v>
      </c>
    </row>
    <row r="269" spans="1:13">
      <c r="A269" s="711" t="s">
        <v>2377</v>
      </c>
      <c r="B269" s="711" t="s">
        <v>3099</v>
      </c>
      <c r="C269" s="711"/>
      <c r="D269" s="711"/>
      <c r="E269" s="711"/>
      <c r="F269" s="711">
        <v>2</v>
      </c>
      <c r="G269" s="711">
        <v>3</v>
      </c>
      <c r="H269" s="711"/>
      <c r="I269" s="711"/>
      <c r="J269" s="711"/>
      <c r="K269" s="711">
        <v>2</v>
      </c>
      <c r="L269" s="711">
        <v>2</v>
      </c>
      <c r="M269" s="711" t="s">
        <v>893</v>
      </c>
    </row>
    <row r="270" spans="1:13">
      <c r="A270" s="711" t="s">
        <v>3099</v>
      </c>
      <c r="B270" s="711"/>
      <c r="C270" s="711"/>
      <c r="D270" s="711"/>
      <c r="E270" s="711"/>
      <c r="F270" s="711">
        <v>3</v>
      </c>
      <c r="G270" s="711"/>
      <c r="H270" s="711"/>
      <c r="I270" s="711"/>
      <c r="J270" s="711"/>
      <c r="K270" s="711">
        <v>1</v>
      </c>
      <c r="L270" s="711">
        <v>3</v>
      </c>
      <c r="M270" s="711" t="s">
        <v>48</v>
      </c>
    </row>
    <row r="271" spans="1:13">
      <c r="A271" s="711" t="s">
        <v>2377</v>
      </c>
      <c r="B271" s="711" t="s">
        <v>2362</v>
      </c>
      <c r="C271" s="711"/>
      <c r="D271" s="711"/>
      <c r="E271" s="711"/>
      <c r="F271" s="711">
        <v>2</v>
      </c>
      <c r="G271" s="711">
        <v>1</v>
      </c>
      <c r="H271" s="711"/>
      <c r="I271" s="711"/>
      <c r="J271" s="711"/>
      <c r="K271" s="711">
        <v>2</v>
      </c>
      <c r="L271" s="711">
        <v>2</v>
      </c>
      <c r="M271" s="711" t="s">
        <v>3180</v>
      </c>
    </row>
    <row r="272" spans="1:13">
      <c r="A272" s="711" t="s">
        <v>2362</v>
      </c>
      <c r="B272" s="711" t="s">
        <v>2411</v>
      </c>
      <c r="C272" s="711" t="s">
        <v>2377</v>
      </c>
      <c r="D272" s="711" t="s">
        <v>3099</v>
      </c>
      <c r="E272" s="711"/>
      <c r="F272" s="711">
        <v>1</v>
      </c>
      <c r="G272" s="711">
        <v>8</v>
      </c>
      <c r="H272" s="711">
        <v>2</v>
      </c>
      <c r="I272" s="711">
        <v>3</v>
      </c>
      <c r="J272" s="711"/>
      <c r="K272" s="711">
        <v>4</v>
      </c>
      <c r="L272" s="711">
        <v>1</v>
      </c>
      <c r="M272" s="711" t="s">
        <v>3220</v>
      </c>
    </row>
    <row r="273" spans="1:13">
      <c r="A273" s="711" t="s">
        <v>2393</v>
      </c>
      <c r="B273" s="711" t="s">
        <v>2377</v>
      </c>
      <c r="C273" s="711" t="s">
        <v>2362</v>
      </c>
      <c r="D273" s="711"/>
      <c r="E273" s="711"/>
      <c r="F273" s="711">
        <v>4</v>
      </c>
      <c r="G273" s="711">
        <v>2</v>
      </c>
      <c r="H273" s="711">
        <v>1</v>
      </c>
      <c r="I273" s="711"/>
      <c r="J273" s="711"/>
      <c r="K273" s="711">
        <v>3</v>
      </c>
      <c r="L273" s="711">
        <v>4</v>
      </c>
      <c r="M273" s="711" t="s">
        <v>3221</v>
      </c>
    </row>
    <row r="274" spans="1:13">
      <c r="A274" s="711" t="s">
        <v>2362</v>
      </c>
      <c r="B274" s="711"/>
      <c r="C274" s="711"/>
      <c r="D274" s="711"/>
      <c r="E274" s="711"/>
      <c r="F274" s="711">
        <v>1</v>
      </c>
      <c r="G274" s="711"/>
      <c r="H274" s="711"/>
      <c r="I274" s="711"/>
      <c r="J274" s="711"/>
      <c r="K274" s="711">
        <v>1</v>
      </c>
      <c r="L274" s="711">
        <v>1</v>
      </c>
      <c r="M274" s="711" t="s">
        <v>26</v>
      </c>
    </row>
    <row r="275" spans="1:13">
      <c r="A275" s="711" t="s">
        <v>2483</v>
      </c>
      <c r="B275" s="711" t="s">
        <v>3100</v>
      </c>
      <c r="C275" s="711" t="s">
        <v>2411</v>
      </c>
      <c r="D275" s="711" t="s">
        <v>2377</v>
      </c>
      <c r="E275" s="711" t="s">
        <v>2731</v>
      </c>
      <c r="F275" s="711">
        <v>31</v>
      </c>
      <c r="G275" s="711">
        <v>5</v>
      </c>
      <c r="H275" s="711">
        <v>8</v>
      </c>
      <c r="I275" s="711">
        <v>2</v>
      </c>
      <c r="J275" s="711">
        <v>31</v>
      </c>
      <c r="K275" s="711">
        <v>5</v>
      </c>
      <c r="L275" s="711">
        <v>31</v>
      </c>
      <c r="M275" s="711" t="s">
        <v>3430</v>
      </c>
    </row>
    <row r="276" spans="1:13">
      <c r="A276" s="711" t="s">
        <v>2362</v>
      </c>
      <c r="B276" s="711" t="s">
        <v>2393</v>
      </c>
      <c r="C276" s="711" t="s">
        <v>3099</v>
      </c>
      <c r="D276" s="711"/>
      <c r="E276" s="711"/>
      <c r="F276" s="711">
        <v>1</v>
      </c>
      <c r="G276" s="711">
        <v>4</v>
      </c>
      <c r="H276" s="711">
        <v>3</v>
      </c>
      <c r="I276" s="711"/>
      <c r="J276" s="711"/>
      <c r="K276" s="711">
        <v>3</v>
      </c>
      <c r="L276" s="711">
        <v>1</v>
      </c>
      <c r="M276" s="711" t="s">
        <v>3150</v>
      </c>
    </row>
    <row r="277" spans="1:13">
      <c r="A277" s="711" t="s">
        <v>2409</v>
      </c>
      <c r="B277" s="711"/>
      <c r="C277" s="711"/>
      <c r="D277" s="711"/>
      <c r="E277" s="711"/>
      <c r="F277" s="711">
        <v>7</v>
      </c>
      <c r="G277" s="711"/>
      <c r="H277" s="711"/>
      <c r="I277" s="711"/>
      <c r="J277" s="711"/>
      <c r="K277" s="711">
        <v>1</v>
      </c>
      <c r="L277" s="711">
        <v>7</v>
      </c>
      <c r="M277" s="711" t="s">
        <v>34</v>
      </c>
    </row>
    <row r="278" spans="1:13">
      <c r="A278" s="711" t="s">
        <v>2362</v>
      </c>
      <c r="B278" s="711" t="s">
        <v>3027</v>
      </c>
      <c r="C278" s="711" t="s">
        <v>3099</v>
      </c>
      <c r="D278" s="711" t="s">
        <v>2377</v>
      </c>
      <c r="E278" s="711"/>
      <c r="F278" s="711">
        <v>1</v>
      </c>
      <c r="G278" s="711">
        <v>31</v>
      </c>
      <c r="H278" s="711">
        <v>3</v>
      </c>
      <c r="I278" s="711">
        <v>2</v>
      </c>
      <c r="J278" s="711"/>
      <c r="K278" s="711">
        <v>4</v>
      </c>
      <c r="L278" s="711">
        <v>1</v>
      </c>
      <c r="M278" s="711" t="s">
        <v>3222</v>
      </c>
    </row>
    <row r="279" spans="1:13">
      <c r="A279" s="711" t="s">
        <v>2352</v>
      </c>
      <c r="B279" s="711" t="s">
        <v>2377</v>
      </c>
      <c r="C279" s="711" t="s">
        <v>3099</v>
      </c>
      <c r="D279" s="711" t="s">
        <v>2589</v>
      </c>
      <c r="E279" s="711"/>
      <c r="F279" s="711">
        <v>31</v>
      </c>
      <c r="G279" s="711">
        <v>2</v>
      </c>
      <c r="H279" s="711">
        <v>3</v>
      </c>
      <c r="I279" s="711">
        <v>31</v>
      </c>
      <c r="J279" s="711"/>
      <c r="K279" s="711">
        <v>4</v>
      </c>
      <c r="L279" s="711">
        <v>31</v>
      </c>
      <c r="M279" s="711" t="s">
        <v>3405</v>
      </c>
    </row>
    <row r="280" spans="1:13">
      <c r="A280" s="711" t="s">
        <v>2587</v>
      </c>
      <c r="B280" s="711" t="s">
        <v>3028</v>
      </c>
      <c r="C280" s="711" t="s">
        <v>3057</v>
      </c>
      <c r="D280" s="711" t="s">
        <v>3089</v>
      </c>
      <c r="E280" s="711" t="s">
        <v>3108</v>
      </c>
      <c r="F280" s="711">
        <v>31</v>
      </c>
      <c r="G280" s="711">
        <v>31</v>
      </c>
      <c r="H280" s="711">
        <v>31</v>
      </c>
      <c r="I280" s="711">
        <v>31</v>
      </c>
      <c r="J280" s="711">
        <v>31</v>
      </c>
      <c r="K280" s="711">
        <v>5</v>
      </c>
      <c r="L280" s="711">
        <v>31</v>
      </c>
      <c r="M280" s="711" t="s">
        <v>41</v>
      </c>
    </row>
    <row r="281" spans="1:13">
      <c r="A281" s="711" t="s">
        <v>2393</v>
      </c>
      <c r="B281" s="711" t="s">
        <v>2511</v>
      </c>
      <c r="C281" s="711" t="s">
        <v>3099</v>
      </c>
      <c r="D281" s="711"/>
      <c r="E281" s="711"/>
      <c r="F281" s="711">
        <v>4</v>
      </c>
      <c r="G281" s="711">
        <v>31</v>
      </c>
      <c r="H281" s="711">
        <v>3</v>
      </c>
      <c r="I281" s="711"/>
      <c r="J281" s="711"/>
      <c r="K281" s="711">
        <v>3</v>
      </c>
      <c r="L281" s="711">
        <v>4</v>
      </c>
      <c r="M281" s="711" t="s">
        <v>3223</v>
      </c>
    </row>
    <row r="282" spans="1:13">
      <c r="A282" s="711" t="s">
        <v>2734</v>
      </c>
      <c r="B282" s="711"/>
      <c r="C282" s="711"/>
      <c r="D282" s="711"/>
      <c r="E282" s="711"/>
      <c r="F282" s="711">
        <v>31</v>
      </c>
      <c r="G282" s="711"/>
      <c r="H282" s="711"/>
      <c r="I282" s="711"/>
      <c r="J282" s="711"/>
      <c r="K282" s="711">
        <v>1</v>
      </c>
      <c r="L282" s="711">
        <v>31</v>
      </c>
      <c r="M282" s="711" t="s">
        <v>41</v>
      </c>
    </row>
    <row r="283" spans="1:13">
      <c r="A283" s="711" t="s">
        <v>2976</v>
      </c>
      <c r="B283" s="711"/>
      <c r="C283" s="711"/>
      <c r="D283" s="711"/>
      <c r="E283" s="711"/>
      <c r="F283" s="711">
        <v>31</v>
      </c>
      <c r="G283" s="711"/>
      <c r="H283" s="711"/>
      <c r="I283" s="711"/>
      <c r="J283" s="711"/>
      <c r="K283" s="711">
        <v>1</v>
      </c>
      <c r="L283" s="711">
        <v>31</v>
      </c>
      <c r="M283" s="711" t="s">
        <v>41</v>
      </c>
    </row>
    <row r="284" spans="1:13">
      <c r="A284" s="711" t="s">
        <v>2434</v>
      </c>
      <c r="B284" s="711"/>
      <c r="C284" s="711"/>
      <c r="D284" s="711"/>
      <c r="E284" s="711"/>
      <c r="F284" s="711">
        <v>11</v>
      </c>
      <c r="G284" s="711"/>
      <c r="H284" s="711"/>
      <c r="I284" s="711"/>
      <c r="J284" s="711"/>
      <c r="K284" s="711">
        <v>1</v>
      </c>
      <c r="L284" s="711">
        <v>11</v>
      </c>
      <c r="M284" s="711" t="s">
        <v>38</v>
      </c>
    </row>
    <row r="285" spans="1:13">
      <c r="A285" s="711" t="s">
        <v>2393</v>
      </c>
      <c r="B285" s="711"/>
      <c r="C285" s="711"/>
      <c r="D285" s="711"/>
      <c r="E285" s="711"/>
      <c r="F285" s="711">
        <v>4</v>
      </c>
      <c r="G285" s="711"/>
      <c r="H285" s="711"/>
      <c r="I285" s="711"/>
      <c r="J285" s="711"/>
      <c r="K285" s="711">
        <v>1</v>
      </c>
      <c r="L285" s="711">
        <v>4</v>
      </c>
      <c r="M285" s="711" t="s">
        <v>39</v>
      </c>
    </row>
    <row r="286" spans="1:13">
      <c r="A286" s="711" t="s">
        <v>2377</v>
      </c>
      <c r="B286" s="711"/>
      <c r="C286" s="711"/>
      <c r="D286" s="711"/>
      <c r="E286" s="711"/>
      <c r="F286" s="711">
        <v>2</v>
      </c>
      <c r="G286" s="711"/>
      <c r="H286" s="711"/>
      <c r="I286" s="711"/>
      <c r="J286" s="711"/>
      <c r="K286" s="711">
        <v>1</v>
      </c>
      <c r="L286" s="711">
        <v>2</v>
      </c>
      <c r="M286" s="711" t="s">
        <v>47</v>
      </c>
    </row>
    <row r="287" spans="1:13">
      <c r="A287" s="711" t="s">
        <v>2394</v>
      </c>
      <c r="B287" s="711" t="s">
        <v>3029</v>
      </c>
      <c r="C287" s="711"/>
      <c r="D287" s="711"/>
      <c r="E287" s="711"/>
      <c r="F287" s="711">
        <v>4</v>
      </c>
      <c r="G287" s="711">
        <v>31</v>
      </c>
      <c r="H287" s="711"/>
      <c r="I287" s="711"/>
      <c r="J287" s="711"/>
      <c r="K287" s="711">
        <v>2</v>
      </c>
      <c r="L287" s="711">
        <v>4</v>
      </c>
      <c r="M287" s="711" t="s">
        <v>3170</v>
      </c>
    </row>
    <row r="288" spans="1:13">
      <c r="A288" s="711" t="s">
        <v>2377</v>
      </c>
      <c r="B288" s="711"/>
      <c r="C288" s="711"/>
      <c r="D288" s="711"/>
      <c r="E288" s="711"/>
      <c r="F288" s="711">
        <v>2</v>
      </c>
      <c r="G288" s="711"/>
      <c r="H288" s="711"/>
      <c r="I288" s="711"/>
      <c r="J288" s="711"/>
      <c r="K288" s="711">
        <v>1</v>
      </c>
      <c r="L288" s="711">
        <v>2</v>
      </c>
      <c r="M288" s="711" t="s">
        <v>47</v>
      </c>
    </row>
    <row r="289" spans="1:13">
      <c r="A289" s="711" t="s">
        <v>2409</v>
      </c>
      <c r="B289" s="711" t="s">
        <v>3099</v>
      </c>
      <c r="C289" s="711" t="s">
        <v>2362</v>
      </c>
      <c r="D289" s="711" t="s">
        <v>3101</v>
      </c>
      <c r="E289" s="711" t="s">
        <v>2377</v>
      </c>
      <c r="F289" s="711">
        <v>7</v>
      </c>
      <c r="G289" s="711">
        <v>3</v>
      </c>
      <c r="H289" s="711">
        <v>1</v>
      </c>
      <c r="I289" s="711">
        <v>6</v>
      </c>
      <c r="J289" s="711">
        <v>2</v>
      </c>
      <c r="K289" s="711">
        <v>5</v>
      </c>
      <c r="L289" s="711">
        <v>7</v>
      </c>
      <c r="M289" s="711" t="s">
        <v>3431</v>
      </c>
    </row>
    <row r="290" spans="1:13">
      <c r="A290" s="711" t="s">
        <v>2393</v>
      </c>
      <c r="B290" s="711"/>
      <c r="C290" s="711"/>
      <c r="D290" s="711"/>
      <c r="E290" s="711"/>
      <c r="F290" s="711">
        <v>4</v>
      </c>
      <c r="G290" s="711"/>
      <c r="H290" s="711"/>
      <c r="I290" s="711"/>
      <c r="J290" s="711"/>
      <c r="K290" s="711">
        <v>1</v>
      </c>
      <c r="L290" s="711">
        <v>4</v>
      </c>
      <c r="M290" s="711" t="s">
        <v>39</v>
      </c>
    </row>
    <row r="291" spans="1:13">
      <c r="A291" s="711" t="s">
        <v>2388</v>
      </c>
      <c r="B291" s="711" t="s">
        <v>2362</v>
      </c>
      <c r="C291" s="711" t="s">
        <v>2393</v>
      </c>
      <c r="D291" s="711" t="s">
        <v>2411</v>
      </c>
      <c r="E291" s="711"/>
      <c r="F291" s="711">
        <v>3</v>
      </c>
      <c r="G291" s="711">
        <v>1</v>
      </c>
      <c r="H291" s="711">
        <v>4</v>
      </c>
      <c r="I291" s="711">
        <v>8</v>
      </c>
      <c r="J291" s="711"/>
      <c r="K291" s="711">
        <v>4</v>
      </c>
      <c r="L291" s="711">
        <v>3</v>
      </c>
      <c r="M291" s="711" t="s">
        <v>3224</v>
      </c>
    </row>
    <row r="292" spans="1:13">
      <c r="A292" s="711" t="s">
        <v>2420</v>
      </c>
      <c r="B292" s="711" t="s">
        <v>2362</v>
      </c>
      <c r="C292" s="711" t="s">
        <v>2393</v>
      </c>
      <c r="D292" s="711" t="s">
        <v>2425</v>
      </c>
      <c r="E292" s="711"/>
      <c r="F292" s="711">
        <v>9</v>
      </c>
      <c r="G292" s="711">
        <v>1</v>
      </c>
      <c r="H292" s="711">
        <v>4</v>
      </c>
      <c r="I292" s="711">
        <v>9</v>
      </c>
      <c r="J292" s="711"/>
      <c r="K292" s="711">
        <v>4</v>
      </c>
      <c r="L292" s="711">
        <v>9</v>
      </c>
      <c r="M292" s="711" t="s">
        <v>3305</v>
      </c>
    </row>
    <row r="293" spans="1:13">
      <c r="A293" s="711" t="s">
        <v>2409</v>
      </c>
      <c r="B293" s="711" t="s">
        <v>3099</v>
      </c>
      <c r="C293" s="711"/>
      <c r="D293" s="711"/>
      <c r="E293" s="711"/>
      <c r="F293" s="711">
        <v>7</v>
      </c>
      <c r="G293" s="711">
        <v>3</v>
      </c>
      <c r="H293" s="711"/>
      <c r="I293" s="711"/>
      <c r="J293" s="711"/>
      <c r="K293" s="711">
        <v>2</v>
      </c>
      <c r="L293" s="711">
        <v>7</v>
      </c>
      <c r="M293" s="711" t="s">
        <v>3225</v>
      </c>
    </row>
    <row r="294" spans="1:13">
      <c r="A294" s="711" t="s">
        <v>3099</v>
      </c>
      <c r="B294" s="711" t="s">
        <v>2377</v>
      </c>
      <c r="C294" s="711"/>
      <c r="D294" s="711"/>
      <c r="E294" s="711"/>
      <c r="F294" s="711">
        <v>3</v>
      </c>
      <c r="G294" s="711">
        <v>2</v>
      </c>
      <c r="H294" s="711"/>
      <c r="I294" s="711"/>
      <c r="J294" s="711"/>
      <c r="K294" s="711">
        <v>2</v>
      </c>
      <c r="L294" s="711">
        <v>3</v>
      </c>
      <c r="M294" s="711" t="s">
        <v>3193</v>
      </c>
    </row>
    <row r="295" spans="1:13">
      <c r="A295" s="711" t="s">
        <v>2977</v>
      </c>
      <c r="B295" s="711" t="s">
        <v>2511</v>
      </c>
      <c r="C295" s="711"/>
      <c r="D295" s="711"/>
      <c r="E295" s="711"/>
      <c r="F295" s="711">
        <v>31</v>
      </c>
      <c r="G295" s="711">
        <v>31</v>
      </c>
      <c r="H295" s="711"/>
      <c r="I295" s="711"/>
      <c r="J295" s="711"/>
      <c r="K295" s="711">
        <v>2</v>
      </c>
      <c r="L295" s="711">
        <v>31</v>
      </c>
      <c r="M295" s="711" t="s">
        <v>41</v>
      </c>
    </row>
    <row r="296" spans="1:13">
      <c r="A296" s="711" t="s">
        <v>2420</v>
      </c>
      <c r="B296" s="711" t="s">
        <v>2362</v>
      </c>
      <c r="C296" s="711" t="s">
        <v>3100</v>
      </c>
      <c r="D296" s="711" t="s">
        <v>2409</v>
      </c>
      <c r="E296" s="711" t="s">
        <v>3099</v>
      </c>
      <c r="F296" s="711">
        <v>9</v>
      </c>
      <c r="G296" s="711">
        <v>1</v>
      </c>
      <c r="H296" s="711">
        <v>5</v>
      </c>
      <c r="I296" s="711">
        <v>7</v>
      </c>
      <c r="J296" s="711">
        <v>3</v>
      </c>
      <c r="K296" s="711">
        <v>5</v>
      </c>
      <c r="L296" s="711">
        <v>9</v>
      </c>
      <c r="M296" s="711" t="s">
        <v>3432</v>
      </c>
    </row>
    <row r="297" spans="1:13">
      <c r="A297" s="711" t="s">
        <v>2420</v>
      </c>
      <c r="B297" s="711" t="s">
        <v>3030</v>
      </c>
      <c r="C297" s="711" t="s">
        <v>2967</v>
      </c>
      <c r="D297" s="711"/>
      <c r="E297" s="711"/>
      <c r="F297" s="711">
        <v>9</v>
      </c>
      <c r="G297" s="711">
        <v>31</v>
      </c>
      <c r="H297" s="711">
        <v>31</v>
      </c>
      <c r="I297" s="711"/>
      <c r="J297" s="711"/>
      <c r="K297" s="711">
        <v>3</v>
      </c>
      <c r="L297" s="711">
        <v>9</v>
      </c>
      <c r="M297" s="711" t="s">
        <v>3231</v>
      </c>
    </row>
    <row r="298" spans="1:13">
      <c r="A298" s="711" t="s">
        <v>2799</v>
      </c>
      <c r="B298" s="711"/>
      <c r="C298" s="711"/>
      <c r="D298" s="711"/>
      <c r="E298" s="711"/>
      <c r="F298" s="711">
        <v>31</v>
      </c>
      <c r="G298" s="711"/>
      <c r="H298" s="711"/>
      <c r="I298" s="711"/>
      <c r="J298" s="711"/>
      <c r="K298" s="711">
        <v>1</v>
      </c>
      <c r="L298" s="711">
        <v>31</v>
      </c>
      <c r="M298" s="711" t="s">
        <v>41</v>
      </c>
    </row>
    <row r="299" spans="1:13">
      <c r="A299" s="711" t="s">
        <v>2511</v>
      </c>
      <c r="B299" s="711"/>
      <c r="C299" s="711"/>
      <c r="D299" s="711"/>
      <c r="E299" s="711"/>
      <c r="F299" s="711">
        <v>31</v>
      </c>
      <c r="G299" s="711"/>
      <c r="H299" s="711"/>
      <c r="I299" s="711"/>
      <c r="J299" s="711"/>
      <c r="K299" s="711">
        <v>1</v>
      </c>
      <c r="L299" s="711">
        <v>31</v>
      </c>
      <c r="M299" s="711" t="s">
        <v>41</v>
      </c>
    </row>
    <row r="300" spans="1:13">
      <c r="A300" s="711" t="s">
        <v>2978</v>
      </c>
      <c r="B300" s="711" t="s">
        <v>2964</v>
      </c>
      <c r="C300" s="711" t="s">
        <v>1057</v>
      </c>
      <c r="D300" s="711"/>
      <c r="E300" s="711"/>
      <c r="F300" s="711">
        <v>31</v>
      </c>
      <c r="G300" s="711">
        <v>31</v>
      </c>
      <c r="H300" s="711">
        <v>31</v>
      </c>
      <c r="I300" s="711"/>
      <c r="J300" s="711"/>
      <c r="K300" s="711">
        <v>3</v>
      </c>
      <c r="L300" s="711">
        <v>31</v>
      </c>
      <c r="M300" s="711" t="s">
        <v>41</v>
      </c>
    </row>
    <row r="301" spans="1:13">
      <c r="A301" s="711" t="s">
        <v>2362</v>
      </c>
      <c r="B301" s="711"/>
      <c r="C301" s="711"/>
      <c r="D301" s="711"/>
      <c r="E301" s="711"/>
      <c r="F301" s="711">
        <v>1</v>
      </c>
      <c r="G301" s="711"/>
      <c r="H301" s="711"/>
      <c r="I301" s="711"/>
      <c r="J301" s="711"/>
      <c r="K301" s="711">
        <v>1</v>
      </c>
      <c r="L301" s="711">
        <v>1</v>
      </c>
      <c r="M301" s="711" t="s">
        <v>26</v>
      </c>
    </row>
    <row r="302" spans="1:13">
      <c r="A302" s="711" t="s">
        <v>3101</v>
      </c>
      <c r="B302" s="711" t="s">
        <v>2393</v>
      </c>
      <c r="C302" s="711" t="s">
        <v>2362</v>
      </c>
      <c r="D302" s="711"/>
      <c r="E302" s="711"/>
      <c r="F302" s="711">
        <v>6</v>
      </c>
      <c r="G302" s="711">
        <v>4</v>
      </c>
      <c r="H302" s="711">
        <v>1</v>
      </c>
      <c r="I302" s="711"/>
      <c r="J302" s="711"/>
      <c r="K302" s="711">
        <v>3</v>
      </c>
      <c r="L302" s="711">
        <v>6</v>
      </c>
      <c r="M302" s="711" t="s">
        <v>3226</v>
      </c>
    </row>
    <row r="303" spans="1:13">
      <c r="A303" s="711" t="s">
        <v>2799</v>
      </c>
      <c r="B303" s="711"/>
      <c r="C303" s="711"/>
      <c r="D303" s="711"/>
      <c r="E303" s="711"/>
      <c r="F303" s="711">
        <v>31</v>
      </c>
      <c r="G303" s="711"/>
      <c r="H303" s="711"/>
      <c r="I303" s="711"/>
      <c r="J303" s="711"/>
      <c r="K303" s="711">
        <v>1</v>
      </c>
      <c r="L303" s="711">
        <v>31</v>
      </c>
      <c r="M303" s="711" t="s">
        <v>41</v>
      </c>
    </row>
    <row r="304" spans="1:13">
      <c r="A304" s="711" t="s">
        <v>2482</v>
      </c>
      <c r="B304" s="711"/>
      <c r="C304" s="711"/>
      <c r="D304" s="711"/>
      <c r="E304" s="711"/>
      <c r="F304" s="711">
        <v>31</v>
      </c>
      <c r="G304" s="711"/>
      <c r="H304" s="711"/>
      <c r="I304" s="711"/>
      <c r="J304" s="711"/>
      <c r="K304" s="711">
        <v>1</v>
      </c>
      <c r="L304" s="711">
        <v>31</v>
      </c>
      <c r="M304" s="711" t="s">
        <v>41</v>
      </c>
    </row>
    <row r="305" spans="1:13">
      <c r="A305" s="711" t="s">
        <v>2420</v>
      </c>
      <c r="B305" s="711" t="s">
        <v>2464</v>
      </c>
      <c r="C305" s="711" t="s">
        <v>2704</v>
      </c>
      <c r="D305" s="711"/>
      <c r="E305" s="711"/>
      <c r="F305" s="711">
        <v>9</v>
      </c>
      <c r="G305" s="711">
        <v>25</v>
      </c>
      <c r="H305" s="711">
        <v>31</v>
      </c>
      <c r="I305" s="711"/>
      <c r="J305" s="711"/>
      <c r="K305" s="711">
        <v>3</v>
      </c>
      <c r="L305" s="711">
        <v>9</v>
      </c>
      <c r="M305" s="711" t="s">
        <v>3227</v>
      </c>
    </row>
    <row r="306" spans="1:13">
      <c r="A306" s="711" t="s">
        <v>2958</v>
      </c>
      <c r="B306" s="711"/>
      <c r="C306" s="711"/>
      <c r="D306" s="711"/>
      <c r="E306" s="711"/>
      <c r="F306" s="711">
        <v>31</v>
      </c>
      <c r="G306" s="711"/>
      <c r="H306" s="711"/>
      <c r="I306" s="711"/>
      <c r="J306" s="711"/>
      <c r="K306" s="711">
        <v>1</v>
      </c>
      <c r="L306" s="711">
        <v>31</v>
      </c>
      <c r="M306" s="711" t="s">
        <v>41</v>
      </c>
    </row>
    <row r="307" spans="1:13">
      <c r="A307" s="711" t="s">
        <v>2377</v>
      </c>
      <c r="B307" s="711" t="s">
        <v>3099</v>
      </c>
      <c r="C307" s="711" t="s">
        <v>2362</v>
      </c>
      <c r="D307" s="711"/>
      <c r="E307" s="711"/>
      <c r="F307" s="711">
        <v>2</v>
      </c>
      <c r="G307" s="711">
        <v>3</v>
      </c>
      <c r="H307" s="711">
        <v>1</v>
      </c>
      <c r="I307" s="711"/>
      <c r="J307" s="711"/>
      <c r="K307" s="711">
        <v>3</v>
      </c>
      <c r="L307" s="711">
        <v>2</v>
      </c>
      <c r="M307" s="711" t="s">
        <v>3165</v>
      </c>
    </row>
    <row r="308" spans="1:13">
      <c r="A308" s="711" t="s">
        <v>2411</v>
      </c>
      <c r="B308" s="711"/>
      <c r="C308" s="711"/>
      <c r="D308" s="711"/>
      <c r="E308" s="711"/>
      <c r="F308" s="711">
        <v>8</v>
      </c>
      <c r="G308" s="711"/>
      <c r="H308" s="711"/>
      <c r="I308" s="711"/>
      <c r="J308" s="711"/>
      <c r="K308" s="711">
        <v>1</v>
      </c>
      <c r="L308" s="711">
        <v>8</v>
      </c>
      <c r="M308" s="711" t="s">
        <v>51</v>
      </c>
    </row>
    <row r="309" spans="1:13">
      <c r="A309" s="711" t="s">
        <v>2362</v>
      </c>
      <c r="B309" s="711" t="s">
        <v>2420</v>
      </c>
      <c r="C309" s="711" t="s">
        <v>3100</v>
      </c>
      <c r="D309" s="711" t="s">
        <v>2464</v>
      </c>
      <c r="E309" s="711" t="s">
        <v>2438</v>
      </c>
      <c r="F309" s="711">
        <v>1</v>
      </c>
      <c r="G309" s="711">
        <v>9</v>
      </c>
      <c r="H309" s="711">
        <v>5</v>
      </c>
      <c r="I309" s="711">
        <v>25</v>
      </c>
      <c r="J309" s="711">
        <v>13</v>
      </c>
      <c r="K309" s="711">
        <v>5</v>
      </c>
      <c r="L309" s="711">
        <v>1</v>
      </c>
      <c r="M309" s="711" t="s">
        <v>3433</v>
      </c>
    </row>
    <row r="310" spans="1:13">
      <c r="A310" s="711" t="s">
        <v>2951</v>
      </c>
      <c r="B310" s="711"/>
      <c r="C310" s="711"/>
      <c r="D310" s="711"/>
      <c r="E310" s="711"/>
      <c r="F310" s="711">
        <v>31</v>
      </c>
      <c r="G310" s="711"/>
      <c r="H310" s="711"/>
      <c r="I310" s="711"/>
      <c r="J310" s="711"/>
      <c r="K310" s="711">
        <v>1</v>
      </c>
      <c r="L310" s="711">
        <v>31</v>
      </c>
      <c r="M310" s="711" t="s">
        <v>41</v>
      </c>
    </row>
    <row r="311" spans="1:13">
      <c r="A311" s="711" t="s">
        <v>3099</v>
      </c>
      <c r="B311" s="711"/>
      <c r="C311" s="711"/>
      <c r="D311" s="711"/>
      <c r="E311" s="711"/>
      <c r="F311" s="711">
        <v>3</v>
      </c>
      <c r="G311" s="711"/>
      <c r="H311" s="711"/>
      <c r="I311" s="711"/>
      <c r="J311" s="711"/>
      <c r="K311" s="711">
        <v>1</v>
      </c>
      <c r="L311" s="711">
        <v>3</v>
      </c>
      <c r="M311" s="711" t="s">
        <v>48</v>
      </c>
    </row>
    <row r="312" spans="1:13">
      <c r="A312" s="711" t="s">
        <v>3101</v>
      </c>
      <c r="B312" s="711"/>
      <c r="C312" s="711"/>
      <c r="D312" s="711"/>
      <c r="E312" s="711"/>
      <c r="F312" s="711">
        <v>6</v>
      </c>
      <c r="G312" s="711"/>
      <c r="H312" s="711"/>
      <c r="I312" s="711"/>
      <c r="J312" s="711"/>
      <c r="K312" s="711">
        <v>1</v>
      </c>
      <c r="L312" s="711">
        <v>6</v>
      </c>
      <c r="M312" s="711" t="s">
        <v>909</v>
      </c>
    </row>
    <row r="313" spans="1:13">
      <c r="A313" s="711" t="s">
        <v>1040</v>
      </c>
      <c r="B313" s="711"/>
      <c r="C313" s="711"/>
      <c r="D313" s="711"/>
      <c r="E313" s="711"/>
      <c r="F313" s="711">
        <v>31</v>
      </c>
      <c r="G313" s="711"/>
      <c r="H313" s="711"/>
      <c r="I313" s="711"/>
      <c r="J313" s="711"/>
      <c r="K313" s="711">
        <v>1</v>
      </c>
      <c r="L313" s="711">
        <v>31</v>
      </c>
      <c r="M313" s="711" t="s">
        <v>41</v>
      </c>
    </row>
    <row r="314" spans="1:13">
      <c r="A314" s="711" t="s">
        <v>3101</v>
      </c>
      <c r="B314" s="711"/>
      <c r="C314" s="711"/>
      <c r="D314" s="711"/>
      <c r="E314" s="711"/>
      <c r="F314" s="711">
        <v>6</v>
      </c>
      <c r="G314" s="711"/>
      <c r="H314" s="711"/>
      <c r="I314" s="711"/>
      <c r="J314" s="711"/>
      <c r="K314" s="711">
        <v>1</v>
      </c>
      <c r="L314" s="711">
        <v>6</v>
      </c>
      <c r="M314" s="711" t="s">
        <v>909</v>
      </c>
    </row>
    <row r="315" spans="1:13">
      <c r="A315" s="711" t="s">
        <v>2411</v>
      </c>
      <c r="B315" s="711"/>
      <c r="C315" s="711"/>
      <c r="D315" s="711"/>
      <c r="E315" s="711"/>
      <c r="F315" s="711">
        <v>8</v>
      </c>
      <c r="G315" s="711"/>
      <c r="H315" s="711"/>
      <c r="I315" s="711"/>
      <c r="J315" s="711"/>
      <c r="K315" s="711">
        <v>1</v>
      </c>
      <c r="L315" s="711">
        <v>8</v>
      </c>
      <c r="M315" s="711" t="s">
        <v>51</v>
      </c>
    </row>
    <row r="316" spans="1:13">
      <c r="A316" s="711" t="s">
        <v>2393</v>
      </c>
      <c r="B316" s="711"/>
      <c r="C316" s="711"/>
      <c r="D316" s="711"/>
      <c r="E316" s="711"/>
      <c r="F316" s="711">
        <v>4</v>
      </c>
      <c r="G316" s="711"/>
      <c r="H316" s="711"/>
      <c r="I316" s="711"/>
      <c r="J316" s="711"/>
      <c r="K316" s="711">
        <v>1</v>
      </c>
      <c r="L316" s="711">
        <v>4</v>
      </c>
      <c r="M316" s="711" t="s">
        <v>39</v>
      </c>
    </row>
    <row r="317" spans="1:13">
      <c r="A317" s="711" t="s">
        <v>2362</v>
      </c>
      <c r="B317" s="711"/>
      <c r="C317" s="711"/>
      <c r="D317" s="711"/>
      <c r="E317" s="711"/>
      <c r="F317" s="711">
        <v>1</v>
      </c>
      <c r="G317" s="711"/>
      <c r="H317" s="711"/>
      <c r="I317" s="711"/>
      <c r="J317" s="711"/>
      <c r="K317" s="711">
        <v>1</v>
      </c>
      <c r="L317" s="711">
        <v>1</v>
      </c>
      <c r="M317" s="711" t="s">
        <v>26</v>
      </c>
    </row>
    <row r="318" spans="1:13">
      <c r="A318" s="711" t="s">
        <v>2362</v>
      </c>
      <c r="B318" s="711"/>
      <c r="C318" s="711"/>
      <c r="D318" s="711"/>
      <c r="E318" s="711"/>
      <c r="F318" s="711">
        <v>1</v>
      </c>
      <c r="G318" s="711"/>
      <c r="H318" s="711"/>
      <c r="I318" s="711"/>
      <c r="J318" s="711"/>
      <c r="K318" s="711">
        <v>1</v>
      </c>
      <c r="L318" s="711">
        <v>1</v>
      </c>
      <c r="M318" s="711" t="s">
        <v>26</v>
      </c>
    </row>
    <row r="319" spans="1:13">
      <c r="A319" s="711" t="s">
        <v>2362</v>
      </c>
      <c r="B319" s="711" t="s">
        <v>3031</v>
      </c>
      <c r="C319" s="711" t="s">
        <v>2420</v>
      </c>
      <c r="D319" s="711" t="s">
        <v>3100</v>
      </c>
      <c r="E319" s="711"/>
      <c r="F319" s="711">
        <v>1</v>
      </c>
      <c r="G319" s="711">
        <v>31</v>
      </c>
      <c r="H319" s="711">
        <v>9</v>
      </c>
      <c r="I319" s="711">
        <v>5</v>
      </c>
      <c r="J319" s="711"/>
      <c r="K319" s="711">
        <v>4</v>
      </c>
      <c r="L319" s="711">
        <v>1</v>
      </c>
      <c r="M319" s="711" t="s">
        <v>3228</v>
      </c>
    </row>
    <row r="320" spans="1:13">
      <c r="A320" s="711" t="s">
        <v>2509</v>
      </c>
      <c r="B320" s="711"/>
      <c r="C320" s="711"/>
      <c r="D320" s="711"/>
      <c r="E320" s="711"/>
      <c r="F320" s="711">
        <v>31</v>
      </c>
      <c r="G320" s="711"/>
      <c r="H320" s="711"/>
      <c r="I320" s="711"/>
      <c r="J320" s="711"/>
      <c r="K320" s="711">
        <v>1</v>
      </c>
      <c r="L320" s="711">
        <v>31</v>
      </c>
      <c r="M320" s="711" t="s">
        <v>41</v>
      </c>
    </row>
    <row r="321" spans="1:13">
      <c r="A321" s="711" t="s">
        <v>2506</v>
      </c>
      <c r="B321" s="711" t="s">
        <v>3099</v>
      </c>
      <c r="C321" s="711"/>
      <c r="D321" s="711"/>
      <c r="E321" s="711"/>
      <c r="F321" s="711">
        <v>31</v>
      </c>
      <c r="G321" s="711">
        <v>3</v>
      </c>
      <c r="H321" s="711"/>
      <c r="I321" s="711"/>
      <c r="J321" s="711"/>
      <c r="K321" s="711">
        <v>2</v>
      </c>
      <c r="L321" s="711">
        <v>31</v>
      </c>
      <c r="M321" s="711" t="s">
        <v>3229</v>
      </c>
    </row>
    <row r="322" spans="1:13">
      <c r="A322" s="711" t="s">
        <v>2362</v>
      </c>
      <c r="B322" s="711"/>
      <c r="C322" s="711"/>
      <c r="D322" s="711"/>
      <c r="E322" s="711"/>
      <c r="F322" s="711">
        <v>1</v>
      </c>
      <c r="G322" s="711"/>
      <c r="H322" s="711"/>
      <c r="I322" s="711"/>
      <c r="J322" s="711"/>
      <c r="K322" s="711">
        <v>1</v>
      </c>
      <c r="L322" s="711">
        <v>1</v>
      </c>
      <c r="M322" s="711" t="s">
        <v>26</v>
      </c>
    </row>
    <row r="323" spans="1:13">
      <c r="A323" s="711" t="s">
        <v>2511</v>
      </c>
      <c r="B323" s="711"/>
      <c r="C323" s="711"/>
      <c r="D323" s="711"/>
      <c r="E323" s="711"/>
      <c r="F323" s="711">
        <v>31</v>
      </c>
      <c r="G323" s="711"/>
      <c r="H323" s="711"/>
      <c r="I323" s="711"/>
      <c r="J323" s="711"/>
      <c r="K323" s="711">
        <v>1</v>
      </c>
      <c r="L323" s="711">
        <v>31</v>
      </c>
      <c r="M323" s="711" t="s">
        <v>41</v>
      </c>
    </row>
    <row r="324" spans="1:13">
      <c r="A324" s="711" t="s">
        <v>2362</v>
      </c>
      <c r="B324" s="711"/>
      <c r="C324" s="711"/>
      <c r="D324" s="711"/>
      <c r="E324" s="711"/>
      <c r="F324" s="711">
        <v>1</v>
      </c>
      <c r="G324" s="711"/>
      <c r="H324" s="711"/>
      <c r="I324" s="711"/>
      <c r="J324" s="711"/>
      <c r="K324" s="711">
        <v>1</v>
      </c>
      <c r="L324" s="711">
        <v>1</v>
      </c>
      <c r="M324" s="711" t="s">
        <v>26</v>
      </c>
    </row>
    <row r="325" spans="1:13">
      <c r="A325" s="711" t="s">
        <v>2362</v>
      </c>
      <c r="B325" s="711" t="s">
        <v>2511</v>
      </c>
      <c r="C325" s="711" t="s">
        <v>3058</v>
      </c>
      <c r="D325" s="711"/>
      <c r="E325" s="711"/>
      <c r="F325" s="711">
        <v>1</v>
      </c>
      <c r="G325" s="711">
        <v>31</v>
      </c>
      <c r="H325" s="711">
        <v>31</v>
      </c>
      <c r="I325" s="711"/>
      <c r="J325" s="711"/>
      <c r="K325" s="711">
        <v>3</v>
      </c>
      <c r="L325" s="711">
        <v>1</v>
      </c>
      <c r="M325" s="711" t="s">
        <v>3151</v>
      </c>
    </row>
    <row r="326" spans="1:13">
      <c r="A326" s="711" t="s">
        <v>2362</v>
      </c>
      <c r="B326" s="711"/>
      <c r="C326" s="711"/>
      <c r="D326" s="711"/>
      <c r="E326" s="711"/>
      <c r="F326" s="711">
        <v>1</v>
      </c>
      <c r="G326" s="711"/>
      <c r="H326" s="711"/>
      <c r="I326" s="711"/>
      <c r="J326" s="711"/>
      <c r="K326" s="711">
        <v>1</v>
      </c>
      <c r="L326" s="711">
        <v>1</v>
      </c>
      <c r="M326" s="711" t="s">
        <v>26</v>
      </c>
    </row>
    <row r="327" spans="1:13">
      <c r="A327" s="711" t="s">
        <v>2587</v>
      </c>
      <c r="B327" s="711" t="s">
        <v>2362</v>
      </c>
      <c r="C327" s="711" t="s">
        <v>2377</v>
      </c>
      <c r="D327" s="711"/>
      <c r="E327" s="711"/>
      <c r="F327" s="711">
        <v>31</v>
      </c>
      <c r="G327" s="711">
        <v>1</v>
      </c>
      <c r="H327" s="711">
        <v>2</v>
      </c>
      <c r="I327" s="711"/>
      <c r="J327" s="711"/>
      <c r="K327" s="711">
        <v>3</v>
      </c>
      <c r="L327" s="711">
        <v>31</v>
      </c>
      <c r="M327" s="711" t="s">
        <v>3230</v>
      </c>
    </row>
    <row r="328" spans="1:13">
      <c r="A328" s="711" t="s">
        <v>2420</v>
      </c>
      <c r="B328" s="711" t="s">
        <v>3032</v>
      </c>
      <c r="C328" s="711"/>
      <c r="D328" s="711"/>
      <c r="E328" s="711"/>
      <c r="F328" s="711">
        <v>9</v>
      </c>
      <c r="G328" s="711">
        <v>31</v>
      </c>
      <c r="H328" s="711"/>
      <c r="I328" s="711"/>
      <c r="J328" s="711"/>
      <c r="K328" s="711">
        <v>2</v>
      </c>
      <c r="L328" s="711">
        <v>9</v>
      </c>
      <c r="M328" s="711" t="s">
        <v>3231</v>
      </c>
    </row>
    <row r="329" spans="1:13">
      <c r="A329" s="711" t="s">
        <v>2377</v>
      </c>
      <c r="B329" s="711" t="s">
        <v>2362</v>
      </c>
      <c r="C329" s="711" t="s">
        <v>2483</v>
      </c>
      <c r="D329" s="711" t="s">
        <v>3103</v>
      </c>
      <c r="E329" s="711"/>
      <c r="F329" s="711">
        <v>2</v>
      </c>
      <c r="G329" s="711">
        <v>1</v>
      </c>
      <c r="H329" s="711">
        <v>31</v>
      </c>
      <c r="I329" s="711">
        <v>12</v>
      </c>
      <c r="J329" s="711"/>
      <c r="K329" s="711">
        <v>4</v>
      </c>
      <c r="L329" s="711">
        <v>2</v>
      </c>
      <c r="M329" s="711" t="s">
        <v>3232</v>
      </c>
    </row>
    <row r="330" spans="1:13">
      <c r="A330" s="711" t="s">
        <v>2394</v>
      </c>
      <c r="B330" s="711" t="s">
        <v>3099</v>
      </c>
      <c r="C330" s="711"/>
      <c r="D330" s="711"/>
      <c r="E330" s="711"/>
      <c r="F330" s="711">
        <v>4</v>
      </c>
      <c r="G330" s="711">
        <v>3</v>
      </c>
      <c r="H330" s="711"/>
      <c r="I330" s="711"/>
      <c r="J330" s="711"/>
      <c r="K330" s="711">
        <v>2</v>
      </c>
      <c r="L330" s="711">
        <v>4</v>
      </c>
      <c r="M330" s="711" t="s">
        <v>3233</v>
      </c>
    </row>
    <row r="331" spans="1:13">
      <c r="A331" s="711" t="s">
        <v>3099</v>
      </c>
      <c r="B331" s="711" t="s">
        <v>2377</v>
      </c>
      <c r="C331" s="711" t="s">
        <v>2434</v>
      </c>
      <c r="D331" s="711"/>
      <c r="E331" s="711"/>
      <c r="F331" s="711">
        <v>3</v>
      </c>
      <c r="G331" s="711">
        <v>2</v>
      </c>
      <c r="H331" s="711">
        <v>11</v>
      </c>
      <c r="I331" s="711"/>
      <c r="J331" s="711"/>
      <c r="K331" s="711">
        <v>3</v>
      </c>
      <c r="L331" s="711">
        <v>3</v>
      </c>
      <c r="M331" s="711" t="s">
        <v>3234</v>
      </c>
    </row>
    <row r="332" spans="1:13">
      <c r="A332" s="711" t="s">
        <v>2362</v>
      </c>
      <c r="B332" s="711" t="s">
        <v>3100</v>
      </c>
      <c r="C332" s="711" t="s">
        <v>3099</v>
      </c>
      <c r="D332" s="711"/>
      <c r="E332" s="711"/>
      <c r="F332" s="711">
        <v>1</v>
      </c>
      <c r="G332" s="711">
        <v>5</v>
      </c>
      <c r="H332" s="711">
        <v>3</v>
      </c>
      <c r="I332" s="711"/>
      <c r="J332" s="711"/>
      <c r="K332" s="711">
        <v>3</v>
      </c>
      <c r="L332" s="711">
        <v>1</v>
      </c>
      <c r="M332" s="711" t="s">
        <v>3235</v>
      </c>
    </row>
    <row r="333" spans="1:13">
      <c r="A333" s="711" t="s">
        <v>2393</v>
      </c>
      <c r="B333" s="711" t="s">
        <v>3099</v>
      </c>
      <c r="C333" s="711" t="s">
        <v>2362</v>
      </c>
      <c r="D333" s="711"/>
      <c r="E333" s="711"/>
      <c r="F333" s="711">
        <v>4</v>
      </c>
      <c r="G333" s="711">
        <v>3</v>
      </c>
      <c r="H333" s="711">
        <v>1</v>
      </c>
      <c r="I333" s="711"/>
      <c r="J333" s="711"/>
      <c r="K333" s="711">
        <v>3</v>
      </c>
      <c r="L333" s="711">
        <v>4</v>
      </c>
      <c r="M333" s="711" t="s">
        <v>3236</v>
      </c>
    </row>
    <row r="334" spans="1:13">
      <c r="A334" s="711" t="s">
        <v>2362</v>
      </c>
      <c r="B334" s="711" t="s">
        <v>2393</v>
      </c>
      <c r="C334" s="711"/>
      <c r="D334" s="711"/>
      <c r="E334" s="711"/>
      <c r="F334" s="711">
        <v>1</v>
      </c>
      <c r="G334" s="711">
        <v>4</v>
      </c>
      <c r="H334" s="711"/>
      <c r="I334" s="711"/>
      <c r="J334" s="711"/>
      <c r="K334" s="711">
        <v>2</v>
      </c>
      <c r="L334" s="711">
        <v>1</v>
      </c>
      <c r="M334" s="711" t="s">
        <v>42</v>
      </c>
    </row>
    <row r="335" spans="1:13">
      <c r="A335" s="711" t="s">
        <v>2511</v>
      </c>
      <c r="B335" s="711"/>
      <c r="C335" s="711"/>
      <c r="D335" s="711"/>
      <c r="E335" s="711"/>
      <c r="F335" s="711">
        <v>31</v>
      </c>
      <c r="G335" s="711"/>
      <c r="H335" s="711"/>
      <c r="I335" s="711"/>
      <c r="J335" s="711"/>
      <c r="K335" s="711">
        <v>1</v>
      </c>
      <c r="L335" s="711">
        <v>31</v>
      </c>
      <c r="M335" s="711" t="s">
        <v>41</v>
      </c>
    </row>
    <row r="336" spans="1:13">
      <c r="A336" s="711" t="s">
        <v>2749</v>
      </c>
      <c r="B336" s="711"/>
      <c r="C336" s="711"/>
      <c r="D336" s="711"/>
      <c r="E336" s="711"/>
      <c r="F336" s="711">
        <v>31</v>
      </c>
      <c r="G336" s="711"/>
      <c r="H336" s="711"/>
      <c r="I336" s="711"/>
      <c r="J336" s="711"/>
      <c r="K336" s="711">
        <v>1</v>
      </c>
      <c r="L336" s="711">
        <v>31</v>
      </c>
      <c r="M336" s="711" t="s">
        <v>41</v>
      </c>
    </row>
    <row r="337" spans="1:13">
      <c r="A337" s="711" t="s">
        <v>2399</v>
      </c>
      <c r="B337" s="711"/>
      <c r="C337" s="711"/>
      <c r="D337" s="711"/>
      <c r="E337" s="711"/>
      <c r="F337" s="711">
        <v>4</v>
      </c>
      <c r="G337" s="711"/>
      <c r="H337" s="711"/>
      <c r="I337" s="711"/>
      <c r="J337" s="711"/>
      <c r="K337" s="711">
        <v>1</v>
      </c>
      <c r="L337" s="711">
        <v>4</v>
      </c>
      <c r="M337" s="711" t="s">
        <v>39</v>
      </c>
    </row>
    <row r="338" spans="1:13">
      <c r="A338" s="711" t="s">
        <v>2377</v>
      </c>
      <c r="B338" s="711"/>
      <c r="C338" s="711"/>
      <c r="D338" s="711"/>
      <c r="E338" s="711"/>
      <c r="F338" s="711">
        <v>2</v>
      </c>
      <c r="G338" s="711"/>
      <c r="H338" s="711"/>
      <c r="I338" s="711"/>
      <c r="J338" s="711"/>
      <c r="K338" s="711">
        <v>1</v>
      </c>
      <c r="L338" s="711">
        <v>2</v>
      </c>
      <c r="M338" s="711" t="s">
        <v>47</v>
      </c>
    </row>
    <row r="339" spans="1:13">
      <c r="A339" s="711" t="s">
        <v>3099</v>
      </c>
      <c r="B339" s="711" t="s">
        <v>2838</v>
      </c>
      <c r="C339" s="711" t="s">
        <v>2440</v>
      </c>
      <c r="D339" s="711" t="s">
        <v>2950</v>
      </c>
      <c r="E339" s="711" t="s">
        <v>3109</v>
      </c>
      <c r="F339" s="711">
        <v>3</v>
      </c>
      <c r="G339" s="711">
        <v>31</v>
      </c>
      <c r="H339" s="711">
        <v>14</v>
      </c>
      <c r="I339" s="711">
        <v>31</v>
      </c>
      <c r="J339" s="711">
        <v>31</v>
      </c>
      <c r="K339" s="711">
        <v>5</v>
      </c>
      <c r="L339" s="711">
        <v>3</v>
      </c>
      <c r="M339" s="711" t="s">
        <v>3434</v>
      </c>
    </row>
    <row r="340" spans="1:13">
      <c r="A340" s="711" t="s">
        <v>2374</v>
      </c>
      <c r="B340" s="711"/>
      <c r="C340" s="711"/>
      <c r="D340" s="711"/>
      <c r="E340" s="711"/>
      <c r="F340" s="711">
        <v>1</v>
      </c>
      <c r="G340" s="711"/>
      <c r="H340" s="711"/>
      <c r="I340" s="711"/>
      <c r="J340" s="711"/>
      <c r="K340" s="711">
        <v>1</v>
      </c>
      <c r="L340" s="711">
        <v>1</v>
      </c>
      <c r="M340" s="711" t="s">
        <v>26</v>
      </c>
    </row>
    <row r="341" spans="1:13">
      <c r="A341" s="711" t="s">
        <v>2362</v>
      </c>
      <c r="B341" s="711" t="s">
        <v>3100</v>
      </c>
      <c r="C341" s="711"/>
      <c r="D341" s="711"/>
      <c r="E341" s="711"/>
      <c r="F341" s="711">
        <v>1</v>
      </c>
      <c r="G341" s="711">
        <v>5</v>
      </c>
      <c r="H341" s="711"/>
      <c r="I341" s="711"/>
      <c r="J341" s="711"/>
      <c r="K341" s="711">
        <v>2</v>
      </c>
      <c r="L341" s="711">
        <v>1</v>
      </c>
      <c r="M341" s="711" t="s">
        <v>923</v>
      </c>
    </row>
    <row r="342" spans="1:13">
      <c r="A342" s="711" t="s">
        <v>2388</v>
      </c>
      <c r="B342" s="711" t="s">
        <v>2377</v>
      </c>
      <c r="C342" s="711"/>
      <c r="D342" s="711"/>
      <c r="E342" s="711"/>
      <c r="F342" s="711">
        <v>3</v>
      </c>
      <c r="G342" s="711">
        <v>2</v>
      </c>
      <c r="H342" s="711"/>
      <c r="I342" s="711"/>
      <c r="J342" s="711"/>
      <c r="K342" s="711">
        <v>2</v>
      </c>
      <c r="L342" s="711">
        <v>3</v>
      </c>
      <c r="M342" s="711" t="s">
        <v>3193</v>
      </c>
    </row>
    <row r="343" spans="1:13">
      <c r="A343" s="711" t="s">
        <v>2393</v>
      </c>
      <c r="B343" s="711"/>
      <c r="C343" s="711"/>
      <c r="D343" s="711"/>
      <c r="E343" s="711"/>
      <c r="F343" s="711">
        <v>4</v>
      </c>
      <c r="G343" s="711"/>
      <c r="H343" s="711"/>
      <c r="I343" s="711"/>
      <c r="J343" s="711"/>
      <c r="K343" s="711">
        <v>1</v>
      </c>
      <c r="L343" s="711">
        <v>4</v>
      </c>
      <c r="M343" s="711" t="s">
        <v>39</v>
      </c>
    </row>
    <row r="344" spans="1:13">
      <c r="A344" s="711" t="s">
        <v>2362</v>
      </c>
      <c r="B344" s="711" t="s">
        <v>2393</v>
      </c>
      <c r="C344" s="711" t="s">
        <v>2377</v>
      </c>
      <c r="D344" s="711"/>
      <c r="E344" s="711"/>
      <c r="F344" s="711">
        <v>1</v>
      </c>
      <c r="G344" s="711">
        <v>4</v>
      </c>
      <c r="H344" s="711">
        <v>2</v>
      </c>
      <c r="I344" s="711"/>
      <c r="J344" s="711"/>
      <c r="K344" s="711">
        <v>3</v>
      </c>
      <c r="L344" s="711">
        <v>1</v>
      </c>
      <c r="M344" s="711" t="s">
        <v>3210</v>
      </c>
    </row>
    <row r="345" spans="1:13">
      <c r="A345" s="711" t="s">
        <v>2362</v>
      </c>
      <c r="B345" s="711"/>
      <c r="C345" s="711"/>
      <c r="D345" s="711"/>
      <c r="E345" s="711"/>
      <c r="F345" s="711">
        <v>1</v>
      </c>
      <c r="G345" s="711"/>
      <c r="H345" s="711"/>
      <c r="I345" s="711"/>
      <c r="J345" s="711"/>
      <c r="K345" s="711">
        <v>1</v>
      </c>
      <c r="L345" s="711">
        <v>1</v>
      </c>
      <c r="M345" s="711" t="s">
        <v>26</v>
      </c>
    </row>
    <row r="346" spans="1:13">
      <c r="A346" s="711" t="s">
        <v>2442</v>
      </c>
      <c r="B346" s="711"/>
      <c r="C346" s="711"/>
      <c r="D346" s="711"/>
      <c r="E346" s="711"/>
      <c r="F346" s="711">
        <v>14</v>
      </c>
      <c r="G346" s="711"/>
      <c r="H346" s="711"/>
      <c r="I346" s="711"/>
      <c r="J346" s="711"/>
      <c r="K346" s="711">
        <v>1</v>
      </c>
      <c r="L346" s="711">
        <v>14</v>
      </c>
      <c r="M346" s="711" t="s">
        <v>28</v>
      </c>
    </row>
    <row r="347" spans="1:13">
      <c r="A347" s="711" t="s">
        <v>3099</v>
      </c>
      <c r="B347" s="711" t="s">
        <v>2377</v>
      </c>
      <c r="C347" s="711"/>
      <c r="D347" s="711"/>
      <c r="E347" s="711"/>
      <c r="F347" s="711">
        <v>3</v>
      </c>
      <c r="G347" s="711">
        <v>2</v>
      </c>
      <c r="H347" s="711"/>
      <c r="I347" s="711"/>
      <c r="J347" s="711"/>
      <c r="K347" s="711">
        <v>2</v>
      </c>
      <c r="L347" s="711">
        <v>3</v>
      </c>
      <c r="M347" s="711" t="s">
        <v>3193</v>
      </c>
    </row>
    <row r="348" spans="1:13">
      <c r="A348" s="711" t="s">
        <v>3101</v>
      </c>
      <c r="B348" s="711"/>
      <c r="C348" s="711"/>
      <c r="D348" s="711"/>
      <c r="E348" s="711"/>
      <c r="F348" s="711">
        <v>6</v>
      </c>
      <c r="G348" s="711"/>
      <c r="H348" s="711"/>
      <c r="I348" s="711"/>
      <c r="J348" s="711"/>
      <c r="K348" s="711">
        <v>1</v>
      </c>
      <c r="L348" s="711">
        <v>6</v>
      </c>
      <c r="M348" s="711" t="s">
        <v>909</v>
      </c>
    </row>
    <row r="349" spans="1:13">
      <c r="A349" s="711" t="s">
        <v>3099</v>
      </c>
      <c r="B349" s="711"/>
      <c r="C349" s="711"/>
      <c r="D349" s="711"/>
      <c r="E349" s="711"/>
      <c r="F349" s="711">
        <v>3</v>
      </c>
      <c r="G349" s="711"/>
      <c r="H349" s="711"/>
      <c r="I349" s="711"/>
      <c r="J349" s="711"/>
      <c r="K349" s="711">
        <v>1</v>
      </c>
      <c r="L349" s="711">
        <v>3</v>
      </c>
      <c r="M349" s="711" t="s">
        <v>48</v>
      </c>
    </row>
    <row r="350" spans="1:13">
      <c r="A350" s="711" t="s">
        <v>2362</v>
      </c>
      <c r="B350" s="711" t="s">
        <v>2377</v>
      </c>
      <c r="C350" s="711" t="s">
        <v>3101</v>
      </c>
      <c r="D350" s="711" t="s">
        <v>3099</v>
      </c>
      <c r="E350" s="711"/>
      <c r="F350" s="711">
        <v>1</v>
      </c>
      <c r="G350" s="711">
        <v>2</v>
      </c>
      <c r="H350" s="711">
        <v>6</v>
      </c>
      <c r="I350" s="711">
        <v>3</v>
      </c>
      <c r="J350" s="711"/>
      <c r="K350" s="711">
        <v>4</v>
      </c>
      <c r="L350" s="711">
        <v>1</v>
      </c>
      <c r="M350" s="711" t="s">
        <v>3237</v>
      </c>
    </row>
    <row r="351" spans="1:13">
      <c r="A351" s="711" t="s">
        <v>2377</v>
      </c>
      <c r="B351" s="711"/>
      <c r="C351" s="711"/>
      <c r="D351" s="711"/>
      <c r="E351" s="711"/>
      <c r="F351" s="711">
        <v>2</v>
      </c>
      <c r="G351" s="711"/>
      <c r="H351" s="711"/>
      <c r="I351" s="711"/>
      <c r="J351" s="711"/>
      <c r="K351" s="711">
        <v>1</v>
      </c>
      <c r="L351" s="711">
        <v>2</v>
      </c>
      <c r="M351" s="711" t="s">
        <v>47</v>
      </c>
    </row>
    <row r="352" spans="1:13">
      <c r="A352" s="711" t="s">
        <v>2362</v>
      </c>
      <c r="B352" s="711"/>
      <c r="C352" s="711"/>
      <c r="D352" s="711"/>
      <c r="E352" s="711"/>
      <c r="F352" s="711">
        <v>1</v>
      </c>
      <c r="G352" s="711"/>
      <c r="H352" s="711"/>
      <c r="I352" s="711"/>
      <c r="J352" s="711"/>
      <c r="K352" s="711">
        <v>1</v>
      </c>
      <c r="L352" s="711">
        <v>1</v>
      </c>
      <c r="M352" s="711" t="s">
        <v>26</v>
      </c>
    </row>
    <row r="353" spans="1:13">
      <c r="A353" s="711" t="s">
        <v>2362</v>
      </c>
      <c r="B353" s="711" t="s">
        <v>2377</v>
      </c>
      <c r="C353" s="711" t="s">
        <v>2411</v>
      </c>
      <c r="D353" s="711"/>
      <c r="E353" s="711"/>
      <c r="F353" s="711">
        <v>1</v>
      </c>
      <c r="G353" s="711">
        <v>2</v>
      </c>
      <c r="H353" s="711">
        <v>8</v>
      </c>
      <c r="I353" s="711"/>
      <c r="J353" s="711"/>
      <c r="K353" s="711">
        <v>3</v>
      </c>
      <c r="L353" s="711">
        <v>1</v>
      </c>
      <c r="M353" s="711" t="s">
        <v>3218</v>
      </c>
    </row>
    <row r="354" spans="1:13">
      <c r="A354" s="711" t="s">
        <v>2393</v>
      </c>
      <c r="B354" s="711"/>
      <c r="C354" s="711"/>
      <c r="D354" s="711"/>
      <c r="E354" s="711"/>
      <c r="F354" s="711">
        <v>4</v>
      </c>
      <c r="G354" s="711"/>
      <c r="H354" s="711"/>
      <c r="I354" s="711"/>
      <c r="J354" s="711"/>
      <c r="K354" s="711">
        <v>1</v>
      </c>
      <c r="L354" s="711">
        <v>4</v>
      </c>
      <c r="M354" s="711" t="s">
        <v>39</v>
      </c>
    </row>
    <row r="355" spans="1:13">
      <c r="A355" s="711" t="s">
        <v>2362</v>
      </c>
      <c r="B355" s="711" t="s">
        <v>2377</v>
      </c>
      <c r="C355" s="711" t="s">
        <v>2409</v>
      </c>
      <c r="D355" s="711"/>
      <c r="E355" s="711"/>
      <c r="F355" s="711">
        <v>1</v>
      </c>
      <c r="G355" s="711">
        <v>2</v>
      </c>
      <c r="H355" s="711">
        <v>7</v>
      </c>
      <c r="I355" s="711"/>
      <c r="J355" s="711"/>
      <c r="K355" s="711">
        <v>3</v>
      </c>
      <c r="L355" s="711">
        <v>1</v>
      </c>
      <c r="M355" s="711" t="s">
        <v>44</v>
      </c>
    </row>
    <row r="356" spans="1:13">
      <c r="A356" s="711" t="s">
        <v>2362</v>
      </c>
      <c r="B356" s="711"/>
      <c r="C356" s="711"/>
      <c r="D356" s="711"/>
      <c r="E356" s="711"/>
      <c r="F356" s="711">
        <v>1</v>
      </c>
      <c r="G356" s="711"/>
      <c r="H356" s="711"/>
      <c r="I356" s="711"/>
      <c r="J356" s="711"/>
      <c r="K356" s="711">
        <v>1</v>
      </c>
      <c r="L356" s="711">
        <v>1</v>
      </c>
      <c r="M356" s="711" t="s">
        <v>26</v>
      </c>
    </row>
    <row r="357" spans="1:13">
      <c r="A357" s="711" t="s">
        <v>3099</v>
      </c>
      <c r="B357" s="711"/>
      <c r="C357" s="711"/>
      <c r="D357" s="711"/>
      <c r="E357" s="711"/>
      <c r="F357" s="711">
        <v>3</v>
      </c>
      <c r="G357" s="711"/>
      <c r="H357" s="711"/>
      <c r="I357" s="711"/>
      <c r="J357" s="711"/>
      <c r="K357" s="711">
        <v>1</v>
      </c>
      <c r="L357" s="711">
        <v>3</v>
      </c>
      <c r="M357" s="711" t="s">
        <v>48</v>
      </c>
    </row>
    <row r="358" spans="1:13">
      <c r="A358" s="711" t="s">
        <v>2434</v>
      </c>
      <c r="B358" s="711"/>
      <c r="C358" s="711"/>
      <c r="D358" s="711"/>
      <c r="E358" s="711"/>
      <c r="F358" s="711">
        <v>11</v>
      </c>
      <c r="G358" s="711"/>
      <c r="H358" s="711"/>
      <c r="I358" s="711"/>
      <c r="J358" s="711"/>
      <c r="K358" s="711">
        <v>1</v>
      </c>
      <c r="L358" s="711">
        <v>11</v>
      </c>
      <c r="M358" s="711" t="s">
        <v>38</v>
      </c>
    </row>
    <row r="359" spans="1:13">
      <c r="A359" s="711" t="s">
        <v>2362</v>
      </c>
      <c r="B359" s="711"/>
      <c r="C359" s="711"/>
      <c r="D359" s="711"/>
      <c r="E359" s="711"/>
      <c r="F359" s="711">
        <v>1</v>
      </c>
      <c r="G359" s="711"/>
      <c r="H359" s="711"/>
      <c r="I359" s="711"/>
      <c r="J359" s="711"/>
      <c r="K359" s="711">
        <v>1</v>
      </c>
      <c r="L359" s="711">
        <v>1</v>
      </c>
      <c r="M359" s="711" t="s">
        <v>26</v>
      </c>
    </row>
    <row r="360" spans="1:13">
      <c r="A360" s="711" t="s">
        <v>3099</v>
      </c>
      <c r="B360" s="711" t="s">
        <v>2493</v>
      </c>
      <c r="C360" s="711"/>
      <c r="D360" s="711"/>
      <c r="E360" s="711"/>
      <c r="F360" s="711">
        <v>3</v>
      </c>
      <c r="G360" s="711">
        <v>31</v>
      </c>
      <c r="H360" s="711"/>
      <c r="I360" s="711"/>
      <c r="J360" s="711"/>
      <c r="K360" s="711">
        <v>2</v>
      </c>
      <c r="L360" s="711">
        <v>3</v>
      </c>
      <c r="M360" s="711" t="s">
        <v>3238</v>
      </c>
    </row>
    <row r="361" spans="1:13">
      <c r="A361" s="711" t="s">
        <v>2362</v>
      </c>
      <c r="B361" s="711" t="s">
        <v>2393</v>
      </c>
      <c r="C361" s="711" t="s">
        <v>2420</v>
      </c>
      <c r="D361" s="711" t="s">
        <v>2377</v>
      </c>
      <c r="E361" s="711" t="s">
        <v>2483</v>
      </c>
      <c r="F361" s="711">
        <v>1</v>
      </c>
      <c r="G361" s="711">
        <v>4</v>
      </c>
      <c r="H361" s="711">
        <v>9</v>
      </c>
      <c r="I361" s="711">
        <v>2</v>
      </c>
      <c r="J361" s="711">
        <v>31</v>
      </c>
      <c r="K361" s="711">
        <v>5</v>
      </c>
      <c r="L361" s="711">
        <v>1</v>
      </c>
      <c r="M361" s="711" t="s">
        <v>3435</v>
      </c>
    </row>
    <row r="362" spans="1:13">
      <c r="A362" s="711" t="s">
        <v>2377</v>
      </c>
      <c r="B362" s="711"/>
      <c r="C362" s="711"/>
      <c r="D362" s="711"/>
      <c r="E362" s="711"/>
      <c r="F362" s="711">
        <v>2</v>
      </c>
      <c r="G362" s="711"/>
      <c r="H362" s="711"/>
      <c r="I362" s="711"/>
      <c r="J362" s="711"/>
      <c r="K362" s="711">
        <v>1</v>
      </c>
      <c r="L362" s="711">
        <v>2</v>
      </c>
      <c r="M362" s="711" t="s">
        <v>47</v>
      </c>
    </row>
    <row r="363" spans="1:13">
      <c r="A363" s="711" t="s">
        <v>2393</v>
      </c>
      <c r="B363" s="711"/>
      <c r="C363" s="711"/>
      <c r="D363" s="711"/>
      <c r="E363" s="711"/>
      <c r="F363" s="711">
        <v>4</v>
      </c>
      <c r="G363" s="711"/>
      <c r="H363" s="711"/>
      <c r="I363" s="711"/>
      <c r="J363" s="711"/>
      <c r="K363" s="711">
        <v>1</v>
      </c>
      <c r="L363" s="711">
        <v>4</v>
      </c>
      <c r="M363" s="711" t="s">
        <v>39</v>
      </c>
    </row>
    <row r="364" spans="1:13">
      <c r="A364" s="711" t="s">
        <v>3099</v>
      </c>
      <c r="B364" s="711" t="s">
        <v>2393</v>
      </c>
      <c r="C364" s="711"/>
      <c r="D364" s="711"/>
      <c r="E364" s="711"/>
      <c r="F364" s="711">
        <v>3</v>
      </c>
      <c r="G364" s="711">
        <v>4</v>
      </c>
      <c r="H364" s="711"/>
      <c r="I364" s="711"/>
      <c r="J364" s="711"/>
      <c r="K364" s="711">
        <v>2</v>
      </c>
      <c r="L364" s="711">
        <v>3</v>
      </c>
      <c r="M364" s="711" t="s">
        <v>983</v>
      </c>
    </row>
    <row r="365" spans="1:13">
      <c r="A365" s="711" t="s">
        <v>2362</v>
      </c>
      <c r="B365" s="711" t="s">
        <v>2393</v>
      </c>
      <c r="C365" s="711"/>
      <c r="D365" s="711"/>
      <c r="E365" s="711"/>
      <c r="F365" s="711">
        <v>1</v>
      </c>
      <c r="G365" s="711">
        <v>4</v>
      </c>
      <c r="H365" s="711"/>
      <c r="I365" s="711"/>
      <c r="J365" s="711"/>
      <c r="K365" s="711">
        <v>2</v>
      </c>
      <c r="L365" s="711">
        <v>1</v>
      </c>
      <c r="M365" s="711" t="s">
        <v>42</v>
      </c>
    </row>
    <row r="366" spans="1:13">
      <c r="A366" s="711" t="s">
        <v>2377</v>
      </c>
      <c r="B366" s="711"/>
      <c r="C366" s="711"/>
      <c r="D366" s="711"/>
      <c r="E366" s="711"/>
      <c r="F366" s="711">
        <v>2</v>
      </c>
      <c r="G366" s="711"/>
      <c r="H366" s="711"/>
      <c r="I366" s="711"/>
      <c r="J366" s="711"/>
      <c r="K366" s="711">
        <v>1</v>
      </c>
      <c r="L366" s="711">
        <v>2</v>
      </c>
      <c r="M366" s="711" t="s">
        <v>47</v>
      </c>
    </row>
    <row r="367" spans="1:13">
      <c r="A367" s="711" t="s">
        <v>2362</v>
      </c>
      <c r="B367" s="711" t="s">
        <v>3099</v>
      </c>
      <c r="C367" s="711" t="s">
        <v>2483</v>
      </c>
      <c r="D367" s="711"/>
      <c r="E367" s="711"/>
      <c r="F367" s="711">
        <v>1</v>
      </c>
      <c r="G367" s="711">
        <v>3</v>
      </c>
      <c r="H367" s="711">
        <v>31</v>
      </c>
      <c r="I367" s="711"/>
      <c r="J367" s="711"/>
      <c r="K367" s="711">
        <v>3</v>
      </c>
      <c r="L367" s="711">
        <v>1</v>
      </c>
      <c r="M367" s="711" t="s">
        <v>3239</v>
      </c>
    </row>
    <row r="368" spans="1:13">
      <c r="A368" s="711" t="s">
        <v>2362</v>
      </c>
      <c r="B368" s="711" t="s">
        <v>3099</v>
      </c>
      <c r="C368" s="711" t="s">
        <v>2377</v>
      </c>
      <c r="D368" s="711" t="s">
        <v>2409</v>
      </c>
      <c r="E368" s="711" t="s">
        <v>2423</v>
      </c>
      <c r="F368" s="711">
        <v>1</v>
      </c>
      <c r="G368" s="711">
        <v>3</v>
      </c>
      <c r="H368" s="711">
        <v>2</v>
      </c>
      <c r="I368" s="711">
        <v>7</v>
      </c>
      <c r="J368" s="711">
        <v>9</v>
      </c>
      <c r="K368" s="711">
        <v>5</v>
      </c>
      <c r="L368" s="711">
        <v>1</v>
      </c>
      <c r="M368" s="711" t="s">
        <v>3436</v>
      </c>
    </row>
    <row r="369" spans="1:13">
      <c r="A369" s="711" t="s">
        <v>2377</v>
      </c>
      <c r="B369" s="711" t="s">
        <v>3099</v>
      </c>
      <c r="C369" s="711"/>
      <c r="D369" s="711"/>
      <c r="E369" s="711"/>
      <c r="F369" s="711">
        <v>2</v>
      </c>
      <c r="G369" s="711">
        <v>3</v>
      </c>
      <c r="H369" s="711"/>
      <c r="I369" s="711"/>
      <c r="J369" s="711"/>
      <c r="K369" s="711">
        <v>2</v>
      </c>
      <c r="L369" s="711">
        <v>2</v>
      </c>
      <c r="M369" s="711" t="s">
        <v>893</v>
      </c>
    </row>
    <row r="370" spans="1:13">
      <c r="A370" s="711" t="s">
        <v>2377</v>
      </c>
      <c r="B370" s="711" t="s">
        <v>2394</v>
      </c>
      <c r="C370" s="711" t="s">
        <v>2464</v>
      </c>
      <c r="D370" s="711"/>
      <c r="E370" s="711"/>
      <c r="F370" s="711">
        <v>2</v>
      </c>
      <c r="G370" s="711">
        <v>4</v>
      </c>
      <c r="H370" s="711">
        <v>25</v>
      </c>
      <c r="I370" s="711"/>
      <c r="J370" s="711"/>
      <c r="K370" s="711">
        <v>3</v>
      </c>
      <c r="L370" s="711">
        <v>2</v>
      </c>
      <c r="M370" s="711" t="s">
        <v>3240</v>
      </c>
    </row>
    <row r="371" spans="1:13">
      <c r="A371" s="711" t="s">
        <v>2393</v>
      </c>
      <c r="B371" s="711"/>
      <c r="C371" s="711"/>
      <c r="D371" s="711"/>
      <c r="E371" s="711"/>
      <c r="F371" s="711">
        <v>4</v>
      </c>
      <c r="G371" s="711"/>
      <c r="H371" s="711"/>
      <c r="I371" s="711"/>
      <c r="J371" s="711"/>
      <c r="K371" s="711">
        <v>1</v>
      </c>
      <c r="L371" s="711">
        <v>4</v>
      </c>
      <c r="M371" s="711" t="s">
        <v>39</v>
      </c>
    </row>
    <row r="372" spans="1:13">
      <c r="A372" s="711" t="s">
        <v>2394</v>
      </c>
      <c r="B372" s="711" t="s">
        <v>3099</v>
      </c>
      <c r="C372" s="711" t="s">
        <v>3059</v>
      </c>
      <c r="D372" s="711"/>
      <c r="E372" s="711"/>
      <c r="F372" s="711">
        <v>4</v>
      </c>
      <c r="G372" s="711">
        <v>3</v>
      </c>
      <c r="H372" s="711">
        <v>31</v>
      </c>
      <c r="I372" s="711"/>
      <c r="J372" s="711"/>
      <c r="K372" s="711">
        <v>3</v>
      </c>
      <c r="L372" s="711">
        <v>4</v>
      </c>
      <c r="M372" s="711" t="s">
        <v>3241</v>
      </c>
    </row>
    <row r="373" spans="1:13">
      <c r="A373" s="711" t="s">
        <v>2411</v>
      </c>
      <c r="B373" s="711"/>
      <c r="C373" s="711"/>
      <c r="D373" s="711"/>
      <c r="E373" s="711"/>
      <c r="F373" s="711">
        <v>8</v>
      </c>
      <c r="G373" s="711"/>
      <c r="H373" s="711"/>
      <c r="I373" s="711"/>
      <c r="J373" s="711"/>
      <c r="K373" s="711">
        <v>1</v>
      </c>
      <c r="L373" s="711">
        <v>8</v>
      </c>
      <c r="M373" s="711" t="s">
        <v>51</v>
      </c>
    </row>
    <row r="374" spans="1:13">
      <c r="A374" s="711" t="s">
        <v>2377</v>
      </c>
      <c r="B374" s="711"/>
      <c r="C374" s="711"/>
      <c r="D374" s="711"/>
      <c r="E374" s="711"/>
      <c r="F374" s="711">
        <v>2</v>
      </c>
      <c r="G374" s="711"/>
      <c r="H374" s="711"/>
      <c r="I374" s="711"/>
      <c r="J374" s="711"/>
      <c r="K374" s="711">
        <v>1</v>
      </c>
      <c r="L374" s="711">
        <v>2</v>
      </c>
      <c r="M374" s="711" t="s">
        <v>47</v>
      </c>
    </row>
    <row r="375" spans="1:13">
      <c r="A375" s="711" t="s">
        <v>2362</v>
      </c>
      <c r="B375" s="711" t="s">
        <v>2420</v>
      </c>
      <c r="C375" s="711" t="s">
        <v>2393</v>
      </c>
      <c r="D375" s="711" t="s">
        <v>2438</v>
      </c>
      <c r="E375" s="711" t="s">
        <v>2377</v>
      </c>
      <c r="F375" s="711">
        <v>1</v>
      </c>
      <c r="G375" s="711">
        <v>9</v>
      </c>
      <c r="H375" s="711">
        <v>4</v>
      </c>
      <c r="I375" s="711">
        <v>13</v>
      </c>
      <c r="J375" s="711">
        <v>2</v>
      </c>
      <c r="K375" s="711">
        <v>5</v>
      </c>
      <c r="L375" s="711">
        <v>1</v>
      </c>
      <c r="M375" s="711" t="s">
        <v>3437</v>
      </c>
    </row>
    <row r="376" spans="1:13">
      <c r="A376" s="711" t="s">
        <v>2479</v>
      </c>
      <c r="B376" s="711" t="s">
        <v>2377</v>
      </c>
      <c r="C376" s="711" t="s">
        <v>2393</v>
      </c>
      <c r="D376" s="711"/>
      <c r="E376" s="711"/>
      <c r="F376" s="711">
        <v>31</v>
      </c>
      <c r="G376" s="711">
        <v>2</v>
      </c>
      <c r="H376" s="711">
        <v>4</v>
      </c>
      <c r="I376" s="711"/>
      <c r="J376" s="711"/>
      <c r="K376" s="711">
        <v>3</v>
      </c>
      <c r="L376" s="711">
        <v>31</v>
      </c>
      <c r="M376" s="711" t="s">
        <v>3242</v>
      </c>
    </row>
    <row r="377" spans="1:13">
      <c r="A377" s="711" t="s">
        <v>2362</v>
      </c>
      <c r="B377" s="711"/>
      <c r="C377" s="711"/>
      <c r="D377" s="711"/>
      <c r="E377" s="711"/>
      <c r="F377" s="711">
        <v>1</v>
      </c>
      <c r="G377" s="711"/>
      <c r="H377" s="711"/>
      <c r="I377" s="711"/>
      <c r="J377" s="711"/>
      <c r="K377" s="711">
        <v>1</v>
      </c>
      <c r="L377" s="711">
        <v>1</v>
      </c>
      <c r="M377" s="711" t="s">
        <v>26</v>
      </c>
    </row>
    <row r="378" spans="1:13">
      <c r="A378" s="711" t="s">
        <v>3099</v>
      </c>
      <c r="B378" s="711" t="s">
        <v>2377</v>
      </c>
      <c r="C378" s="711" t="s">
        <v>2362</v>
      </c>
      <c r="D378" s="711"/>
      <c r="E378" s="711"/>
      <c r="F378" s="711">
        <v>3</v>
      </c>
      <c r="G378" s="711">
        <v>2</v>
      </c>
      <c r="H378" s="711">
        <v>1</v>
      </c>
      <c r="I378" s="711"/>
      <c r="J378" s="711"/>
      <c r="K378" s="711">
        <v>3</v>
      </c>
      <c r="L378" s="711">
        <v>3</v>
      </c>
      <c r="M378" s="711" t="s">
        <v>3243</v>
      </c>
    </row>
    <row r="379" spans="1:13">
      <c r="A379" s="711" t="s">
        <v>2394</v>
      </c>
      <c r="B379" s="711"/>
      <c r="C379" s="711"/>
      <c r="D379" s="711"/>
      <c r="E379" s="711"/>
      <c r="F379" s="711">
        <v>4</v>
      </c>
      <c r="G379" s="711"/>
      <c r="H379" s="711"/>
      <c r="I379" s="711"/>
      <c r="J379" s="711"/>
      <c r="K379" s="711">
        <v>1</v>
      </c>
      <c r="L379" s="711">
        <v>4</v>
      </c>
      <c r="M379" s="711" t="s">
        <v>39</v>
      </c>
    </row>
    <row r="380" spans="1:13">
      <c r="A380" s="711" t="s">
        <v>2409</v>
      </c>
      <c r="B380" s="711"/>
      <c r="C380" s="711"/>
      <c r="D380" s="711"/>
      <c r="E380" s="711"/>
      <c r="F380" s="711">
        <v>7</v>
      </c>
      <c r="G380" s="711"/>
      <c r="H380" s="711"/>
      <c r="I380" s="711"/>
      <c r="J380" s="711"/>
      <c r="K380" s="711">
        <v>1</v>
      </c>
      <c r="L380" s="711">
        <v>7</v>
      </c>
      <c r="M380" s="711" t="s">
        <v>34</v>
      </c>
    </row>
    <row r="381" spans="1:13">
      <c r="A381" s="711" t="s">
        <v>2979</v>
      </c>
      <c r="B381" s="711" t="s">
        <v>3033</v>
      </c>
      <c r="C381" s="711"/>
      <c r="D381" s="711"/>
      <c r="E381" s="711"/>
      <c r="F381" s="711">
        <v>31</v>
      </c>
      <c r="G381" s="711">
        <v>31</v>
      </c>
      <c r="H381" s="711"/>
      <c r="I381" s="711"/>
      <c r="J381" s="711"/>
      <c r="K381" s="711">
        <v>2</v>
      </c>
      <c r="L381" s="711">
        <v>31</v>
      </c>
      <c r="M381" s="711" t="s">
        <v>41</v>
      </c>
    </row>
    <row r="382" spans="1:13">
      <c r="A382" s="711" t="s">
        <v>2362</v>
      </c>
      <c r="B382" s="711"/>
      <c r="C382" s="711"/>
      <c r="D382" s="711"/>
      <c r="E382" s="711"/>
      <c r="F382" s="711">
        <v>1</v>
      </c>
      <c r="G382" s="711"/>
      <c r="H382" s="711"/>
      <c r="I382" s="711"/>
      <c r="J382" s="711"/>
      <c r="K382" s="711">
        <v>1</v>
      </c>
      <c r="L382" s="711">
        <v>1</v>
      </c>
      <c r="M382" s="711" t="s">
        <v>26</v>
      </c>
    </row>
    <row r="383" spans="1:13">
      <c r="A383" s="711" t="s">
        <v>2362</v>
      </c>
      <c r="B383" s="711" t="s">
        <v>2393</v>
      </c>
      <c r="C383" s="711" t="s">
        <v>3060</v>
      </c>
      <c r="D383" s="711"/>
      <c r="E383" s="711"/>
      <c r="F383" s="711">
        <v>1</v>
      </c>
      <c r="G383" s="711">
        <v>4</v>
      </c>
      <c r="H383" s="711">
        <v>31</v>
      </c>
      <c r="I383" s="711"/>
      <c r="J383" s="711"/>
      <c r="K383" s="711">
        <v>3</v>
      </c>
      <c r="L383" s="711">
        <v>1</v>
      </c>
      <c r="M383" s="711" t="s">
        <v>3205</v>
      </c>
    </row>
    <row r="384" spans="1:13">
      <c r="A384" s="711" t="s">
        <v>3099</v>
      </c>
      <c r="B384" s="711"/>
      <c r="C384" s="711"/>
      <c r="D384" s="711"/>
      <c r="E384" s="711"/>
      <c r="F384" s="711">
        <v>3</v>
      </c>
      <c r="G384" s="711"/>
      <c r="H384" s="711"/>
      <c r="I384" s="711"/>
      <c r="J384" s="711"/>
      <c r="K384" s="711">
        <v>1</v>
      </c>
      <c r="L384" s="711">
        <v>3</v>
      </c>
      <c r="M384" s="711" t="s">
        <v>48</v>
      </c>
    </row>
    <row r="385" spans="1:13">
      <c r="A385" s="711" t="s">
        <v>2951</v>
      </c>
      <c r="B385" s="711" t="s">
        <v>2953</v>
      </c>
      <c r="C385" s="711" t="s">
        <v>2961</v>
      </c>
      <c r="D385" s="711" t="s">
        <v>3090</v>
      </c>
      <c r="E385" s="711" t="s">
        <v>3144</v>
      </c>
      <c r="F385" s="711">
        <v>31</v>
      </c>
      <c r="G385" s="711">
        <v>31</v>
      </c>
      <c r="H385" s="711">
        <v>31</v>
      </c>
      <c r="I385" s="711">
        <v>31</v>
      </c>
      <c r="J385" s="711">
        <v>31</v>
      </c>
      <c r="K385" s="711">
        <v>5</v>
      </c>
      <c r="L385" s="711">
        <v>31</v>
      </c>
      <c r="M385" s="711" t="s">
        <v>41</v>
      </c>
    </row>
    <row r="386" spans="1:13">
      <c r="A386" s="711" t="s">
        <v>2362</v>
      </c>
      <c r="B386" s="711" t="s">
        <v>2393</v>
      </c>
      <c r="C386" s="711" t="s">
        <v>3061</v>
      </c>
      <c r="D386" s="711" t="s">
        <v>3091</v>
      </c>
      <c r="E386" s="711" t="s">
        <v>2479</v>
      </c>
      <c r="F386" s="711">
        <v>1</v>
      </c>
      <c r="G386" s="711">
        <v>4</v>
      </c>
      <c r="H386" s="711">
        <v>31</v>
      </c>
      <c r="I386" s="711">
        <v>31</v>
      </c>
      <c r="J386" s="711">
        <v>31</v>
      </c>
      <c r="K386" s="711">
        <v>5</v>
      </c>
      <c r="L386" s="711">
        <v>1</v>
      </c>
      <c r="M386" s="711" t="s">
        <v>3205</v>
      </c>
    </row>
    <row r="387" spans="1:13">
      <c r="A387" s="711" t="s">
        <v>2393</v>
      </c>
      <c r="B387" s="711" t="s">
        <v>2409</v>
      </c>
      <c r="C387" s="711" t="s">
        <v>2597</v>
      </c>
      <c r="D387" s="711"/>
      <c r="E387" s="711"/>
      <c r="F387" s="711">
        <v>4</v>
      </c>
      <c r="G387" s="711">
        <v>7</v>
      </c>
      <c r="H387" s="711">
        <v>31</v>
      </c>
      <c r="I387" s="711"/>
      <c r="J387" s="711"/>
      <c r="K387" s="711">
        <v>3</v>
      </c>
      <c r="L387" s="711">
        <v>4</v>
      </c>
      <c r="M387" s="711" t="s">
        <v>3203</v>
      </c>
    </row>
    <row r="388" spans="1:13">
      <c r="A388" s="711" t="s">
        <v>2374</v>
      </c>
      <c r="B388" s="711"/>
      <c r="C388" s="711"/>
      <c r="D388" s="711"/>
      <c r="E388" s="711"/>
      <c r="F388" s="711">
        <v>1</v>
      </c>
      <c r="G388" s="711"/>
      <c r="H388" s="711"/>
      <c r="I388" s="711"/>
      <c r="J388" s="711"/>
      <c r="K388" s="711">
        <v>1</v>
      </c>
      <c r="L388" s="711">
        <v>1</v>
      </c>
      <c r="M388" s="711" t="s">
        <v>26</v>
      </c>
    </row>
    <row r="389" spans="1:13">
      <c r="A389" s="711" t="s">
        <v>2377</v>
      </c>
      <c r="B389" s="711"/>
      <c r="C389" s="711"/>
      <c r="D389" s="711"/>
      <c r="E389" s="711"/>
      <c r="F389" s="711">
        <v>2</v>
      </c>
      <c r="G389" s="711"/>
      <c r="H389" s="711"/>
      <c r="I389" s="711"/>
      <c r="J389" s="711"/>
      <c r="K389" s="711">
        <v>1</v>
      </c>
      <c r="L389" s="711">
        <v>2</v>
      </c>
      <c r="M389" s="711" t="s">
        <v>47</v>
      </c>
    </row>
    <row r="390" spans="1:13">
      <c r="A390" s="711" t="s">
        <v>2362</v>
      </c>
      <c r="B390" s="711" t="s">
        <v>2393</v>
      </c>
      <c r="C390" s="711"/>
      <c r="D390" s="711"/>
      <c r="E390" s="711"/>
      <c r="F390" s="711">
        <v>1</v>
      </c>
      <c r="G390" s="711">
        <v>4</v>
      </c>
      <c r="H390" s="711"/>
      <c r="I390" s="711"/>
      <c r="J390" s="711"/>
      <c r="K390" s="711">
        <v>2</v>
      </c>
      <c r="L390" s="711">
        <v>1</v>
      </c>
      <c r="M390" s="711" t="s">
        <v>42</v>
      </c>
    </row>
    <row r="391" spans="1:13">
      <c r="A391" s="711" t="s">
        <v>2384</v>
      </c>
      <c r="B391" s="711"/>
      <c r="C391" s="711"/>
      <c r="D391" s="711"/>
      <c r="E391" s="711"/>
      <c r="F391" s="711">
        <v>2</v>
      </c>
      <c r="G391" s="711"/>
      <c r="H391" s="711"/>
      <c r="I391" s="711"/>
      <c r="J391" s="711"/>
      <c r="K391" s="711">
        <v>1</v>
      </c>
      <c r="L391" s="711">
        <v>2</v>
      </c>
      <c r="M391" s="711" t="s">
        <v>47</v>
      </c>
    </row>
    <row r="392" spans="1:13">
      <c r="A392" s="711" t="s">
        <v>2362</v>
      </c>
      <c r="B392" s="711" t="s">
        <v>2393</v>
      </c>
      <c r="C392" s="711"/>
      <c r="D392" s="711"/>
      <c r="E392" s="711"/>
      <c r="F392" s="711">
        <v>1</v>
      </c>
      <c r="G392" s="711">
        <v>4</v>
      </c>
      <c r="H392" s="711"/>
      <c r="I392" s="711"/>
      <c r="J392" s="711"/>
      <c r="K392" s="711">
        <v>2</v>
      </c>
      <c r="L392" s="711">
        <v>1</v>
      </c>
      <c r="M392" s="711" t="s">
        <v>42</v>
      </c>
    </row>
    <row r="393" spans="1:13">
      <c r="A393" s="711" t="s">
        <v>2980</v>
      </c>
      <c r="B393" s="711"/>
      <c r="C393" s="711"/>
      <c r="D393" s="711"/>
      <c r="E393" s="711"/>
      <c r="F393" s="711">
        <v>31</v>
      </c>
      <c r="G393" s="711"/>
      <c r="H393" s="711"/>
      <c r="I393" s="711"/>
      <c r="J393" s="711"/>
      <c r="K393" s="711">
        <v>1</v>
      </c>
      <c r="L393" s="711">
        <v>31</v>
      </c>
      <c r="M393" s="711" t="s">
        <v>41</v>
      </c>
    </row>
    <row r="394" spans="1:13">
      <c r="A394" s="711" t="s">
        <v>2394</v>
      </c>
      <c r="B394" s="711"/>
      <c r="C394" s="711"/>
      <c r="D394" s="711"/>
      <c r="E394" s="711"/>
      <c r="F394" s="711">
        <v>4</v>
      </c>
      <c r="G394" s="711"/>
      <c r="H394" s="711"/>
      <c r="I394" s="711"/>
      <c r="J394" s="711"/>
      <c r="K394" s="711">
        <v>1</v>
      </c>
      <c r="L394" s="711">
        <v>4</v>
      </c>
      <c r="M394" s="711" t="s">
        <v>39</v>
      </c>
    </row>
    <row r="395" spans="1:13">
      <c r="A395" s="711" t="s">
        <v>2393</v>
      </c>
      <c r="B395" s="711" t="s">
        <v>3099</v>
      </c>
      <c r="C395" s="711"/>
      <c r="D395" s="711"/>
      <c r="E395" s="711"/>
      <c r="F395" s="711">
        <v>4</v>
      </c>
      <c r="G395" s="711">
        <v>3</v>
      </c>
      <c r="H395" s="711"/>
      <c r="I395" s="711"/>
      <c r="J395" s="711"/>
      <c r="K395" s="711">
        <v>2</v>
      </c>
      <c r="L395" s="711">
        <v>4</v>
      </c>
      <c r="M395" s="711" t="s">
        <v>3233</v>
      </c>
    </row>
    <row r="396" spans="1:13">
      <c r="A396" s="711" t="s">
        <v>2394</v>
      </c>
      <c r="B396" s="711"/>
      <c r="C396" s="711"/>
      <c r="D396" s="711"/>
      <c r="E396" s="711"/>
      <c r="F396" s="711">
        <v>4</v>
      </c>
      <c r="G396" s="711"/>
      <c r="H396" s="711"/>
      <c r="I396" s="711"/>
      <c r="J396" s="711"/>
      <c r="K396" s="711">
        <v>1</v>
      </c>
      <c r="L396" s="711">
        <v>4</v>
      </c>
      <c r="M396" s="711" t="s">
        <v>39</v>
      </c>
    </row>
    <row r="397" spans="1:13">
      <c r="A397" s="711" t="s">
        <v>2362</v>
      </c>
      <c r="B397" s="711" t="s">
        <v>2420</v>
      </c>
      <c r="C397" s="711" t="s">
        <v>3062</v>
      </c>
      <c r="D397" s="711" t="s">
        <v>2725</v>
      </c>
      <c r="E397" s="711"/>
      <c r="F397" s="711">
        <v>1</v>
      </c>
      <c r="G397" s="711">
        <v>9</v>
      </c>
      <c r="H397" s="711">
        <v>31</v>
      </c>
      <c r="I397" s="711">
        <v>31</v>
      </c>
      <c r="J397" s="711"/>
      <c r="K397" s="711">
        <v>4</v>
      </c>
      <c r="L397" s="711">
        <v>1</v>
      </c>
      <c r="M397" s="711" t="s">
        <v>3406</v>
      </c>
    </row>
    <row r="398" spans="1:13">
      <c r="A398" s="711" t="s">
        <v>3099</v>
      </c>
      <c r="B398" s="711"/>
      <c r="C398" s="711"/>
      <c r="D398" s="711"/>
      <c r="E398" s="711"/>
      <c r="F398" s="711">
        <v>3</v>
      </c>
      <c r="G398" s="711"/>
      <c r="H398" s="711"/>
      <c r="I398" s="711"/>
      <c r="J398" s="711"/>
      <c r="K398" s="711">
        <v>1</v>
      </c>
      <c r="L398" s="711">
        <v>3</v>
      </c>
      <c r="M398" s="711" t="s">
        <v>48</v>
      </c>
    </row>
    <row r="399" spans="1:13">
      <c r="A399" s="711" t="s">
        <v>2362</v>
      </c>
      <c r="B399" s="711" t="s">
        <v>2420</v>
      </c>
      <c r="C399" s="711" t="s">
        <v>3100</v>
      </c>
      <c r="D399" s="711" t="s">
        <v>2377</v>
      </c>
      <c r="E399" s="711" t="s">
        <v>3099</v>
      </c>
      <c r="F399" s="711">
        <v>1</v>
      </c>
      <c r="G399" s="711">
        <v>9</v>
      </c>
      <c r="H399" s="711">
        <v>5</v>
      </c>
      <c r="I399" s="711">
        <v>2</v>
      </c>
      <c r="J399" s="711">
        <v>3</v>
      </c>
      <c r="K399" s="711">
        <v>5</v>
      </c>
      <c r="L399" s="711">
        <v>1</v>
      </c>
      <c r="M399" s="711" t="s">
        <v>3423</v>
      </c>
    </row>
    <row r="400" spans="1:13">
      <c r="A400" s="711" t="s">
        <v>2420</v>
      </c>
      <c r="B400" s="711" t="s">
        <v>3100</v>
      </c>
      <c r="C400" s="711" t="s">
        <v>3101</v>
      </c>
      <c r="D400" s="711" t="s">
        <v>2393</v>
      </c>
      <c r="E400" s="711"/>
      <c r="F400" s="711">
        <v>9</v>
      </c>
      <c r="G400" s="711">
        <v>5</v>
      </c>
      <c r="H400" s="711">
        <v>6</v>
      </c>
      <c r="I400" s="711">
        <v>4</v>
      </c>
      <c r="J400" s="711"/>
      <c r="K400" s="711">
        <v>4</v>
      </c>
      <c r="L400" s="711">
        <v>9</v>
      </c>
      <c r="M400" s="711" t="s">
        <v>3244</v>
      </c>
    </row>
    <row r="401" spans="1:13">
      <c r="A401" s="711" t="s">
        <v>2464</v>
      </c>
      <c r="B401" s="711" t="s">
        <v>2409</v>
      </c>
      <c r="C401" s="711" t="s">
        <v>2597</v>
      </c>
      <c r="D401" s="711" t="s">
        <v>2394</v>
      </c>
      <c r="E401" s="711"/>
      <c r="F401" s="711">
        <v>25</v>
      </c>
      <c r="G401" s="711">
        <v>7</v>
      </c>
      <c r="H401" s="711">
        <v>31</v>
      </c>
      <c r="I401" s="711">
        <v>4</v>
      </c>
      <c r="J401" s="711"/>
      <c r="K401" s="711">
        <v>4</v>
      </c>
      <c r="L401" s="711">
        <v>25</v>
      </c>
      <c r="M401" s="711" t="s">
        <v>3245</v>
      </c>
    </row>
    <row r="402" spans="1:13">
      <c r="A402" s="711" t="s">
        <v>2393</v>
      </c>
      <c r="B402" s="711"/>
      <c r="C402" s="711"/>
      <c r="D402" s="711"/>
      <c r="E402" s="711"/>
      <c r="F402" s="711">
        <v>4</v>
      </c>
      <c r="G402" s="711"/>
      <c r="H402" s="711"/>
      <c r="I402" s="711"/>
      <c r="J402" s="711"/>
      <c r="K402" s="711">
        <v>1</v>
      </c>
      <c r="L402" s="711">
        <v>4</v>
      </c>
      <c r="M402" s="711" t="s">
        <v>39</v>
      </c>
    </row>
    <row r="403" spans="1:13">
      <c r="A403" s="711" t="s">
        <v>2362</v>
      </c>
      <c r="B403" s="711" t="s">
        <v>3099</v>
      </c>
      <c r="C403" s="711"/>
      <c r="D403" s="711"/>
      <c r="E403" s="711"/>
      <c r="F403" s="711">
        <v>1</v>
      </c>
      <c r="G403" s="711">
        <v>3</v>
      </c>
      <c r="H403" s="711"/>
      <c r="I403" s="711"/>
      <c r="J403" s="711"/>
      <c r="K403" s="711">
        <v>2</v>
      </c>
      <c r="L403" s="711">
        <v>1</v>
      </c>
      <c r="M403" s="711" t="s">
        <v>43</v>
      </c>
    </row>
    <row r="404" spans="1:13">
      <c r="A404" s="711" t="s">
        <v>2952</v>
      </c>
      <c r="B404" s="711" t="s">
        <v>2411</v>
      </c>
      <c r="C404" s="711"/>
      <c r="D404" s="711"/>
      <c r="E404" s="711"/>
      <c r="F404" s="711">
        <v>31</v>
      </c>
      <c r="G404" s="711">
        <v>8</v>
      </c>
      <c r="H404" s="711"/>
      <c r="I404" s="711"/>
      <c r="J404" s="711"/>
      <c r="K404" s="711">
        <v>2</v>
      </c>
      <c r="L404" s="711">
        <v>31</v>
      </c>
      <c r="M404" s="711" t="s">
        <v>3246</v>
      </c>
    </row>
    <row r="405" spans="1:13">
      <c r="A405" s="711" t="s">
        <v>2749</v>
      </c>
      <c r="B405" s="711"/>
      <c r="C405" s="711"/>
      <c r="D405" s="711"/>
      <c r="E405" s="711"/>
      <c r="F405" s="711">
        <v>31</v>
      </c>
      <c r="G405" s="711"/>
      <c r="H405" s="711"/>
      <c r="I405" s="711"/>
      <c r="J405" s="711"/>
      <c r="K405" s="711">
        <v>1</v>
      </c>
      <c r="L405" s="711">
        <v>31</v>
      </c>
      <c r="M405" s="711" t="s">
        <v>41</v>
      </c>
    </row>
    <row r="406" spans="1:13">
      <c r="A406" s="711" t="s">
        <v>2464</v>
      </c>
      <c r="B406" s="711" t="s">
        <v>3099</v>
      </c>
      <c r="C406" s="711" t="s">
        <v>2783</v>
      </c>
      <c r="D406" s="711"/>
      <c r="E406" s="711"/>
      <c r="F406" s="711">
        <v>25</v>
      </c>
      <c r="G406" s="711">
        <v>3</v>
      </c>
      <c r="H406" s="711">
        <v>31</v>
      </c>
      <c r="I406" s="711"/>
      <c r="J406" s="711"/>
      <c r="K406" s="711">
        <v>3</v>
      </c>
      <c r="L406" s="711">
        <v>25</v>
      </c>
      <c r="M406" s="711" t="s">
        <v>3247</v>
      </c>
    </row>
    <row r="407" spans="1:13">
      <c r="A407" s="711" t="s">
        <v>2438</v>
      </c>
      <c r="B407" s="711"/>
      <c r="C407" s="711"/>
      <c r="D407" s="711"/>
      <c r="E407" s="711"/>
      <c r="F407" s="711">
        <v>13</v>
      </c>
      <c r="G407" s="711"/>
      <c r="H407" s="711"/>
      <c r="I407" s="711"/>
      <c r="J407" s="711"/>
      <c r="K407" s="711">
        <v>1</v>
      </c>
      <c r="L407" s="711">
        <v>13</v>
      </c>
      <c r="M407" s="711" t="s">
        <v>50</v>
      </c>
    </row>
    <row r="408" spans="1:13">
      <c r="A408" s="711" t="s">
        <v>3099</v>
      </c>
      <c r="B408" s="711"/>
      <c r="C408" s="711"/>
      <c r="D408" s="711"/>
      <c r="E408" s="711"/>
      <c r="F408" s="711">
        <v>3</v>
      </c>
      <c r="G408" s="711"/>
      <c r="H408" s="711"/>
      <c r="I408" s="711"/>
      <c r="J408" s="711"/>
      <c r="K408" s="711">
        <v>1</v>
      </c>
      <c r="L408" s="711">
        <v>3</v>
      </c>
      <c r="M408" s="711" t="s">
        <v>48</v>
      </c>
    </row>
    <row r="409" spans="1:13">
      <c r="A409" s="711" t="s">
        <v>2393</v>
      </c>
      <c r="B409" s="711"/>
      <c r="C409" s="711"/>
      <c r="D409" s="711"/>
      <c r="E409" s="711"/>
      <c r="F409" s="711">
        <v>4</v>
      </c>
      <c r="G409" s="711"/>
      <c r="H409" s="711"/>
      <c r="I409" s="711"/>
      <c r="J409" s="711"/>
      <c r="K409" s="711">
        <v>1</v>
      </c>
      <c r="L409" s="711">
        <v>4</v>
      </c>
      <c r="M409" s="711" t="s">
        <v>39</v>
      </c>
    </row>
    <row r="410" spans="1:13">
      <c r="A410" s="711" t="s">
        <v>3099</v>
      </c>
      <c r="B410" s="711"/>
      <c r="C410" s="711"/>
      <c r="D410" s="711"/>
      <c r="E410" s="711"/>
      <c r="F410" s="711">
        <v>3</v>
      </c>
      <c r="G410" s="711"/>
      <c r="H410" s="711"/>
      <c r="I410" s="711"/>
      <c r="J410" s="711"/>
      <c r="K410" s="711">
        <v>1</v>
      </c>
      <c r="L410" s="711">
        <v>3</v>
      </c>
      <c r="M410" s="711" t="s">
        <v>48</v>
      </c>
    </row>
    <row r="411" spans="1:13">
      <c r="A411" s="711" t="s">
        <v>2362</v>
      </c>
      <c r="B411" s="711"/>
      <c r="C411" s="711"/>
      <c r="D411" s="711"/>
      <c r="E411" s="711"/>
      <c r="F411" s="711">
        <v>1</v>
      </c>
      <c r="G411" s="711"/>
      <c r="H411" s="711"/>
      <c r="I411" s="711"/>
      <c r="J411" s="711"/>
      <c r="K411" s="711">
        <v>1</v>
      </c>
      <c r="L411" s="711">
        <v>1</v>
      </c>
      <c r="M411" s="711" t="s">
        <v>26</v>
      </c>
    </row>
    <row r="412" spans="1:13">
      <c r="A412" s="711" t="s">
        <v>2362</v>
      </c>
      <c r="B412" s="711"/>
      <c r="C412" s="711"/>
      <c r="D412" s="711"/>
      <c r="E412" s="711"/>
      <c r="F412" s="711">
        <v>1</v>
      </c>
      <c r="G412" s="711"/>
      <c r="H412" s="711"/>
      <c r="I412" s="711"/>
      <c r="J412" s="711"/>
      <c r="K412" s="711">
        <v>1</v>
      </c>
      <c r="L412" s="711">
        <v>1</v>
      </c>
      <c r="M412" s="711" t="s">
        <v>26</v>
      </c>
    </row>
    <row r="413" spans="1:13">
      <c r="A413" s="711" t="s">
        <v>2377</v>
      </c>
      <c r="B413" s="711"/>
      <c r="C413" s="711"/>
      <c r="D413" s="711"/>
      <c r="E413" s="711"/>
      <c r="F413" s="711">
        <v>2</v>
      </c>
      <c r="G413" s="711"/>
      <c r="H413" s="711"/>
      <c r="I413" s="711"/>
      <c r="J413" s="711"/>
      <c r="K413" s="711">
        <v>1</v>
      </c>
      <c r="L413" s="711">
        <v>2</v>
      </c>
      <c r="M413" s="711" t="s">
        <v>47</v>
      </c>
    </row>
    <row r="414" spans="1:13">
      <c r="A414" s="711" t="s">
        <v>3099</v>
      </c>
      <c r="B414" s="711" t="s">
        <v>2393</v>
      </c>
      <c r="C414" s="711" t="s">
        <v>2362</v>
      </c>
      <c r="D414" s="711"/>
      <c r="E414" s="711"/>
      <c r="F414" s="711">
        <v>3</v>
      </c>
      <c r="G414" s="711">
        <v>4</v>
      </c>
      <c r="H414" s="711">
        <v>1</v>
      </c>
      <c r="I414" s="711"/>
      <c r="J414" s="711"/>
      <c r="K414" s="711">
        <v>3</v>
      </c>
      <c r="L414" s="711">
        <v>3</v>
      </c>
      <c r="M414" s="711" t="s">
        <v>3248</v>
      </c>
    </row>
    <row r="415" spans="1:13">
      <c r="A415" s="711" t="s">
        <v>2377</v>
      </c>
      <c r="B415" s="711" t="s">
        <v>3099</v>
      </c>
      <c r="C415" s="711"/>
      <c r="D415" s="711"/>
      <c r="E415" s="711"/>
      <c r="F415" s="711">
        <v>2</v>
      </c>
      <c r="G415" s="711">
        <v>3</v>
      </c>
      <c r="H415" s="711"/>
      <c r="I415" s="711"/>
      <c r="J415" s="711"/>
      <c r="K415" s="711">
        <v>2</v>
      </c>
      <c r="L415" s="711">
        <v>2</v>
      </c>
      <c r="M415" s="711" t="s">
        <v>893</v>
      </c>
    </row>
    <row r="416" spans="1:13">
      <c r="A416" s="711" t="s">
        <v>2362</v>
      </c>
      <c r="B416" s="711"/>
      <c r="C416" s="711"/>
      <c r="D416" s="711"/>
      <c r="E416" s="711"/>
      <c r="F416" s="711">
        <v>1</v>
      </c>
      <c r="G416" s="711"/>
      <c r="H416" s="711"/>
      <c r="I416" s="711"/>
      <c r="J416" s="711"/>
      <c r="K416" s="711">
        <v>1</v>
      </c>
      <c r="L416" s="711">
        <v>1</v>
      </c>
      <c r="M416" s="711" t="s">
        <v>26</v>
      </c>
    </row>
    <row r="417" spans="1:13">
      <c r="A417" s="711" t="s">
        <v>2394</v>
      </c>
      <c r="B417" s="711" t="s">
        <v>2377</v>
      </c>
      <c r="C417" s="711" t="s">
        <v>3099</v>
      </c>
      <c r="D417" s="711" t="s">
        <v>2629</v>
      </c>
      <c r="E417" s="711" t="s">
        <v>2731</v>
      </c>
      <c r="F417" s="711">
        <v>4</v>
      </c>
      <c r="G417" s="711">
        <v>2</v>
      </c>
      <c r="H417" s="711">
        <v>3</v>
      </c>
      <c r="I417" s="711">
        <v>31</v>
      </c>
      <c r="J417" s="711">
        <v>31</v>
      </c>
      <c r="K417" s="711">
        <v>5</v>
      </c>
      <c r="L417" s="711">
        <v>4</v>
      </c>
      <c r="M417" s="711" t="s">
        <v>3438</v>
      </c>
    </row>
    <row r="418" spans="1:13">
      <c r="A418" s="711" t="s">
        <v>2377</v>
      </c>
      <c r="B418" s="711"/>
      <c r="C418" s="711"/>
      <c r="D418" s="711"/>
      <c r="E418" s="711"/>
      <c r="F418" s="711">
        <v>2</v>
      </c>
      <c r="G418" s="711"/>
      <c r="H418" s="711"/>
      <c r="I418" s="711"/>
      <c r="J418" s="711"/>
      <c r="K418" s="711">
        <v>1</v>
      </c>
      <c r="L418" s="711">
        <v>2</v>
      </c>
      <c r="M418" s="711" t="s">
        <v>47</v>
      </c>
    </row>
    <row r="419" spans="1:13">
      <c r="A419" s="711" t="s">
        <v>2409</v>
      </c>
      <c r="B419" s="711"/>
      <c r="C419" s="711"/>
      <c r="D419" s="711"/>
      <c r="E419" s="711"/>
      <c r="F419" s="711">
        <v>7</v>
      </c>
      <c r="G419" s="711"/>
      <c r="H419" s="711"/>
      <c r="I419" s="711"/>
      <c r="J419" s="711"/>
      <c r="K419" s="711">
        <v>1</v>
      </c>
      <c r="L419" s="711">
        <v>7</v>
      </c>
      <c r="M419" s="711" t="s">
        <v>34</v>
      </c>
    </row>
    <row r="420" spans="1:13">
      <c r="A420" s="711" t="s">
        <v>2362</v>
      </c>
      <c r="B420" s="711" t="s">
        <v>3034</v>
      </c>
      <c r="C420" s="711" t="s">
        <v>2420</v>
      </c>
      <c r="D420" s="711" t="s">
        <v>2377</v>
      </c>
      <c r="E420" s="711" t="s">
        <v>2585</v>
      </c>
      <c r="F420" s="711">
        <v>1</v>
      </c>
      <c r="G420" s="711">
        <v>31</v>
      </c>
      <c r="H420" s="711">
        <v>9</v>
      </c>
      <c r="I420" s="711">
        <v>2</v>
      </c>
      <c r="J420" s="711">
        <v>31</v>
      </c>
      <c r="K420" s="711">
        <v>5</v>
      </c>
      <c r="L420" s="711">
        <v>1</v>
      </c>
      <c r="M420" s="711" t="s">
        <v>3439</v>
      </c>
    </row>
    <row r="421" spans="1:13">
      <c r="A421" s="711" t="s">
        <v>2377</v>
      </c>
      <c r="B421" s="711"/>
      <c r="C421" s="711"/>
      <c r="D421" s="711"/>
      <c r="E421" s="711"/>
      <c r="F421" s="711">
        <v>2</v>
      </c>
      <c r="G421" s="711"/>
      <c r="H421" s="711"/>
      <c r="I421" s="711"/>
      <c r="J421" s="711"/>
      <c r="K421" s="711">
        <v>1</v>
      </c>
      <c r="L421" s="711">
        <v>2</v>
      </c>
      <c r="M421" s="711" t="s">
        <v>47</v>
      </c>
    </row>
    <row r="422" spans="1:13">
      <c r="A422" s="711" t="s">
        <v>2981</v>
      </c>
      <c r="B422" s="711" t="s">
        <v>2378</v>
      </c>
      <c r="C422" s="711"/>
      <c r="D422" s="711"/>
      <c r="E422" s="711"/>
      <c r="F422" s="711">
        <v>31</v>
      </c>
      <c r="G422" s="711">
        <v>2</v>
      </c>
      <c r="H422" s="711"/>
      <c r="I422" s="711"/>
      <c r="J422" s="711"/>
      <c r="K422" s="711">
        <v>2</v>
      </c>
      <c r="L422" s="711">
        <v>31</v>
      </c>
      <c r="M422" s="711" t="s">
        <v>3249</v>
      </c>
    </row>
    <row r="423" spans="1:13">
      <c r="A423" s="711" t="s">
        <v>3101</v>
      </c>
      <c r="B423" s="711"/>
      <c r="C423" s="711"/>
      <c r="D423" s="711"/>
      <c r="E423" s="711"/>
      <c r="F423" s="711">
        <v>6</v>
      </c>
      <c r="G423" s="711"/>
      <c r="H423" s="711"/>
      <c r="I423" s="711"/>
      <c r="J423" s="711"/>
      <c r="K423" s="711">
        <v>1</v>
      </c>
      <c r="L423" s="711">
        <v>6</v>
      </c>
      <c r="M423" s="711" t="s">
        <v>909</v>
      </c>
    </row>
    <row r="424" spans="1:13">
      <c r="A424" s="711" t="s">
        <v>2362</v>
      </c>
      <c r="B424" s="711" t="s">
        <v>3099</v>
      </c>
      <c r="C424" s="711" t="s">
        <v>3101</v>
      </c>
      <c r="D424" s="711"/>
      <c r="E424" s="711"/>
      <c r="F424" s="711">
        <v>1</v>
      </c>
      <c r="G424" s="711">
        <v>3</v>
      </c>
      <c r="H424" s="711">
        <v>6</v>
      </c>
      <c r="I424" s="711"/>
      <c r="J424" s="711"/>
      <c r="K424" s="711">
        <v>3</v>
      </c>
      <c r="L424" s="711">
        <v>1</v>
      </c>
      <c r="M424" s="711" t="s">
        <v>910</v>
      </c>
    </row>
    <row r="425" spans="1:13">
      <c r="A425" s="711" t="s">
        <v>2464</v>
      </c>
      <c r="B425" s="711" t="s">
        <v>2393</v>
      </c>
      <c r="C425" s="711" t="s">
        <v>3063</v>
      </c>
      <c r="D425" s="711" t="s">
        <v>2597</v>
      </c>
      <c r="E425" s="711" t="s">
        <v>3110</v>
      </c>
      <c r="F425" s="711">
        <v>25</v>
      </c>
      <c r="G425" s="711">
        <v>4</v>
      </c>
      <c r="H425" s="711">
        <v>31</v>
      </c>
      <c r="I425" s="711">
        <v>31</v>
      </c>
      <c r="J425" s="711">
        <v>31</v>
      </c>
      <c r="K425" s="711">
        <v>5</v>
      </c>
      <c r="L425" s="711">
        <v>25</v>
      </c>
      <c r="M425" s="711" t="s">
        <v>3440</v>
      </c>
    </row>
    <row r="426" spans="1:13">
      <c r="A426" s="711" t="s">
        <v>3099</v>
      </c>
      <c r="B426" s="711" t="s">
        <v>2615</v>
      </c>
      <c r="C426" s="711" t="s">
        <v>3100</v>
      </c>
      <c r="D426" s="711" t="s">
        <v>2950</v>
      </c>
      <c r="E426" s="711" t="s">
        <v>2440</v>
      </c>
      <c r="F426" s="711">
        <v>3</v>
      </c>
      <c r="G426" s="711">
        <v>31</v>
      </c>
      <c r="H426" s="711">
        <v>5</v>
      </c>
      <c r="I426" s="711">
        <v>31</v>
      </c>
      <c r="J426" s="711">
        <v>14</v>
      </c>
      <c r="K426" s="711">
        <v>5</v>
      </c>
      <c r="L426" s="711">
        <v>3</v>
      </c>
      <c r="M426" s="711" t="s">
        <v>3441</v>
      </c>
    </row>
    <row r="427" spans="1:13">
      <c r="A427" s="711" t="s">
        <v>3099</v>
      </c>
      <c r="B427" s="711" t="s">
        <v>2409</v>
      </c>
      <c r="C427" s="711" t="s">
        <v>2464</v>
      </c>
      <c r="D427" s="711"/>
      <c r="E427" s="711"/>
      <c r="F427" s="711">
        <v>3</v>
      </c>
      <c r="G427" s="711">
        <v>7</v>
      </c>
      <c r="H427" s="711">
        <v>25</v>
      </c>
      <c r="I427" s="711"/>
      <c r="J427" s="711"/>
      <c r="K427" s="711">
        <v>3</v>
      </c>
      <c r="L427" s="711">
        <v>3</v>
      </c>
      <c r="M427" s="711" t="s">
        <v>3250</v>
      </c>
    </row>
    <row r="428" spans="1:13">
      <c r="A428" s="711" t="s">
        <v>2355</v>
      </c>
      <c r="B428" s="711"/>
      <c r="C428" s="711"/>
      <c r="D428" s="711"/>
      <c r="E428" s="711"/>
      <c r="F428" s="711">
        <v>31</v>
      </c>
      <c r="G428" s="711"/>
      <c r="H428" s="711"/>
      <c r="I428" s="711"/>
      <c r="J428" s="711"/>
      <c r="K428" s="711">
        <v>1</v>
      </c>
      <c r="L428" s="711">
        <v>31</v>
      </c>
      <c r="M428" s="711" t="s">
        <v>41</v>
      </c>
    </row>
    <row r="429" spans="1:13">
      <c r="A429" s="711" t="s">
        <v>2393</v>
      </c>
      <c r="B429" s="711"/>
      <c r="C429" s="711"/>
      <c r="D429" s="711"/>
      <c r="E429" s="711"/>
      <c r="F429" s="711">
        <v>4</v>
      </c>
      <c r="G429" s="711"/>
      <c r="H429" s="711"/>
      <c r="I429" s="711"/>
      <c r="J429" s="711"/>
      <c r="K429" s="711">
        <v>1</v>
      </c>
      <c r="L429" s="711">
        <v>4</v>
      </c>
      <c r="M429" s="711" t="s">
        <v>39</v>
      </c>
    </row>
    <row r="430" spans="1:13">
      <c r="A430" s="711" t="s">
        <v>2377</v>
      </c>
      <c r="B430" s="711"/>
      <c r="C430" s="711"/>
      <c r="D430" s="711"/>
      <c r="E430" s="711"/>
      <c r="F430" s="711">
        <v>2</v>
      </c>
      <c r="G430" s="711"/>
      <c r="H430" s="711"/>
      <c r="I430" s="711"/>
      <c r="J430" s="711"/>
      <c r="K430" s="711">
        <v>1</v>
      </c>
      <c r="L430" s="711">
        <v>2</v>
      </c>
      <c r="M430" s="711" t="s">
        <v>47</v>
      </c>
    </row>
    <row r="431" spans="1:13">
      <c r="A431" s="711" t="s">
        <v>2725</v>
      </c>
      <c r="B431" s="711"/>
      <c r="C431" s="711"/>
      <c r="D431" s="711"/>
      <c r="E431" s="711"/>
      <c r="F431" s="711">
        <v>31</v>
      </c>
      <c r="G431" s="711"/>
      <c r="H431" s="711"/>
      <c r="I431" s="711"/>
      <c r="J431" s="711"/>
      <c r="K431" s="711">
        <v>1</v>
      </c>
      <c r="L431" s="711">
        <v>31</v>
      </c>
      <c r="M431" s="711" t="s">
        <v>41</v>
      </c>
    </row>
    <row r="432" spans="1:13">
      <c r="A432" s="711" t="s">
        <v>2362</v>
      </c>
      <c r="B432" s="711" t="s">
        <v>2420</v>
      </c>
      <c r="C432" s="711" t="s">
        <v>3100</v>
      </c>
      <c r="D432" s="711"/>
      <c r="E432" s="711"/>
      <c r="F432" s="711">
        <v>1</v>
      </c>
      <c r="G432" s="711">
        <v>9</v>
      </c>
      <c r="H432" s="711">
        <v>5</v>
      </c>
      <c r="I432" s="711"/>
      <c r="J432" s="711"/>
      <c r="K432" s="711">
        <v>3</v>
      </c>
      <c r="L432" s="711">
        <v>1</v>
      </c>
      <c r="M432" s="711" t="s">
        <v>3166</v>
      </c>
    </row>
    <row r="433" spans="1:13">
      <c r="A433" s="711" t="s">
        <v>2362</v>
      </c>
      <c r="B433" s="711" t="s">
        <v>3101</v>
      </c>
      <c r="C433" s="711" t="s">
        <v>2393</v>
      </c>
      <c r="D433" s="711" t="s">
        <v>2377</v>
      </c>
      <c r="E433" s="711"/>
      <c r="F433" s="711">
        <v>1</v>
      </c>
      <c r="G433" s="711">
        <v>6</v>
      </c>
      <c r="H433" s="711">
        <v>4</v>
      </c>
      <c r="I433" s="711">
        <v>2</v>
      </c>
      <c r="J433" s="711"/>
      <c r="K433" s="711">
        <v>4</v>
      </c>
      <c r="L433" s="711">
        <v>1</v>
      </c>
      <c r="M433" s="711" t="s">
        <v>3251</v>
      </c>
    </row>
    <row r="434" spans="1:13">
      <c r="A434" s="711" t="s">
        <v>2409</v>
      </c>
      <c r="B434" s="711"/>
      <c r="C434" s="711"/>
      <c r="D434" s="711"/>
      <c r="E434" s="711"/>
      <c r="F434" s="711">
        <v>7</v>
      </c>
      <c r="G434" s="711"/>
      <c r="H434" s="711"/>
      <c r="I434" s="711"/>
      <c r="J434" s="711"/>
      <c r="K434" s="711">
        <v>1</v>
      </c>
      <c r="L434" s="711">
        <v>7</v>
      </c>
      <c r="M434" s="711" t="s">
        <v>34</v>
      </c>
    </row>
    <row r="435" spans="1:13">
      <c r="A435" s="711" t="s">
        <v>2587</v>
      </c>
      <c r="B435" s="711" t="s">
        <v>2511</v>
      </c>
      <c r="C435" s="711"/>
      <c r="D435" s="711"/>
      <c r="E435" s="711"/>
      <c r="F435" s="711">
        <v>31</v>
      </c>
      <c r="G435" s="711">
        <v>31</v>
      </c>
      <c r="H435" s="711"/>
      <c r="I435" s="711"/>
      <c r="J435" s="711"/>
      <c r="K435" s="711">
        <v>2</v>
      </c>
      <c r="L435" s="711">
        <v>31</v>
      </c>
      <c r="M435" s="711" t="s">
        <v>41</v>
      </c>
    </row>
    <row r="436" spans="1:13">
      <c r="A436" s="711" t="s">
        <v>2393</v>
      </c>
      <c r="B436" s="711" t="s">
        <v>3099</v>
      </c>
      <c r="C436" s="711" t="s">
        <v>2377</v>
      </c>
      <c r="D436" s="711" t="s">
        <v>2362</v>
      </c>
      <c r="E436" s="711" t="s">
        <v>2464</v>
      </c>
      <c r="F436" s="711">
        <v>4</v>
      </c>
      <c r="G436" s="711">
        <v>3</v>
      </c>
      <c r="H436" s="711">
        <v>2</v>
      </c>
      <c r="I436" s="711">
        <v>1</v>
      </c>
      <c r="J436" s="711">
        <v>25</v>
      </c>
      <c r="K436" s="711">
        <v>5</v>
      </c>
      <c r="L436" s="711">
        <v>4</v>
      </c>
      <c r="M436" s="711" t="s">
        <v>3442</v>
      </c>
    </row>
    <row r="437" spans="1:13">
      <c r="A437" s="711" t="s">
        <v>3099</v>
      </c>
      <c r="B437" s="711"/>
      <c r="C437" s="711"/>
      <c r="D437" s="711"/>
      <c r="E437" s="711"/>
      <c r="F437" s="711">
        <v>3</v>
      </c>
      <c r="G437" s="711"/>
      <c r="H437" s="711"/>
      <c r="I437" s="711"/>
      <c r="J437" s="711"/>
      <c r="K437" s="711">
        <v>1</v>
      </c>
      <c r="L437" s="711">
        <v>3</v>
      </c>
      <c r="M437" s="711" t="s">
        <v>48</v>
      </c>
    </row>
    <row r="438" spans="1:13">
      <c r="A438" s="711" t="s">
        <v>2511</v>
      </c>
      <c r="B438" s="711" t="s">
        <v>2420</v>
      </c>
      <c r="C438" s="711" t="s">
        <v>3099</v>
      </c>
      <c r="D438" s="711"/>
      <c r="E438" s="711"/>
      <c r="F438" s="711">
        <v>31</v>
      </c>
      <c r="G438" s="711">
        <v>9</v>
      </c>
      <c r="H438" s="711">
        <v>3</v>
      </c>
      <c r="I438" s="711"/>
      <c r="J438" s="711"/>
      <c r="K438" s="711">
        <v>3</v>
      </c>
      <c r="L438" s="711">
        <v>31</v>
      </c>
      <c r="M438" s="711" t="s">
        <v>3252</v>
      </c>
    </row>
    <row r="439" spans="1:13">
      <c r="A439" s="711" t="s">
        <v>2362</v>
      </c>
      <c r="B439" s="711" t="s">
        <v>2378</v>
      </c>
      <c r="C439" s="711"/>
      <c r="D439" s="711"/>
      <c r="E439" s="711"/>
      <c r="F439" s="711">
        <v>1</v>
      </c>
      <c r="G439" s="711">
        <v>2</v>
      </c>
      <c r="H439" s="711"/>
      <c r="I439" s="711"/>
      <c r="J439" s="711"/>
      <c r="K439" s="711">
        <v>2</v>
      </c>
      <c r="L439" s="711">
        <v>1</v>
      </c>
      <c r="M439" s="711" t="s">
        <v>30</v>
      </c>
    </row>
    <row r="440" spans="1:13">
      <c r="A440" s="711" t="s">
        <v>2420</v>
      </c>
      <c r="B440" s="711"/>
      <c r="C440" s="711"/>
      <c r="D440" s="711"/>
      <c r="E440" s="711"/>
      <c r="F440" s="711">
        <v>9</v>
      </c>
      <c r="G440" s="711"/>
      <c r="H440" s="711"/>
      <c r="I440" s="711"/>
      <c r="J440" s="711"/>
      <c r="K440" s="711">
        <v>1</v>
      </c>
      <c r="L440" s="711">
        <v>9</v>
      </c>
      <c r="M440" s="711" t="s">
        <v>27</v>
      </c>
    </row>
    <row r="441" spans="1:13">
      <c r="A441" s="711" t="s">
        <v>2377</v>
      </c>
      <c r="B441" s="711"/>
      <c r="C441" s="711"/>
      <c r="D441" s="711"/>
      <c r="E441" s="711"/>
      <c r="F441" s="711">
        <v>2</v>
      </c>
      <c r="G441" s="711"/>
      <c r="H441" s="711"/>
      <c r="I441" s="711"/>
      <c r="J441" s="711"/>
      <c r="K441" s="711">
        <v>1</v>
      </c>
      <c r="L441" s="711">
        <v>2</v>
      </c>
      <c r="M441" s="711" t="s">
        <v>47</v>
      </c>
    </row>
    <row r="442" spans="1:13">
      <c r="A442" s="711" t="s">
        <v>2362</v>
      </c>
      <c r="B442" s="711"/>
      <c r="C442" s="711"/>
      <c r="D442" s="711"/>
      <c r="E442" s="711"/>
      <c r="F442" s="711">
        <v>1</v>
      </c>
      <c r="G442" s="711"/>
      <c r="H442" s="711"/>
      <c r="I442" s="711"/>
      <c r="J442" s="711"/>
      <c r="K442" s="711">
        <v>1</v>
      </c>
      <c r="L442" s="711">
        <v>1</v>
      </c>
      <c r="M442" s="711" t="s">
        <v>26</v>
      </c>
    </row>
    <row r="443" spans="1:13">
      <c r="A443" s="711" t="s">
        <v>2362</v>
      </c>
      <c r="B443" s="711" t="s">
        <v>2420</v>
      </c>
      <c r="C443" s="711" t="s">
        <v>3064</v>
      </c>
      <c r="D443" s="711" t="s">
        <v>3100</v>
      </c>
      <c r="E443" s="711" t="s">
        <v>2377</v>
      </c>
      <c r="F443" s="711">
        <v>1</v>
      </c>
      <c r="G443" s="711">
        <v>9</v>
      </c>
      <c r="H443" s="711">
        <v>31</v>
      </c>
      <c r="I443" s="711">
        <v>5</v>
      </c>
      <c r="J443" s="711">
        <v>2</v>
      </c>
      <c r="K443" s="711">
        <v>5</v>
      </c>
      <c r="L443" s="711">
        <v>1</v>
      </c>
      <c r="M443" s="711" t="s">
        <v>3443</v>
      </c>
    </row>
    <row r="444" spans="1:13">
      <c r="A444" s="711" t="s">
        <v>2393</v>
      </c>
      <c r="B444" s="711"/>
      <c r="C444" s="711"/>
      <c r="D444" s="711"/>
      <c r="E444" s="711"/>
      <c r="F444" s="711">
        <v>4</v>
      </c>
      <c r="G444" s="711"/>
      <c r="H444" s="711"/>
      <c r="I444" s="711"/>
      <c r="J444" s="711"/>
      <c r="K444" s="711">
        <v>1</v>
      </c>
      <c r="L444" s="711">
        <v>4</v>
      </c>
      <c r="M444" s="711" t="s">
        <v>39</v>
      </c>
    </row>
    <row r="445" spans="1:13">
      <c r="A445" s="711" t="s">
        <v>2378</v>
      </c>
      <c r="B445" s="711"/>
      <c r="C445" s="711"/>
      <c r="D445" s="711"/>
      <c r="E445" s="711"/>
      <c r="F445" s="711">
        <v>2</v>
      </c>
      <c r="G445" s="711"/>
      <c r="H445" s="711"/>
      <c r="I445" s="711"/>
      <c r="J445" s="711"/>
      <c r="K445" s="711">
        <v>1</v>
      </c>
      <c r="L445" s="711">
        <v>2</v>
      </c>
      <c r="M445" s="711" t="s">
        <v>47</v>
      </c>
    </row>
    <row r="446" spans="1:13">
      <c r="A446" s="711" t="s">
        <v>2377</v>
      </c>
      <c r="B446" s="711" t="s">
        <v>2393</v>
      </c>
      <c r="C446" s="711" t="s">
        <v>2464</v>
      </c>
      <c r="D446" s="711"/>
      <c r="E446" s="711"/>
      <c r="F446" s="711">
        <v>2</v>
      </c>
      <c r="G446" s="711">
        <v>4</v>
      </c>
      <c r="H446" s="711">
        <v>25</v>
      </c>
      <c r="I446" s="711"/>
      <c r="J446" s="711"/>
      <c r="K446" s="711">
        <v>3</v>
      </c>
      <c r="L446" s="711">
        <v>2</v>
      </c>
      <c r="M446" s="711" t="s">
        <v>3240</v>
      </c>
    </row>
    <row r="447" spans="1:13">
      <c r="A447" s="711" t="s">
        <v>2362</v>
      </c>
      <c r="B447" s="711"/>
      <c r="C447" s="711"/>
      <c r="D447" s="711"/>
      <c r="E447" s="711"/>
      <c r="F447" s="711">
        <v>1</v>
      </c>
      <c r="G447" s="711"/>
      <c r="H447" s="711"/>
      <c r="I447" s="711"/>
      <c r="J447" s="711"/>
      <c r="K447" s="711">
        <v>1</v>
      </c>
      <c r="L447" s="711">
        <v>1</v>
      </c>
      <c r="M447" s="711" t="s">
        <v>26</v>
      </c>
    </row>
    <row r="448" spans="1:13">
      <c r="A448" s="711" t="s">
        <v>2362</v>
      </c>
      <c r="B448" s="711"/>
      <c r="C448" s="711"/>
      <c r="D448" s="711"/>
      <c r="E448" s="711"/>
      <c r="F448" s="711">
        <v>1</v>
      </c>
      <c r="G448" s="711"/>
      <c r="H448" s="711"/>
      <c r="I448" s="711"/>
      <c r="J448" s="711"/>
      <c r="K448" s="711">
        <v>1</v>
      </c>
      <c r="L448" s="711">
        <v>1</v>
      </c>
      <c r="M448" s="711" t="s">
        <v>26</v>
      </c>
    </row>
    <row r="449" spans="1:13">
      <c r="A449" s="711" t="s">
        <v>2377</v>
      </c>
      <c r="B449" s="711" t="s">
        <v>2362</v>
      </c>
      <c r="C449" s="711" t="s">
        <v>2598</v>
      </c>
      <c r="D449" s="711"/>
      <c r="E449" s="711"/>
      <c r="F449" s="711">
        <v>2</v>
      </c>
      <c r="G449" s="711">
        <v>1</v>
      </c>
      <c r="H449" s="711">
        <v>31</v>
      </c>
      <c r="I449" s="711"/>
      <c r="J449" s="711"/>
      <c r="K449" s="711">
        <v>3</v>
      </c>
      <c r="L449" s="711">
        <v>2</v>
      </c>
      <c r="M449" s="711" t="s">
        <v>3253</v>
      </c>
    </row>
    <row r="450" spans="1:13">
      <c r="A450" s="711" t="s">
        <v>2482</v>
      </c>
      <c r="B450" s="711"/>
      <c r="C450" s="711"/>
      <c r="D450" s="711"/>
      <c r="E450" s="711"/>
      <c r="F450" s="711">
        <v>31</v>
      </c>
      <c r="G450" s="711"/>
      <c r="H450" s="711"/>
      <c r="I450" s="711"/>
      <c r="J450" s="711"/>
      <c r="K450" s="711">
        <v>1</v>
      </c>
      <c r="L450" s="711">
        <v>31</v>
      </c>
      <c r="M450" s="711" t="s">
        <v>41</v>
      </c>
    </row>
    <row r="451" spans="1:13">
      <c r="A451" s="711" t="s">
        <v>2393</v>
      </c>
      <c r="B451" s="711"/>
      <c r="C451" s="711"/>
      <c r="D451" s="711"/>
      <c r="E451" s="711"/>
      <c r="F451" s="711">
        <v>4</v>
      </c>
      <c r="G451" s="711"/>
      <c r="H451" s="711"/>
      <c r="I451" s="711"/>
      <c r="J451" s="711"/>
      <c r="K451" s="711">
        <v>1</v>
      </c>
      <c r="L451" s="711">
        <v>4</v>
      </c>
      <c r="M451" s="711" t="s">
        <v>39</v>
      </c>
    </row>
    <row r="452" spans="1:13">
      <c r="A452" s="711" t="s">
        <v>2982</v>
      </c>
      <c r="B452" s="711" t="s">
        <v>3035</v>
      </c>
      <c r="C452" s="711" t="s">
        <v>3065</v>
      </c>
      <c r="D452" s="711"/>
      <c r="E452" s="711"/>
      <c r="F452" s="711">
        <v>31</v>
      </c>
      <c r="G452" s="711">
        <v>31</v>
      </c>
      <c r="H452" s="711">
        <v>31</v>
      </c>
      <c r="I452" s="711"/>
      <c r="J452" s="711"/>
      <c r="K452" s="711">
        <v>3</v>
      </c>
      <c r="L452" s="711">
        <v>31</v>
      </c>
      <c r="M452" s="711" t="s">
        <v>41</v>
      </c>
    </row>
    <row r="453" spans="1:13">
      <c r="A453" s="711" t="s">
        <v>2362</v>
      </c>
      <c r="B453" s="711"/>
      <c r="C453" s="711"/>
      <c r="D453" s="711"/>
      <c r="E453" s="711"/>
      <c r="F453" s="711">
        <v>1</v>
      </c>
      <c r="G453" s="711"/>
      <c r="H453" s="711"/>
      <c r="I453" s="711"/>
      <c r="J453" s="711"/>
      <c r="K453" s="711">
        <v>1</v>
      </c>
      <c r="L453" s="711">
        <v>1</v>
      </c>
      <c r="M453" s="711" t="s">
        <v>26</v>
      </c>
    </row>
    <row r="454" spans="1:13">
      <c r="A454" s="711" t="s">
        <v>3099</v>
      </c>
      <c r="B454" s="711" t="s">
        <v>2629</v>
      </c>
      <c r="C454" s="711" t="s">
        <v>18</v>
      </c>
      <c r="D454" s="711"/>
      <c r="E454" s="711"/>
      <c r="F454" s="711">
        <v>3</v>
      </c>
      <c r="G454" s="711">
        <v>31</v>
      </c>
      <c r="H454" s="711">
        <v>31</v>
      </c>
      <c r="I454" s="711"/>
      <c r="J454" s="711"/>
      <c r="K454" s="711">
        <v>3</v>
      </c>
      <c r="L454" s="711">
        <v>3</v>
      </c>
      <c r="M454" s="711" t="s">
        <v>3238</v>
      </c>
    </row>
    <row r="455" spans="1:13">
      <c r="A455" s="711" t="s">
        <v>2377</v>
      </c>
      <c r="B455" s="711" t="s">
        <v>3099</v>
      </c>
      <c r="C455" s="711" t="s">
        <v>2362</v>
      </c>
      <c r="D455" s="711" t="s">
        <v>2783</v>
      </c>
      <c r="E455" s="711"/>
      <c r="F455" s="711">
        <v>2</v>
      </c>
      <c r="G455" s="711">
        <v>3</v>
      </c>
      <c r="H455" s="711">
        <v>1</v>
      </c>
      <c r="I455" s="711">
        <v>31</v>
      </c>
      <c r="J455" s="711"/>
      <c r="K455" s="711">
        <v>4</v>
      </c>
      <c r="L455" s="711">
        <v>2</v>
      </c>
      <c r="M455" s="711" t="s">
        <v>3254</v>
      </c>
    </row>
    <row r="456" spans="1:13">
      <c r="A456" s="711" t="s">
        <v>2425</v>
      </c>
      <c r="B456" s="711"/>
      <c r="C456" s="711"/>
      <c r="D456" s="711"/>
      <c r="E456" s="711"/>
      <c r="F456" s="711">
        <v>9</v>
      </c>
      <c r="G456" s="711"/>
      <c r="H456" s="711"/>
      <c r="I456" s="711"/>
      <c r="J456" s="711"/>
      <c r="K456" s="711">
        <v>1</v>
      </c>
      <c r="L456" s="711">
        <v>9</v>
      </c>
      <c r="M456" s="711" t="s">
        <v>27</v>
      </c>
    </row>
    <row r="457" spans="1:13">
      <c r="A457" s="711" t="s">
        <v>2378</v>
      </c>
      <c r="B457" s="711" t="s">
        <v>2483</v>
      </c>
      <c r="C457" s="711" t="s">
        <v>2362</v>
      </c>
      <c r="D457" s="711" t="s">
        <v>2968</v>
      </c>
      <c r="E457" s="711"/>
      <c r="F457" s="711">
        <v>2</v>
      </c>
      <c r="G457" s="711">
        <v>31</v>
      </c>
      <c r="H457" s="711">
        <v>1</v>
      </c>
      <c r="I457" s="711">
        <v>31</v>
      </c>
      <c r="J457" s="711"/>
      <c r="K457" s="711">
        <v>4</v>
      </c>
      <c r="L457" s="711">
        <v>2</v>
      </c>
      <c r="M457" s="711" t="s">
        <v>3259</v>
      </c>
    </row>
    <row r="458" spans="1:13">
      <c r="A458" s="711" t="s">
        <v>2420</v>
      </c>
      <c r="B458" s="711" t="s">
        <v>3100</v>
      </c>
      <c r="C458" s="711"/>
      <c r="D458" s="711"/>
      <c r="E458" s="711"/>
      <c r="F458" s="711">
        <v>9</v>
      </c>
      <c r="G458" s="711">
        <v>5</v>
      </c>
      <c r="H458" s="711"/>
      <c r="I458" s="711"/>
      <c r="J458" s="711"/>
      <c r="K458" s="711">
        <v>2</v>
      </c>
      <c r="L458" s="711">
        <v>9</v>
      </c>
      <c r="M458" s="711" t="s">
        <v>3194</v>
      </c>
    </row>
    <row r="459" spans="1:13">
      <c r="A459" s="711" t="s">
        <v>2377</v>
      </c>
      <c r="B459" s="711"/>
      <c r="C459" s="711"/>
      <c r="D459" s="711"/>
      <c r="E459" s="711"/>
      <c r="F459" s="711">
        <v>2</v>
      </c>
      <c r="G459" s="711"/>
      <c r="H459" s="711"/>
      <c r="I459" s="711"/>
      <c r="J459" s="711"/>
      <c r="K459" s="711">
        <v>1</v>
      </c>
      <c r="L459" s="711">
        <v>2</v>
      </c>
      <c r="M459" s="711" t="s">
        <v>47</v>
      </c>
    </row>
    <row r="460" spans="1:13">
      <c r="A460" s="711" t="s">
        <v>2377</v>
      </c>
      <c r="B460" s="711"/>
      <c r="C460" s="711"/>
      <c r="D460" s="711"/>
      <c r="E460" s="711"/>
      <c r="F460" s="711">
        <v>2</v>
      </c>
      <c r="G460" s="711"/>
      <c r="H460" s="711"/>
      <c r="I460" s="711"/>
      <c r="J460" s="711"/>
      <c r="K460" s="711">
        <v>1</v>
      </c>
      <c r="L460" s="711">
        <v>2</v>
      </c>
      <c r="M460" s="711" t="s">
        <v>47</v>
      </c>
    </row>
    <row r="461" spans="1:13">
      <c r="A461" s="711" t="s">
        <v>2482</v>
      </c>
      <c r="B461" s="711"/>
      <c r="C461" s="711"/>
      <c r="D461" s="711"/>
      <c r="E461" s="711"/>
      <c r="F461" s="711">
        <v>31</v>
      </c>
      <c r="G461" s="711"/>
      <c r="H461" s="711"/>
      <c r="I461" s="711"/>
      <c r="J461" s="711"/>
      <c r="K461" s="711">
        <v>1</v>
      </c>
      <c r="L461" s="711">
        <v>31</v>
      </c>
      <c r="M461" s="711" t="s">
        <v>41</v>
      </c>
    </row>
    <row r="462" spans="1:13">
      <c r="A462" s="711" t="s">
        <v>2464</v>
      </c>
      <c r="B462" s="711"/>
      <c r="C462" s="711"/>
      <c r="D462" s="711"/>
      <c r="E462" s="711"/>
      <c r="F462" s="711">
        <v>25</v>
      </c>
      <c r="G462" s="711"/>
      <c r="H462" s="711"/>
      <c r="I462" s="711"/>
      <c r="J462" s="711"/>
      <c r="K462" s="711">
        <v>1</v>
      </c>
      <c r="L462" s="711">
        <v>25</v>
      </c>
      <c r="M462" s="711" t="s">
        <v>3217</v>
      </c>
    </row>
    <row r="463" spans="1:13">
      <c r="A463" s="711" t="s">
        <v>2393</v>
      </c>
      <c r="B463" s="711"/>
      <c r="C463" s="711"/>
      <c r="D463" s="711"/>
      <c r="E463" s="711"/>
      <c r="F463" s="711">
        <v>4</v>
      </c>
      <c r="G463" s="711"/>
      <c r="H463" s="711"/>
      <c r="I463" s="711"/>
      <c r="J463" s="711"/>
      <c r="K463" s="711">
        <v>1</v>
      </c>
      <c r="L463" s="711">
        <v>4</v>
      </c>
      <c r="M463" s="711" t="s">
        <v>39</v>
      </c>
    </row>
    <row r="464" spans="1:13">
      <c r="A464" s="711" t="s">
        <v>2393</v>
      </c>
      <c r="B464" s="711"/>
      <c r="C464" s="711"/>
      <c r="D464" s="711"/>
      <c r="E464" s="711"/>
      <c r="F464" s="711">
        <v>4</v>
      </c>
      <c r="G464" s="711"/>
      <c r="H464" s="711"/>
      <c r="I464" s="711"/>
      <c r="J464" s="711"/>
      <c r="K464" s="711">
        <v>1</v>
      </c>
      <c r="L464" s="711">
        <v>4</v>
      </c>
      <c r="M464" s="711" t="s">
        <v>39</v>
      </c>
    </row>
    <row r="465" spans="1:13">
      <c r="A465" s="711" t="s">
        <v>2362</v>
      </c>
      <c r="B465" s="711" t="s">
        <v>3099</v>
      </c>
      <c r="C465" s="711"/>
      <c r="D465" s="711"/>
      <c r="E465" s="711"/>
      <c r="F465" s="711">
        <v>1</v>
      </c>
      <c r="G465" s="711">
        <v>3</v>
      </c>
      <c r="H465" s="711"/>
      <c r="I465" s="711"/>
      <c r="J465" s="711"/>
      <c r="K465" s="711">
        <v>2</v>
      </c>
      <c r="L465" s="711">
        <v>1</v>
      </c>
      <c r="M465" s="711" t="s">
        <v>43</v>
      </c>
    </row>
    <row r="466" spans="1:13">
      <c r="A466" s="711" t="s">
        <v>2411</v>
      </c>
      <c r="B466" s="711" t="s">
        <v>2617</v>
      </c>
      <c r="C466" s="711" t="s">
        <v>2479</v>
      </c>
      <c r="D466" s="711"/>
      <c r="E466" s="711"/>
      <c r="F466" s="711">
        <v>8</v>
      </c>
      <c r="G466" s="711">
        <v>31</v>
      </c>
      <c r="H466" s="711">
        <v>31</v>
      </c>
      <c r="I466" s="711"/>
      <c r="J466" s="711"/>
      <c r="K466" s="711">
        <v>3</v>
      </c>
      <c r="L466" s="711">
        <v>8</v>
      </c>
      <c r="M466" s="711" t="s">
        <v>3318</v>
      </c>
    </row>
    <row r="467" spans="1:13">
      <c r="A467" s="711" t="s">
        <v>2362</v>
      </c>
      <c r="B467" s="711"/>
      <c r="C467" s="711"/>
      <c r="D467" s="711"/>
      <c r="E467" s="711"/>
      <c r="F467" s="711">
        <v>1</v>
      </c>
      <c r="G467" s="711"/>
      <c r="H467" s="711"/>
      <c r="I467" s="711"/>
      <c r="J467" s="711"/>
      <c r="K467" s="711">
        <v>1</v>
      </c>
      <c r="L467" s="711">
        <v>1</v>
      </c>
      <c r="M467" s="711" t="s">
        <v>26</v>
      </c>
    </row>
    <row r="468" spans="1:13">
      <c r="A468" s="711" t="s">
        <v>3099</v>
      </c>
      <c r="B468" s="711" t="s">
        <v>3036</v>
      </c>
      <c r="C468" s="711" t="s">
        <v>3066</v>
      </c>
      <c r="D468" s="711"/>
      <c r="E468" s="711"/>
      <c r="F468" s="711">
        <v>3</v>
      </c>
      <c r="G468" s="711">
        <v>31</v>
      </c>
      <c r="H468" s="711">
        <v>31</v>
      </c>
      <c r="I468" s="711"/>
      <c r="J468" s="711"/>
      <c r="K468" s="711">
        <v>3</v>
      </c>
      <c r="L468" s="711">
        <v>3</v>
      </c>
      <c r="M468" s="711" t="s">
        <v>3238</v>
      </c>
    </row>
    <row r="469" spans="1:13">
      <c r="A469" s="711" t="s">
        <v>2377</v>
      </c>
      <c r="B469" s="711"/>
      <c r="C469" s="711"/>
      <c r="D469" s="711"/>
      <c r="E469" s="711"/>
      <c r="F469" s="711">
        <v>2</v>
      </c>
      <c r="G469" s="711"/>
      <c r="H469" s="711"/>
      <c r="I469" s="711"/>
      <c r="J469" s="711"/>
      <c r="K469" s="711">
        <v>1</v>
      </c>
      <c r="L469" s="711">
        <v>2</v>
      </c>
      <c r="M469" s="711" t="s">
        <v>47</v>
      </c>
    </row>
    <row r="470" spans="1:13">
      <c r="A470" s="711" t="s">
        <v>3099</v>
      </c>
      <c r="B470" s="711" t="s">
        <v>2362</v>
      </c>
      <c r="C470" s="711" t="s">
        <v>3101</v>
      </c>
      <c r="D470" s="711" t="s">
        <v>2377</v>
      </c>
      <c r="E470" s="711" t="s">
        <v>3100</v>
      </c>
      <c r="F470" s="711">
        <v>3</v>
      </c>
      <c r="G470" s="711">
        <v>1</v>
      </c>
      <c r="H470" s="711">
        <v>6</v>
      </c>
      <c r="I470" s="711">
        <v>2</v>
      </c>
      <c r="J470" s="711">
        <v>5</v>
      </c>
      <c r="K470" s="711">
        <v>5</v>
      </c>
      <c r="L470" s="711">
        <v>3</v>
      </c>
      <c r="M470" s="711" t="s">
        <v>3444</v>
      </c>
    </row>
    <row r="471" spans="1:13">
      <c r="A471" s="711" t="s">
        <v>2362</v>
      </c>
      <c r="B471" s="711"/>
      <c r="C471" s="711"/>
      <c r="D471" s="711"/>
      <c r="E471" s="711"/>
      <c r="F471" s="711">
        <v>1</v>
      </c>
      <c r="G471" s="711"/>
      <c r="H471" s="711"/>
      <c r="I471" s="711"/>
      <c r="J471" s="711"/>
      <c r="K471" s="711">
        <v>1</v>
      </c>
      <c r="L471" s="711">
        <v>1</v>
      </c>
      <c r="M471" s="711" t="s">
        <v>26</v>
      </c>
    </row>
    <row r="472" spans="1:13">
      <c r="A472" s="711" t="s">
        <v>2407</v>
      </c>
      <c r="B472" s="711" t="s">
        <v>2377</v>
      </c>
      <c r="C472" s="711" t="s">
        <v>3099</v>
      </c>
      <c r="D472" s="711"/>
      <c r="E472" s="711"/>
      <c r="F472" s="711">
        <v>5</v>
      </c>
      <c r="G472" s="711">
        <v>2</v>
      </c>
      <c r="H472" s="711">
        <v>3</v>
      </c>
      <c r="I472" s="711"/>
      <c r="J472" s="711"/>
      <c r="K472" s="711">
        <v>3</v>
      </c>
      <c r="L472" s="711">
        <v>5</v>
      </c>
      <c r="M472" s="711" t="s">
        <v>3255</v>
      </c>
    </row>
    <row r="473" spans="1:13">
      <c r="A473" s="711" t="s">
        <v>3101</v>
      </c>
      <c r="B473" s="711" t="s">
        <v>2393</v>
      </c>
      <c r="C473" s="711"/>
      <c r="D473" s="711"/>
      <c r="E473" s="711"/>
      <c r="F473" s="711">
        <v>6</v>
      </c>
      <c r="G473" s="711">
        <v>4</v>
      </c>
      <c r="H473" s="711"/>
      <c r="I473" s="711"/>
      <c r="J473" s="711"/>
      <c r="K473" s="711">
        <v>2</v>
      </c>
      <c r="L473" s="711">
        <v>6</v>
      </c>
      <c r="M473" s="711" t="s">
        <v>3256</v>
      </c>
    </row>
    <row r="474" spans="1:13">
      <c r="A474" s="711" t="s">
        <v>2587</v>
      </c>
      <c r="B474" s="711" t="s">
        <v>2755</v>
      </c>
      <c r="C474" s="711" t="s">
        <v>2964</v>
      </c>
      <c r="D474" s="711"/>
      <c r="E474" s="711"/>
      <c r="F474" s="711">
        <v>31</v>
      </c>
      <c r="G474" s="711">
        <v>31</v>
      </c>
      <c r="H474" s="711">
        <v>31</v>
      </c>
      <c r="I474" s="711"/>
      <c r="J474" s="711"/>
      <c r="K474" s="711">
        <v>3</v>
      </c>
      <c r="L474" s="711">
        <v>31</v>
      </c>
      <c r="M474" s="711" t="s">
        <v>41</v>
      </c>
    </row>
    <row r="475" spans="1:13">
      <c r="A475" s="711" t="s">
        <v>2983</v>
      </c>
      <c r="B475" s="711"/>
      <c r="C475" s="711"/>
      <c r="D475" s="711"/>
      <c r="E475" s="711"/>
      <c r="F475" s="711">
        <v>31</v>
      </c>
      <c r="G475" s="711"/>
      <c r="H475" s="711"/>
      <c r="I475" s="711"/>
      <c r="J475" s="711"/>
      <c r="K475" s="711">
        <v>1</v>
      </c>
      <c r="L475" s="711">
        <v>31</v>
      </c>
      <c r="M475" s="711" t="s">
        <v>41</v>
      </c>
    </row>
    <row r="476" spans="1:13">
      <c r="A476" s="711" t="s">
        <v>2377</v>
      </c>
      <c r="B476" s="711"/>
      <c r="C476" s="711"/>
      <c r="D476" s="711"/>
      <c r="E476" s="711"/>
      <c r="F476" s="711">
        <v>2</v>
      </c>
      <c r="G476" s="711"/>
      <c r="H476" s="711"/>
      <c r="I476" s="711"/>
      <c r="J476" s="711"/>
      <c r="K476" s="711">
        <v>1</v>
      </c>
      <c r="L476" s="711">
        <v>2</v>
      </c>
      <c r="M476" s="711" t="s">
        <v>47</v>
      </c>
    </row>
    <row r="477" spans="1:13">
      <c r="A477" s="711" t="s">
        <v>2362</v>
      </c>
      <c r="B477" s="711" t="s">
        <v>2420</v>
      </c>
      <c r="C477" s="711" t="s">
        <v>2393</v>
      </c>
      <c r="D477" s="711" t="s">
        <v>3099</v>
      </c>
      <c r="E477" s="711" t="s">
        <v>2377</v>
      </c>
      <c r="F477" s="711">
        <v>1</v>
      </c>
      <c r="G477" s="711">
        <v>9</v>
      </c>
      <c r="H477" s="711">
        <v>4</v>
      </c>
      <c r="I477" s="711">
        <v>3</v>
      </c>
      <c r="J477" s="711">
        <v>2</v>
      </c>
      <c r="K477" s="711">
        <v>5</v>
      </c>
      <c r="L477" s="711">
        <v>1</v>
      </c>
      <c r="M477" s="711" t="s">
        <v>3412</v>
      </c>
    </row>
    <row r="478" spans="1:13">
      <c r="A478" s="711" t="s">
        <v>3101</v>
      </c>
      <c r="B478" s="711"/>
      <c r="C478" s="711"/>
      <c r="D478" s="711"/>
      <c r="E478" s="711"/>
      <c r="F478" s="711">
        <v>6</v>
      </c>
      <c r="G478" s="711"/>
      <c r="H478" s="711"/>
      <c r="I478" s="711"/>
      <c r="J478" s="711"/>
      <c r="K478" s="711">
        <v>1</v>
      </c>
      <c r="L478" s="711">
        <v>6</v>
      </c>
      <c r="M478" s="711" t="s">
        <v>909</v>
      </c>
    </row>
    <row r="479" spans="1:13">
      <c r="A479" s="711" t="s">
        <v>2377</v>
      </c>
      <c r="B479" s="711"/>
      <c r="C479" s="711"/>
      <c r="D479" s="711"/>
      <c r="E479" s="711"/>
      <c r="F479" s="711">
        <v>2</v>
      </c>
      <c r="G479" s="711"/>
      <c r="H479" s="711"/>
      <c r="I479" s="711"/>
      <c r="J479" s="711"/>
      <c r="K479" s="711">
        <v>1</v>
      </c>
      <c r="L479" s="711">
        <v>2</v>
      </c>
      <c r="M479" s="711" t="s">
        <v>47</v>
      </c>
    </row>
    <row r="480" spans="1:13">
      <c r="A480" s="711" t="s">
        <v>2984</v>
      </c>
      <c r="B480" s="711"/>
      <c r="C480" s="711"/>
      <c r="D480" s="711"/>
      <c r="E480" s="711"/>
      <c r="F480" s="711">
        <v>31</v>
      </c>
      <c r="G480" s="711"/>
      <c r="H480" s="711"/>
      <c r="I480" s="711"/>
      <c r="J480" s="711"/>
      <c r="K480" s="711">
        <v>1</v>
      </c>
      <c r="L480" s="711">
        <v>31</v>
      </c>
      <c r="M480" s="711" t="s">
        <v>41</v>
      </c>
    </row>
    <row r="481" spans="1:13">
      <c r="A481" s="711" t="s">
        <v>2511</v>
      </c>
      <c r="B481" s="711" t="s">
        <v>2394</v>
      </c>
      <c r="C481" s="711" t="s">
        <v>2631</v>
      </c>
      <c r="D481" s="711"/>
      <c r="E481" s="711"/>
      <c r="F481" s="711">
        <v>31</v>
      </c>
      <c r="G481" s="711">
        <v>4</v>
      </c>
      <c r="H481" s="711">
        <v>31</v>
      </c>
      <c r="I481" s="711"/>
      <c r="J481" s="711"/>
      <c r="K481" s="711">
        <v>3</v>
      </c>
      <c r="L481" s="711">
        <v>31</v>
      </c>
      <c r="M481" s="711" t="s">
        <v>3161</v>
      </c>
    </row>
    <row r="482" spans="1:13">
      <c r="A482" s="711" t="s">
        <v>2985</v>
      </c>
      <c r="B482" s="711"/>
      <c r="C482" s="711"/>
      <c r="D482" s="711"/>
      <c r="E482" s="711"/>
      <c r="F482" s="711">
        <v>31</v>
      </c>
      <c r="G482" s="711"/>
      <c r="H482" s="711"/>
      <c r="I482" s="711"/>
      <c r="J482" s="711"/>
      <c r="K482" s="711">
        <v>1</v>
      </c>
      <c r="L482" s="711">
        <v>31</v>
      </c>
      <c r="M482" s="711" t="s">
        <v>41</v>
      </c>
    </row>
    <row r="483" spans="1:13">
      <c r="A483" s="711" t="s">
        <v>2362</v>
      </c>
      <c r="B483" s="711" t="s">
        <v>3099</v>
      </c>
      <c r="C483" s="711" t="s">
        <v>3103</v>
      </c>
      <c r="D483" s="711" t="s">
        <v>2393</v>
      </c>
      <c r="E483" s="711" t="s">
        <v>2409</v>
      </c>
      <c r="F483" s="711">
        <v>1</v>
      </c>
      <c r="G483" s="711">
        <v>3</v>
      </c>
      <c r="H483" s="711">
        <v>12</v>
      </c>
      <c r="I483" s="711">
        <v>4</v>
      </c>
      <c r="J483" s="711">
        <v>7</v>
      </c>
      <c r="K483" s="711">
        <v>5</v>
      </c>
      <c r="L483" s="711">
        <v>1</v>
      </c>
      <c r="M483" s="711" t="s">
        <v>3445</v>
      </c>
    </row>
    <row r="484" spans="1:13">
      <c r="A484" s="711" t="s">
        <v>2362</v>
      </c>
      <c r="B484" s="711" t="s">
        <v>2393</v>
      </c>
      <c r="C484" s="711" t="s">
        <v>2377</v>
      </c>
      <c r="D484" s="711" t="s">
        <v>3099</v>
      </c>
      <c r="E484" s="711"/>
      <c r="F484" s="711">
        <v>1</v>
      </c>
      <c r="G484" s="711">
        <v>4</v>
      </c>
      <c r="H484" s="711">
        <v>2</v>
      </c>
      <c r="I484" s="711">
        <v>3</v>
      </c>
      <c r="J484" s="711"/>
      <c r="K484" s="711">
        <v>4</v>
      </c>
      <c r="L484" s="711">
        <v>1</v>
      </c>
      <c r="M484" s="711" t="s">
        <v>3257</v>
      </c>
    </row>
    <row r="485" spans="1:13">
      <c r="A485" s="711" t="s">
        <v>2411</v>
      </c>
      <c r="B485" s="711" t="s">
        <v>2377</v>
      </c>
      <c r="C485" s="711" t="s">
        <v>3099</v>
      </c>
      <c r="D485" s="711"/>
      <c r="E485" s="711"/>
      <c r="F485" s="711">
        <v>8</v>
      </c>
      <c r="G485" s="711">
        <v>2</v>
      </c>
      <c r="H485" s="711">
        <v>3</v>
      </c>
      <c r="I485" s="711"/>
      <c r="J485" s="711"/>
      <c r="K485" s="711">
        <v>3</v>
      </c>
      <c r="L485" s="711">
        <v>8</v>
      </c>
      <c r="M485" s="711" t="s">
        <v>3258</v>
      </c>
    </row>
    <row r="486" spans="1:13">
      <c r="A486" s="711" t="s">
        <v>3101</v>
      </c>
      <c r="B486" s="711" t="s">
        <v>2362</v>
      </c>
      <c r="C486" s="711" t="s">
        <v>2420</v>
      </c>
      <c r="D486" s="711" t="s">
        <v>3099</v>
      </c>
      <c r="E486" s="711" t="s">
        <v>2377</v>
      </c>
      <c r="F486" s="711">
        <v>6</v>
      </c>
      <c r="G486" s="711">
        <v>1</v>
      </c>
      <c r="H486" s="711">
        <v>9</v>
      </c>
      <c r="I486" s="711">
        <v>3</v>
      </c>
      <c r="J486" s="711">
        <v>2</v>
      </c>
      <c r="K486" s="711">
        <v>5</v>
      </c>
      <c r="L486" s="711">
        <v>6</v>
      </c>
      <c r="M486" s="711" t="s">
        <v>3446</v>
      </c>
    </row>
    <row r="487" spans="1:13">
      <c r="A487" s="711" t="s">
        <v>2409</v>
      </c>
      <c r="B487" s="711" t="s">
        <v>3101</v>
      </c>
      <c r="C487" s="711" t="s">
        <v>3099</v>
      </c>
      <c r="D487" s="711" t="s">
        <v>2411</v>
      </c>
      <c r="E487" s="711" t="s">
        <v>2434</v>
      </c>
      <c r="F487" s="711">
        <v>7</v>
      </c>
      <c r="G487" s="711">
        <v>6</v>
      </c>
      <c r="H487" s="711">
        <v>3</v>
      </c>
      <c r="I487" s="711">
        <v>8</v>
      </c>
      <c r="J487" s="711">
        <v>11</v>
      </c>
      <c r="K487" s="711">
        <v>5</v>
      </c>
      <c r="L487" s="711">
        <v>7</v>
      </c>
      <c r="M487" s="711" t="s">
        <v>3447</v>
      </c>
    </row>
    <row r="488" spans="1:13">
      <c r="A488" s="711" t="s">
        <v>2362</v>
      </c>
      <c r="B488" s="711" t="s">
        <v>2394</v>
      </c>
      <c r="C488" s="711" t="s">
        <v>3099</v>
      </c>
      <c r="D488" s="711" t="s">
        <v>2377</v>
      </c>
      <c r="E488" s="711"/>
      <c r="F488" s="711">
        <v>1</v>
      </c>
      <c r="G488" s="711">
        <v>4</v>
      </c>
      <c r="H488" s="711">
        <v>3</v>
      </c>
      <c r="I488" s="711">
        <v>2</v>
      </c>
      <c r="J488" s="711"/>
      <c r="K488" s="711">
        <v>4</v>
      </c>
      <c r="L488" s="711">
        <v>1</v>
      </c>
      <c r="M488" s="711" t="s">
        <v>3213</v>
      </c>
    </row>
    <row r="489" spans="1:13">
      <c r="A489" s="711" t="s">
        <v>2362</v>
      </c>
      <c r="B489" s="711" t="s">
        <v>3101</v>
      </c>
      <c r="C489" s="711" t="s">
        <v>3102</v>
      </c>
      <c r="D489" s="711"/>
      <c r="E489" s="711"/>
      <c r="F489" s="711">
        <v>1</v>
      </c>
      <c r="G489" s="711">
        <v>6</v>
      </c>
      <c r="H489" s="711">
        <v>10</v>
      </c>
      <c r="I489" s="711"/>
      <c r="J489" s="711"/>
      <c r="K489" s="711">
        <v>3</v>
      </c>
      <c r="L489" s="711">
        <v>1</v>
      </c>
      <c r="M489" s="711" t="s">
        <v>927</v>
      </c>
    </row>
    <row r="490" spans="1:13">
      <c r="A490" s="711" t="s">
        <v>2411</v>
      </c>
      <c r="B490" s="711" t="s">
        <v>2377</v>
      </c>
      <c r="C490" s="711" t="s">
        <v>3099</v>
      </c>
      <c r="D490" s="711" t="s">
        <v>2362</v>
      </c>
      <c r="E490" s="711" t="s">
        <v>2409</v>
      </c>
      <c r="F490" s="711">
        <v>8</v>
      </c>
      <c r="G490" s="711">
        <v>2</v>
      </c>
      <c r="H490" s="711">
        <v>3</v>
      </c>
      <c r="I490" s="711">
        <v>1</v>
      </c>
      <c r="J490" s="711">
        <v>7</v>
      </c>
      <c r="K490" s="711">
        <v>5</v>
      </c>
      <c r="L490" s="711">
        <v>8</v>
      </c>
      <c r="M490" s="711" t="s">
        <v>3448</v>
      </c>
    </row>
    <row r="491" spans="1:13">
      <c r="A491" s="711" t="s">
        <v>2362</v>
      </c>
      <c r="B491" s="711" t="s">
        <v>2783</v>
      </c>
      <c r="C491" s="711" t="s">
        <v>18</v>
      </c>
      <c r="D491" s="711" t="s">
        <v>2511</v>
      </c>
      <c r="E491" s="711"/>
      <c r="F491" s="711">
        <v>1</v>
      </c>
      <c r="G491" s="711">
        <v>31</v>
      </c>
      <c r="H491" s="711">
        <v>31</v>
      </c>
      <c r="I491" s="711">
        <v>31</v>
      </c>
      <c r="J491" s="711"/>
      <c r="K491" s="711">
        <v>4</v>
      </c>
      <c r="L491" s="711">
        <v>1</v>
      </c>
      <c r="M491" s="711" t="s">
        <v>3151</v>
      </c>
    </row>
    <row r="492" spans="1:13">
      <c r="A492" s="711" t="s">
        <v>2377</v>
      </c>
      <c r="B492" s="711" t="s">
        <v>2891</v>
      </c>
      <c r="C492" s="711" t="s">
        <v>2362</v>
      </c>
      <c r="D492" s="711"/>
      <c r="E492" s="711"/>
      <c r="F492" s="711">
        <v>2</v>
      </c>
      <c r="G492" s="711">
        <v>31</v>
      </c>
      <c r="H492" s="711">
        <v>1</v>
      </c>
      <c r="I492" s="711"/>
      <c r="J492" s="711"/>
      <c r="K492" s="711">
        <v>3</v>
      </c>
      <c r="L492" s="711">
        <v>2</v>
      </c>
      <c r="M492" s="711" t="s">
        <v>3259</v>
      </c>
    </row>
    <row r="493" spans="1:13">
      <c r="A493" s="711" t="s">
        <v>2362</v>
      </c>
      <c r="B493" s="711" t="s">
        <v>2377</v>
      </c>
      <c r="C493" s="711" t="s">
        <v>3101</v>
      </c>
      <c r="D493" s="711" t="s">
        <v>2464</v>
      </c>
      <c r="E493" s="711" t="s">
        <v>3099</v>
      </c>
      <c r="F493" s="711">
        <v>1</v>
      </c>
      <c r="G493" s="711">
        <v>2</v>
      </c>
      <c r="H493" s="711">
        <v>6</v>
      </c>
      <c r="I493" s="711">
        <v>25</v>
      </c>
      <c r="J493" s="711">
        <v>3</v>
      </c>
      <c r="K493" s="711">
        <v>5</v>
      </c>
      <c r="L493" s="711">
        <v>1</v>
      </c>
      <c r="M493" s="711" t="s">
        <v>3449</v>
      </c>
    </row>
    <row r="494" spans="1:13">
      <c r="A494" s="711" t="s">
        <v>2362</v>
      </c>
      <c r="B494" s="711" t="s">
        <v>2377</v>
      </c>
      <c r="C494" s="711" t="s">
        <v>3099</v>
      </c>
      <c r="D494" s="711"/>
      <c r="E494" s="711"/>
      <c r="F494" s="711">
        <v>1</v>
      </c>
      <c r="G494" s="711">
        <v>2</v>
      </c>
      <c r="H494" s="711">
        <v>3</v>
      </c>
      <c r="I494" s="711"/>
      <c r="J494" s="711"/>
      <c r="K494" s="711">
        <v>3</v>
      </c>
      <c r="L494" s="711">
        <v>1</v>
      </c>
      <c r="M494" s="711" t="s">
        <v>900</v>
      </c>
    </row>
    <row r="495" spans="1:13">
      <c r="A495" s="711" t="s">
        <v>2482</v>
      </c>
      <c r="B495" s="711"/>
      <c r="C495" s="711"/>
      <c r="D495" s="711"/>
      <c r="E495" s="711"/>
      <c r="F495" s="711">
        <v>31</v>
      </c>
      <c r="G495" s="711"/>
      <c r="H495" s="711"/>
      <c r="I495" s="711"/>
      <c r="J495" s="711"/>
      <c r="K495" s="711">
        <v>1</v>
      </c>
      <c r="L495" s="711">
        <v>31</v>
      </c>
      <c r="M495" s="711" t="s">
        <v>41</v>
      </c>
    </row>
    <row r="496" spans="1:13">
      <c r="A496" s="711" t="s">
        <v>2362</v>
      </c>
      <c r="B496" s="711" t="s">
        <v>2393</v>
      </c>
      <c r="C496" s="711" t="s">
        <v>2409</v>
      </c>
      <c r="D496" s="711"/>
      <c r="E496" s="711"/>
      <c r="F496" s="711">
        <v>1</v>
      </c>
      <c r="G496" s="711">
        <v>4</v>
      </c>
      <c r="H496" s="711">
        <v>7</v>
      </c>
      <c r="I496" s="711"/>
      <c r="J496" s="711"/>
      <c r="K496" s="711">
        <v>3</v>
      </c>
      <c r="L496" s="711">
        <v>1</v>
      </c>
      <c r="M496" s="711" t="s">
        <v>46</v>
      </c>
    </row>
    <row r="497" spans="1:13">
      <c r="A497" s="711" t="s">
        <v>2362</v>
      </c>
      <c r="B497" s="711"/>
      <c r="C497" s="711"/>
      <c r="D497" s="711"/>
      <c r="E497" s="711"/>
      <c r="F497" s="711">
        <v>1</v>
      </c>
      <c r="G497" s="711"/>
      <c r="H497" s="711"/>
      <c r="I497" s="711"/>
      <c r="J497" s="711"/>
      <c r="K497" s="711">
        <v>1</v>
      </c>
      <c r="L497" s="711">
        <v>1</v>
      </c>
      <c r="M497" s="711" t="s">
        <v>26</v>
      </c>
    </row>
    <row r="498" spans="1:13">
      <c r="A498" s="711" t="s">
        <v>2393</v>
      </c>
      <c r="B498" s="711"/>
      <c r="C498" s="711"/>
      <c r="D498" s="711"/>
      <c r="E498" s="711"/>
      <c r="F498" s="711">
        <v>4</v>
      </c>
      <c r="G498" s="711"/>
      <c r="H498" s="711"/>
      <c r="I498" s="711"/>
      <c r="J498" s="711"/>
      <c r="K498" s="711">
        <v>1</v>
      </c>
      <c r="L498" s="711">
        <v>4</v>
      </c>
      <c r="M498" s="711" t="s">
        <v>39</v>
      </c>
    </row>
    <row r="499" spans="1:13">
      <c r="A499" s="711" t="s">
        <v>2393</v>
      </c>
      <c r="B499" s="711"/>
      <c r="C499" s="711"/>
      <c r="D499" s="711"/>
      <c r="E499" s="711"/>
      <c r="F499" s="711">
        <v>4</v>
      </c>
      <c r="G499" s="711"/>
      <c r="H499" s="711"/>
      <c r="I499" s="711"/>
      <c r="J499" s="711"/>
      <c r="K499" s="711">
        <v>1</v>
      </c>
      <c r="L499" s="711">
        <v>4</v>
      </c>
      <c r="M499" s="711" t="s">
        <v>39</v>
      </c>
    </row>
    <row r="500" spans="1:13">
      <c r="A500" s="711" t="s">
        <v>2986</v>
      </c>
      <c r="B500" s="711" t="s">
        <v>3099</v>
      </c>
      <c r="C500" s="711"/>
      <c r="D500" s="711"/>
      <c r="E500" s="711"/>
      <c r="F500" s="711">
        <v>31</v>
      </c>
      <c r="G500" s="711">
        <v>3</v>
      </c>
      <c r="H500" s="711"/>
      <c r="I500" s="711"/>
      <c r="J500" s="711"/>
      <c r="K500" s="711">
        <v>2</v>
      </c>
      <c r="L500" s="711">
        <v>31</v>
      </c>
      <c r="M500" s="711" t="s">
        <v>3229</v>
      </c>
    </row>
    <row r="501" spans="1:13">
      <c r="A501" s="711" t="s">
        <v>2362</v>
      </c>
      <c r="B501" s="711" t="s">
        <v>2393</v>
      </c>
      <c r="C501" s="711" t="s">
        <v>3099</v>
      </c>
      <c r="D501" s="711" t="s">
        <v>2377</v>
      </c>
      <c r="E501" s="711"/>
      <c r="F501" s="711">
        <v>1</v>
      </c>
      <c r="G501" s="711">
        <v>4</v>
      </c>
      <c r="H501" s="711">
        <v>3</v>
      </c>
      <c r="I501" s="711">
        <v>2</v>
      </c>
      <c r="J501" s="711"/>
      <c r="K501" s="711">
        <v>4</v>
      </c>
      <c r="L501" s="711">
        <v>1</v>
      </c>
      <c r="M501" s="711" t="s">
        <v>3213</v>
      </c>
    </row>
    <row r="502" spans="1:13">
      <c r="A502" s="711" t="s">
        <v>2362</v>
      </c>
      <c r="B502" s="711" t="s">
        <v>2377</v>
      </c>
      <c r="C502" s="711"/>
      <c r="D502" s="711"/>
      <c r="E502" s="711"/>
      <c r="F502" s="711">
        <v>1</v>
      </c>
      <c r="G502" s="711">
        <v>2</v>
      </c>
      <c r="H502" s="711"/>
      <c r="I502" s="711"/>
      <c r="J502" s="711"/>
      <c r="K502" s="711">
        <v>2</v>
      </c>
      <c r="L502" s="711">
        <v>1</v>
      </c>
      <c r="M502" s="711" t="s">
        <v>30</v>
      </c>
    </row>
    <row r="503" spans="1:13">
      <c r="A503" s="711" t="s">
        <v>2987</v>
      </c>
      <c r="B503" s="711"/>
      <c r="C503" s="711"/>
      <c r="D503" s="711"/>
      <c r="E503" s="711"/>
      <c r="F503" s="711">
        <v>31</v>
      </c>
      <c r="G503" s="711"/>
      <c r="H503" s="711"/>
      <c r="I503" s="711"/>
      <c r="J503" s="711"/>
      <c r="K503" s="711">
        <v>1</v>
      </c>
      <c r="L503" s="711">
        <v>31</v>
      </c>
      <c r="M503" s="711" t="s">
        <v>41</v>
      </c>
    </row>
    <row r="504" spans="1:13">
      <c r="A504" s="711" t="s">
        <v>3099</v>
      </c>
      <c r="B504" s="711" t="s">
        <v>2362</v>
      </c>
      <c r="C504" s="711" t="s">
        <v>2377</v>
      </c>
      <c r="D504" s="711"/>
      <c r="E504" s="711"/>
      <c r="F504" s="711">
        <v>3</v>
      </c>
      <c r="G504" s="711">
        <v>1</v>
      </c>
      <c r="H504" s="711">
        <v>2</v>
      </c>
      <c r="I504" s="711"/>
      <c r="J504" s="711"/>
      <c r="K504" s="711">
        <v>3</v>
      </c>
      <c r="L504" s="711">
        <v>3</v>
      </c>
      <c r="M504" s="711" t="s">
        <v>3184</v>
      </c>
    </row>
    <row r="505" spans="1:13">
      <c r="A505" s="711" t="s">
        <v>2362</v>
      </c>
      <c r="B505" s="711"/>
      <c r="C505" s="711"/>
      <c r="D505" s="711"/>
      <c r="E505" s="711"/>
      <c r="F505" s="711">
        <v>1</v>
      </c>
      <c r="G505" s="711"/>
      <c r="H505" s="711"/>
      <c r="I505" s="711"/>
      <c r="J505" s="711"/>
      <c r="K505" s="711">
        <v>1</v>
      </c>
      <c r="L505" s="711">
        <v>1</v>
      </c>
      <c r="M505" s="711" t="s">
        <v>26</v>
      </c>
    </row>
    <row r="506" spans="1:13">
      <c r="A506" s="711" t="s">
        <v>3103</v>
      </c>
      <c r="B506" s="711" t="s">
        <v>3099</v>
      </c>
      <c r="C506" s="711"/>
      <c r="D506" s="711"/>
      <c r="E506" s="711"/>
      <c r="F506" s="711">
        <v>12</v>
      </c>
      <c r="G506" s="711">
        <v>3</v>
      </c>
      <c r="H506" s="711"/>
      <c r="I506" s="711"/>
      <c r="J506" s="711"/>
      <c r="K506" s="711">
        <v>2</v>
      </c>
      <c r="L506" s="711">
        <v>12</v>
      </c>
      <c r="M506" s="711" t="s">
        <v>3260</v>
      </c>
    </row>
    <row r="507" spans="1:13">
      <c r="A507" s="711" t="s">
        <v>2377</v>
      </c>
      <c r="B507" s="711"/>
      <c r="C507" s="711"/>
      <c r="D507" s="711"/>
      <c r="E507" s="711"/>
      <c r="F507" s="711">
        <v>2</v>
      </c>
      <c r="G507" s="711"/>
      <c r="H507" s="711"/>
      <c r="I507" s="711"/>
      <c r="J507" s="711"/>
      <c r="K507" s="711">
        <v>1</v>
      </c>
      <c r="L507" s="711">
        <v>2</v>
      </c>
      <c r="M507" s="711" t="s">
        <v>47</v>
      </c>
    </row>
    <row r="508" spans="1:13">
      <c r="A508" s="711" t="s">
        <v>2362</v>
      </c>
      <c r="B508" s="711" t="s">
        <v>3099</v>
      </c>
      <c r="C508" s="711" t="s">
        <v>2464</v>
      </c>
      <c r="D508" s="711"/>
      <c r="E508" s="711"/>
      <c r="F508" s="711">
        <v>1</v>
      </c>
      <c r="G508" s="711">
        <v>3</v>
      </c>
      <c r="H508" s="711">
        <v>25</v>
      </c>
      <c r="I508" s="711"/>
      <c r="J508" s="711"/>
      <c r="K508" s="711">
        <v>3</v>
      </c>
      <c r="L508" s="711">
        <v>1</v>
      </c>
      <c r="M508" s="711" t="s">
        <v>3261</v>
      </c>
    </row>
    <row r="509" spans="1:13">
      <c r="A509" s="711" t="s">
        <v>2507</v>
      </c>
      <c r="B509" s="711"/>
      <c r="C509" s="711"/>
      <c r="D509" s="711"/>
      <c r="E509" s="711"/>
      <c r="F509" s="711">
        <v>31</v>
      </c>
      <c r="G509" s="711"/>
      <c r="H509" s="711"/>
      <c r="I509" s="711"/>
      <c r="J509" s="711"/>
      <c r="K509" s="711">
        <v>1</v>
      </c>
      <c r="L509" s="711">
        <v>31</v>
      </c>
      <c r="M509" s="711" t="s">
        <v>41</v>
      </c>
    </row>
    <row r="510" spans="1:13">
      <c r="A510" s="711" t="s">
        <v>3099</v>
      </c>
      <c r="B510" s="711" t="s">
        <v>2393</v>
      </c>
      <c r="C510" s="711" t="s">
        <v>2377</v>
      </c>
      <c r="D510" s="711"/>
      <c r="E510" s="711"/>
      <c r="F510" s="711">
        <v>3</v>
      </c>
      <c r="G510" s="711">
        <v>4</v>
      </c>
      <c r="H510" s="711">
        <v>2</v>
      </c>
      <c r="I510" s="711"/>
      <c r="J510" s="711"/>
      <c r="K510" s="711">
        <v>3</v>
      </c>
      <c r="L510" s="711">
        <v>3</v>
      </c>
      <c r="M510" s="711" t="s">
        <v>3262</v>
      </c>
    </row>
    <row r="511" spans="1:13">
      <c r="A511" s="711" t="s">
        <v>2615</v>
      </c>
      <c r="B511" s="711" t="s">
        <v>3099</v>
      </c>
      <c r="C511" s="711" t="s">
        <v>2838</v>
      </c>
      <c r="D511" s="711"/>
      <c r="E511" s="711"/>
      <c r="F511" s="711">
        <v>31</v>
      </c>
      <c r="G511" s="711">
        <v>3</v>
      </c>
      <c r="H511" s="711">
        <v>31</v>
      </c>
      <c r="I511" s="711"/>
      <c r="J511" s="711"/>
      <c r="K511" s="711">
        <v>3</v>
      </c>
      <c r="L511" s="711">
        <v>31</v>
      </c>
      <c r="M511" s="711" t="s">
        <v>3229</v>
      </c>
    </row>
    <row r="512" spans="1:13">
      <c r="A512" s="711" t="s">
        <v>2393</v>
      </c>
      <c r="B512" s="711" t="s">
        <v>3099</v>
      </c>
      <c r="C512" s="711" t="s">
        <v>2377</v>
      </c>
      <c r="D512" s="711"/>
      <c r="E512" s="711"/>
      <c r="F512" s="711">
        <v>4</v>
      </c>
      <c r="G512" s="711">
        <v>3</v>
      </c>
      <c r="H512" s="711">
        <v>2</v>
      </c>
      <c r="I512" s="711"/>
      <c r="J512" s="711"/>
      <c r="K512" s="711">
        <v>3</v>
      </c>
      <c r="L512" s="711">
        <v>4</v>
      </c>
      <c r="M512" s="711" t="s">
        <v>3263</v>
      </c>
    </row>
    <row r="513" spans="1:13">
      <c r="A513" s="711" t="s">
        <v>2363</v>
      </c>
      <c r="B513" s="711" t="s">
        <v>2393</v>
      </c>
      <c r="C513" s="711" t="s">
        <v>3099</v>
      </c>
      <c r="D513" s="711" t="s">
        <v>2409</v>
      </c>
      <c r="E513" s="711" t="s">
        <v>2438</v>
      </c>
      <c r="F513" s="711">
        <v>1</v>
      </c>
      <c r="G513" s="711">
        <v>4</v>
      </c>
      <c r="H513" s="711">
        <v>3</v>
      </c>
      <c r="I513" s="711">
        <v>7</v>
      </c>
      <c r="J513" s="711">
        <v>13</v>
      </c>
      <c r="K513" s="711">
        <v>5</v>
      </c>
      <c r="L513" s="711">
        <v>1</v>
      </c>
      <c r="M513" s="711" t="s">
        <v>3450</v>
      </c>
    </row>
    <row r="514" spans="1:13">
      <c r="A514" s="711" t="s">
        <v>2362</v>
      </c>
      <c r="B514" s="711"/>
      <c r="C514" s="711"/>
      <c r="D514" s="711"/>
      <c r="E514" s="711"/>
      <c r="F514" s="711">
        <v>1</v>
      </c>
      <c r="G514" s="711"/>
      <c r="H514" s="711"/>
      <c r="I514" s="711"/>
      <c r="J514" s="711"/>
      <c r="K514" s="711">
        <v>1</v>
      </c>
      <c r="L514" s="711">
        <v>1</v>
      </c>
      <c r="M514" s="711" t="s">
        <v>26</v>
      </c>
    </row>
    <row r="515" spans="1:13">
      <c r="A515" s="711" t="s">
        <v>2362</v>
      </c>
      <c r="B515" s="711" t="s">
        <v>3099</v>
      </c>
      <c r="C515" s="711" t="s">
        <v>2377</v>
      </c>
      <c r="D515" s="711"/>
      <c r="E515" s="711"/>
      <c r="F515" s="711">
        <v>1</v>
      </c>
      <c r="G515" s="711">
        <v>3</v>
      </c>
      <c r="H515" s="711">
        <v>2</v>
      </c>
      <c r="I515" s="711"/>
      <c r="J515" s="711"/>
      <c r="K515" s="711">
        <v>3</v>
      </c>
      <c r="L515" s="711">
        <v>1</v>
      </c>
      <c r="M515" s="711" t="s">
        <v>3264</v>
      </c>
    </row>
    <row r="516" spans="1:13">
      <c r="A516" s="711" t="s">
        <v>3099</v>
      </c>
      <c r="B516" s="711"/>
      <c r="C516" s="711"/>
      <c r="D516" s="711"/>
      <c r="E516" s="711"/>
      <c r="F516" s="711">
        <v>3</v>
      </c>
      <c r="G516" s="711"/>
      <c r="H516" s="711"/>
      <c r="I516" s="711"/>
      <c r="J516" s="711"/>
      <c r="K516" s="711">
        <v>1</v>
      </c>
      <c r="L516" s="711">
        <v>3</v>
      </c>
      <c r="M516" s="711" t="s">
        <v>48</v>
      </c>
    </row>
    <row r="517" spans="1:13">
      <c r="A517" s="711" t="s">
        <v>2377</v>
      </c>
      <c r="B517" s="711"/>
      <c r="C517" s="711"/>
      <c r="D517" s="711"/>
      <c r="E517" s="711"/>
      <c r="F517" s="711">
        <v>2</v>
      </c>
      <c r="G517" s="711"/>
      <c r="H517" s="711"/>
      <c r="I517" s="711"/>
      <c r="J517" s="711"/>
      <c r="K517" s="711">
        <v>1</v>
      </c>
      <c r="L517" s="711">
        <v>2</v>
      </c>
      <c r="M517" s="711" t="s">
        <v>47</v>
      </c>
    </row>
    <row r="518" spans="1:13">
      <c r="A518" s="711" t="s">
        <v>2493</v>
      </c>
      <c r="B518" s="711"/>
      <c r="C518" s="711"/>
      <c r="D518" s="711"/>
      <c r="E518" s="711"/>
      <c r="F518" s="711">
        <v>31</v>
      </c>
      <c r="G518" s="711"/>
      <c r="H518" s="711"/>
      <c r="I518" s="711"/>
      <c r="J518" s="711"/>
      <c r="K518" s="711">
        <v>1</v>
      </c>
      <c r="L518" s="711">
        <v>31</v>
      </c>
      <c r="M518" s="711" t="s">
        <v>41</v>
      </c>
    </row>
    <row r="519" spans="1:13">
      <c r="A519" s="711" t="s">
        <v>2362</v>
      </c>
      <c r="B519" s="711" t="s">
        <v>2377</v>
      </c>
      <c r="C519" s="711"/>
      <c r="D519" s="711"/>
      <c r="E519" s="711"/>
      <c r="F519" s="711">
        <v>1</v>
      </c>
      <c r="G519" s="711">
        <v>2</v>
      </c>
      <c r="H519" s="711"/>
      <c r="I519" s="711"/>
      <c r="J519" s="711"/>
      <c r="K519" s="711">
        <v>2</v>
      </c>
      <c r="L519" s="711">
        <v>1</v>
      </c>
      <c r="M519" s="711" t="s">
        <v>30</v>
      </c>
    </row>
    <row r="520" spans="1:13">
      <c r="A520" s="711" t="s">
        <v>2362</v>
      </c>
      <c r="B520" s="711" t="s">
        <v>3099</v>
      </c>
      <c r="C520" s="711" t="s">
        <v>2394</v>
      </c>
      <c r="D520" s="711" t="s">
        <v>2377</v>
      </c>
      <c r="E520" s="711"/>
      <c r="F520" s="711">
        <v>1</v>
      </c>
      <c r="G520" s="711">
        <v>3</v>
      </c>
      <c r="H520" s="711">
        <v>4</v>
      </c>
      <c r="I520" s="711">
        <v>2</v>
      </c>
      <c r="J520" s="711"/>
      <c r="K520" s="711">
        <v>4</v>
      </c>
      <c r="L520" s="711">
        <v>1</v>
      </c>
      <c r="M520" s="711" t="s">
        <v>3265</v>
      </c>
    </row>
    <row r="521" spans="1:13">
      <c r="A521" s="711" t="s">
        <v>2362</v>
      </c>
      <c r="B521" s="711" t="s">
        <v>3100</v>
      </c>
      <c r="C521" s="711" t="s">
        <v>2425</v>
      </c>
      <c r="D521" s="711" t="s">
        <v>3099</v>
      </c>
      <c r="E521" s="711" t="s">
        <v>2393</v>
      </c>
      <c r="F521" s="711">
        <v>1</v>
      </c>
      <c r="G521" s="711">
        <v>5</v>
      </c>
      <c r="H521" s="711">
        <v>9</v>
      </c>
      <c r="I521" s="711">
        <v>3</v>
      </c>
      <c r="J521" s="711">
        <v>4</v>
      </c>
      <c r="K521" s="711">
        <v>5</v>
      </c>
      <c r="L521" s="711">
        <v>1</v>
      </c>
      <c r="M521" s="711" t="s">
        <v>3451</v>
      </c>
    </row>
    <row r="522" spans="1:13">
      <c r="A522" s="711" t="s">
        <v>3101</v>
      </c>
      <c r="B522" s="711"/>
      <c r="C522" s="711"/>
      <c r="D522" s="711"/>
      <c r="E522" s="711"/>
      <c r="F522" s="711">
        <v>6</v>
      </c>
      <c r="G522" s="711"/>
      <c r="H522" s="711"/>
      <c r="I522" s="711"/>
      <c r="J522" s="711"/>
      <c r="K522" s="711">
        <v>1</v>
      </c>
      <c r="L522" s="711">
        <v>6</v>
      </c>
      <c r="M522" s="711" t="s">
        <v>909</v>
      </c>
    </row>
    <row r="523" spans="1:13">
      <c r="A523" s="711" t="s">
        <v>2438</v>
      </c>
      <c r="B523" s="711"/>
      <c r="C523" s="711"/>
      <c r="D523" s="711"/>
      <c r="E523" s="711"/>
      <c r="F523" s="711">
        <v>13</v>
      </c>
      <c r="G523" s="711"/>
      <c r="H523" s="711"/>
      <c r="I523" s="711"/>
      <c r="J523" s="711"/>
      <c r="K523" s="711">
        <v>1</v>
      </c>
      <c r="L523" s="711">
        <v>13</v>
      </c>
      <c r="M523" s="711" t="s">
        <v>50</v>
      </c>
    </row>
    <row r="524" spans="1:13">
      <c r="A524" s="711" t="s">
        <v>2409</v>
      </c>
      <c r="B524" s="711"/>
      <c r="C524" s="711"/>
      <c r="D524" s="711"/>
      <c r="E524" s="711"/>
      <c r="F524" s="711">
        <v>7</v>
      </c>
      <c r="G524" s="711"/>
      <c r="H524" s="711"/>
      <c r="I524" s="711"/>
      <c r="J524" s="711"/>
      <c r="K524" s="711">
        <v>1</v>
      </c>
      <c r="L524" s="711">
        <v>7</v>
      </c>
      <c r="M524" s="711" t="s">
        <v>34</v>
      </c>
    </row>
    <row r="525" spans="1:13">
      <c r="A525" s="711" t="s">
        <v>2511</v>
      </c>
      <c r="B525" s="711"/>
      <c r="C525" s="711"/>
      <c r="D525" s="711"/>
      <c r="E525" s="711"/>
      <c r="F525" s="711">
        <v>31</v>
      </c>
      <c r="G525" s="711"/>
      <c r="H525" s="711"/>
      <c r="I525" s="711"/>
      <c r="J525" s="711"/>
      <c r="K525" s="711">
        <v>1</v>
      </c>
      <c r="L525" s="711">
        <v>31</v>
      </c>
      <c r="M525" s="711" t="s">
        <v>41</v>
      </c>
    </row>
    <row r="526" spans="1:13">
      <c r="A526" s="711" t="s">
        <v>2362</v>
      </c>
      <c r="B526" s="711"/>
      <c r="C526" s="711"/>
      <c r="D526" s="711"/>
      <c r="E526" s="711"/>
      <c r="F526" s="711">
        <v>1</v>
      </c>
      <c r="G526" s="711"/>
      <c r="H526" s="711"/>
      <c r="I526" s="711"/>
      <c r="J526" s="711"/>
      <c r="K526" s="711">
        <v>1</v>
      </c>
      <c r="L526" s="711">
        <v>1</v>
      </c>
      <c r="M526" s="711" t="s">
        <v>26</v>
      </c>
    </row>
    <row r="527" spans="1:13">
      <c r="A527" s="711" t="s">
        <v>3099</v>
      </c>
      <c r="B527" s="711"/>
      <c r="C527" s="711"/>
      <c r="D527" s="711"/>
      <c r="E527" s="711"/>
      <c r="F527" s="711">
        <v>3</v>
      </c>
      <c r="G527" s="711"/>
      <c r="H527" s="711"/>
      <c r="I527" s="711"/>
      <c r="J527" s="711"/>
      <c r="K527" s="711">
        <v>1</v>
      </c>
      <c r="L527" s="711">
        <v>3</v>
      </c>
      <c r="M527" s="711" t="s">
        <v>48</v>
      </c>
    </row>
    <row r="528" spans="1:13">
      <c r="A528" s="711" t="s">
        <v>2362</v>
      </c>
      <c r="B528" s="711"/>
      <c r="C528" s="711"/>
      <c r="D528" s="711"/>
      <c r="E528" s="711"/>
      <c r="F528" s="711">
        <v>1</v>
      </c>
      <c r="G528" s="711"/>
      <c r="H528" s="711"/>
      <c r="I528" s="711"/>
      <c r="J528" s="711"/>
      <c r="K528" s="711">
        <v>1</v>
      </c>
      <c r="L528" s="711">
        <v>1</v>
      </c>
      <c r="M528" s="711" t="s">
        <v>26</v>
      </c>
    </row>
    <row r="529" spans="1:13">
      <c r="A529" s="711" t="s">
        <v>2610</v>
      </c>
      <c r="B529" s="711"/>
      <c r="C529" s="711"/>
      <c r="D529" s="711"/>
      <c r="E529" s="711"/>
      <c r="F529" s="711">
        <v>31</v>
      </c>
      <c r="G529" s="711"/>
      <c r="H529" s="711"/>
      <c r="I529" s="711"/>
      <c r="J529" s="711"/>
      <c r="K529" s="711">
        <v>1</v>
      </c>
      <c r="L529" s="711">
        <v>31</v>
      </c>
      <c r="M529" s="711" t="s">
        <v>41</v>
      </c>
    </row>
    <row r="530" spans="1:13">
      <c r="A530" s="711" t="s">
        <v>2452</v>
      </c>
      <c r="B530" s="711" t="s">
        <v>2481</v>
      </c>
      <c r="C530" s="711" t="s">
        <v>2362</v>
      </c>
      <c r="D530" s="711"/>
      <c r="E530" s="711"/>
      <c r="F530" s="711">
        <v>20</v>
      </c>
      <c r="G530" s="711">
        <v>31</v>
      </c>
      <c r="H530" s="711">
        <v>1</v>
      </c>
      <c r="I530" s="711"/>
      <c r="J530" s="711"/>
      <c r="K530" s="711">
        <v>3</v>
      </c>
      <c r="L530" s="711">
        <v>20</v>
      </c>
      <c r="M530" s="711" t="s">
        <v>3266</v>
      </c>
    </row>
    <row r="531" spans="1:13">
      <c r="A531" s="711" t="s">
        <v>3099</v>
      </c>
      <c r="B531" s="711" t="s">
        <v>2362</v>
      </c>
      <c r="C531" s="711" t="s">
        <v>2420</v>
      </c>
      <c r="D531" s="711"/>
      <c r="E531" s="711"/>
      <c r="F531" s="711">
        <v>3</v>
      </c>
      <c r="G531" s="711">
        <v>1</v>
      </c>
      <c r="H531" s="711">
        <v>9</v>
      </c>
      <c r="I531" s="711"/>
      <c r="J531" s="711"/>
      <c r="K531" s="711">
        <v>3</v>
      </c>
      <c r="L531" s="711">
        <v>3</v>
      </c>
      <c r="M531" s="711" t="s">
        <v>3267</v>
      </c>
    </row>
    <row r="532" spans="1:13">
      <c r="A532" s="711" t="s">
        <v>2362</v>
      </c>
      <c r="B532" s="711" t="s">
        <v>2420</v>
      </c>
      <c r="C532" s="711" t="s">
        <v>3100</v>
      </c>
      <c r="D532" s="711" t="s">
        <v>3099</v>
      </c>
      <c r="E532" s="711" t="s">
        <v>2409</v>
      </c>
      <c r="F532" s="711">
        <v>1</v>
      </c>
      <c r="G532" s="711">
        <v>9</v>
      </c>
      <c r="H532" s="711">
        <v>5</v>
      </c>
      <c r="I532" s="711">
        <v>3</v>
      </c>
      <c r="J532" s="711">
        <v>7</v>
      </c>
      <c r="K532" s="711">
        <v>5</v>
      </c>
      <c r="L532" s="711">
        <v>1</v>
      </c>
      <c r="M532" s="711" t="s">
        <v>3452</v>
      </c>
    </row>
    <row r="533" spans="1:13">
      <c r="A533" s="711" t="s">
        <v>2988</v>
      </c>
      <c r="B533" s="711" t="s">
        <v>3037</v>
      </c>
      <c r="C533" s="711"/>
      <c r="D533" s="711"/>
      <c r="E533" s="711"/>
      <c r="F533" s="711">
        <v>31</v>
      </c>
      <c r="G533" s="711">
        <v>31</v>
      </c>
      <c r="H533" s="711"/>
      <c r="I533" s="711"/>
      <c r="J533" s="711"/>
      <c r="K533" s="711">
        <v>2</v>
      </c>
      <c r="L533" s="711">
        <v>31</v>
      </c>
      <c r="M533" s="711" t="s">
        <v>41</v>
      </c>
    </row>
    <row r="534" spans="1:13">
      <c r="A534" s="711" t="s">
        <v>2393</v>
      </c>
      <c r="B534" s="711" t="s">
        <v>2354</v>
      </c>
      <c r="C534" s="711" t="s">
        <v>2966</v>
      </c>
      <c r="D534" s="711"/>
      <c r="E534" s="711"/>
      <c r="F534" s="711">
        <v>4</v>
      </c>
      <c r="G534" s="711">
        <v>31</v>
      </c>
      <c r="H534" s="711">
        <v>31</v>
      </c>
      <c r="I534" s="711"/>
      <c r="J534" s="711"/>
      <c r="K534" s="711">
        <v>3</v>
      </c>
      <c r="L534" s="711">
        <v>4</v>
      </c>
      <c r="M534" s="711" t="s">
        <v>3170</v>
      </c>
    </row>
    <row r="535" spans="1:13">
      <c r="A535" s="711" t="s">
        <v>3100</v>
      </c>
      <c r="B535" s="711" t="s">
        <v>2425</v>
      </c>
      <c r="C535" s="711" t="s">
        <v>2393</v>
      </c>
      <c r="D535" s="711" t="s">
        <v>2377</v>
      </c>
      <c r="E535" s="711" t="s">
        <v>2362</v>
      </c>
      <c r="F535" s="711">
        <v>5</v>
      </c>
      <c r="G535" s="711">
        <v>9</v>
      </c>
      <c r="H535" s="711">
        <v>4</v>
      </c>
      <c r="I535" s="711">
        <v>2</v>
      </c>
      <c r="J535" s="711">
        <v>1</v>
      </c>
      <c r="K535" s="711">
        <v>5</v>
      </c>
      <c r="L535" s="711">
        <v>5</v>
      </c>
      <c r="M535" s="711" t="s">
        <v>3453</v>
      </c>
    </row>
    <row r="536" spans="1:13">
      <c r="A536" s="711" t="s">
        <v>2362</v>
      </c>
      <c r="B536" s="711" t="s">
        <v>2377</v>
      </c>
      <c r="C536" s="711" t="s">
        <v>2409</v>
      </c>
      <c r="D536" s="711"/>
      <c r="E536" s="711"/>
      <c r="F536" s="711">
        <v>1</v>
      </c>
      <c r="G536" s="711">
        <v>2</v>
      </c>
      <c r="H536" s="711">
        <v>7</v>
      </c>
      <c r="I536" s="711"/>
      <c r="J536" s="711"/>
      <c r="K536" s="711">
        <v>3</v>
      </c>
      <c r="L536" s="711">
        <v>1</v>
      </c>
      <c r="M536" s="711" t="s">
        <v>44</v>
      </c>
    </row>
    <row r="537" spans="1:13">
      <c r="A537" s="711" t="s">
        <v>2393</v>
      </c>
      <c r="B537" s="711" t="s">
        <v>2504</v>
      </c>
      <c r="C537" s="711"/>
      <c r="D537" s="711"/>
      <c r="E537" s="711"/>
      <c r="F537" s="711">
        <v>4</v>
      </c>
      <c r="G537" s="711">
        <v>31</v>
      </c>
      <c r="H537" s="711"/>
      <c r="I537" s="711"/>
      <c r="J537" s="711"/>
      <c r="K537" s="711">
        <v>2</v>
      </c>
      <c r="L537" s="711">
        <v>4</v>
      </c>
      <c r="M537" s="711" t="s">
        <v>3170</v>
      </c>
    </row>
    <row r="538" spans="1:13">
      <c r="A538" s="711" t="s">
        <v>3099</v>
      </c>
      <c r="B538" s="711" t="s">
        <v>2838</v>
      </c>
      <c r="C538" s="711"/>
      <c r="D538" s="711"/>
      <c r="E538" s="711"/>
      <c r="F538" s="711">
        <v>3</v>
      </c>
      <c r="G538" s="711">
        <v>31</v>
      </c>
      <c r="H538" s="711"/>
      <c r="I538" s="711"/>
      <c r="J538" s="711"/>
      <c r="K538" s="711">
        <v>2</v>
      </c>
      <c r="L538" s="711">
        <v>3</v>
      </c>
      <c r="M538" s="711" t="s">
        <v>3238</v>
      </c>
    </row>
    <row r="539" spans="1:13">
      <c r="A539" s="711" t="s">
        <v>3099</v>
      </c>
      <c r="B539" s="711" t="s">
        <v>3100</v>
      </c>
      <c r="C539" s="711"/>
      <c r="D539" s="711"/>
      <c r="E539" s="711"/>
      <c r="F539" s="711">
        <v>3</v>
      </c>
      <c r="G539" s="711">
        <v>5</v>
      </c>
      <c r="H539" s="711"/>
      <c r="I539" s="711"/>
      <c r="J539" s="711"/>
      <c r="K539" s="711">
        <v>2</v>
      </c>
      <c r="L539" s="711">
        <v>3</v>
      </c>
      <c r="M539" s="711" t="s">
        <v>2314</v>
      </c>
    </row>
    <row r="540" spans="1:13">
      <c r="A540" s="711" t="s">
        <v>2362</v>
      </c>
      <c r="B540" s="711" t="s">
        <v>2393</v>
      </c>
      <c r="C540" s="711"/>
      <c r="D540" s="711"/>
      <c r="E540" s="711"/>
      <c r="F540" s="711">
        <v>1</v>
      </c>
      <c r="G540" s="711">
        <v>4</v>
      </c>
      <c r="H540" s="711"/>
      <c r="I540" s="711"/>
      <c r="J540" s="711"/>
      <c r="K540" s="711">
        <v>2</v>
      </c>
      <c r="L540" s="711">
        <v>1</v>
      </c>
      <c r="M540" s="711" t="s">
        <v>42</v>
      </c>
    </row>
    <row r="541" spans="1:13">
      <c r="A541" s="711" t="s">
        <v>3100</v>
      </c>
      <c r="B541" s="711" t="s">
        <v>3099</v>
      </c>
      <c r="C541" s="711" t="s">
        <v>2377</v>
      </c>
      <c r="D541" s="711" t="s">
        <v>2362</v>
      </c>
      <c r="E541" s="711" t="s">
        <v>2394</v>
      </c>
      <c r="F541" s="711">
        <v>5</v>
      </c>
      <c r="G541" s="711">
        <v>3</v>
      </c>
      <c r="H541" s="711">
        <v>2</v>
      </c>
      <c r="I541" s="711">
        <v>1</v>
      </c>
      <c r="J541" s="711">
        <v>4</v>
      </c>
      <c r="K541" s="711">
        <v>5</v>
      </c>
      <c r="L541" s="711">
        <v>5</v>
      </c>
      <c r="M541" s="711" t="s">
        <v>3454</v>
      </c>
    </row>
    <row r="542" spans="1:13">
      <c r="A542" s="711" t="s">
        <v>3102</v>
      </c>
      <c r="B542" s="711"/>
      <c r="C542" s="711"/>
      <c r="D542" s="711"/>
      <c r="E542" s="711"/>
      <c r="F542" s="711">
        <v>10</v>
      </c>
      <c r="G542" s="711"/>
      <c r="H542" s="711"/>
      <c r="I542" s="711"/>
      <c r="J542" s="711"/>
      <c r="K542" s="711">
        <v>1</v>
      </c>
      <c r="L542" s="711">
        <v>10</v>
      </c>
      <c r="M542" s="711" t="s">
        <v>25</v>
      </c>
    </row>
    <row r="543" spans="1:13">
      <c r="A543" s="711" t="s">
        <v>2377</v>
      </c>
      <c r="B543" s="711"/>
      <c r="C543" s="711"/>
      <c r="D543" s="711"/>
      <c r="E543" s="711"/>
      <c r="F543" s="711">
        <v>2</v>
      </c>
      <c r="G543" s="711"/>
      <c r="H543" s="711"/>
      <c r="I543" s="711"/>
      <c r="J543" s="711"/>
      <c r="K543" s="711">
        <v>1</v>
      </c>
      <c r="L543" s="711">
        <v>2</v>
      </c>
      <c r="M543" s="711" t="s">
        <v>47</v>
      </c>
    </row>
    <row r="544" spans="1:13">
      <c r="A544" s="711" t="s">
        <v>2362</v>
      </c>
      <c r="B544" s="711" t="s">
        <v>2393</v>
      </c>
      <c r="C544" s="711" t="s">
        <v>2377</v>
      </c>
      <c r="D544" s="711"/>
      <c r="E544" s="711"/>
      <c r="F544" s="711">
        <v>1</v>
      </c>
      <c r="G544" s="711">
        <v>4</v>
      </c>
      <c r="H544" s="711">
        <v>2</v>
      </c>
      <c r="I544" s="711"/>
      <c r="J544" s="711"/>
      <c r="K544" s="711">
        <v>3</v>
      </c>
      <c r="L544" s="711">
        <v>1</v>
      </c>
      <c r="M544" s="711" t="s">
        <v>3210</v>
      </c>
    </row>
    <row r="545" spans="1:13">
      <c r="A545" s="711" t="s">
        <v>3101</v>
      </c>
      <c r="B545" s="711"/>
      <c r="C545" s="711"/>
      <c r="D545" s="711"/>
      <c r="E545" s="711"/>
      <c r="F545" s="711">
        <v>6</v>
      </c>
      <c r="G545" s="711"/>
      <c r="H545" s="711"/>
      <c r="I545" s="711"/>
      <c r="J545" s="711"/>
      <c r="K545" s="711">
        <v>1</v>
      </c>
      <c r="L545" s="711">
        <v>6</v>
      </c>
      <c r="M545" s="711" t="s">
        <v>909</v>
      </c>
    </row>
    <row r="546" spans="1:13">
      <c r="A546" s="711" t="s">
        <v>2394</v>
      </c>
      <c r="B546" s="711" t="s">
        <v>2362</v>
      </c>
      <c r="C546" s="711" t="s">
        <v>2377</v>
      </c>
      <c r="D546" s="711" t="s">
        <v>3099</v>
      </c>
      <c r="E546" s="711"/>
      <c r="F546" s="711">
        <v>4</v>
      </c>
      <c r="G546" s="711">
        <v>1</v>
      </c>
      <c r="H546" s="711">
        <v>2</v>
      </c>
      <c r="I546" s="711">
        <v>3</v>
      </c>
      <c r="J546" s="711"/>
      <c r="K546" s="711">
        <v>4</v>
      </c>
      <c r="L546" s="711">
        <v>4</v>
      </c>
      <c r="M546" s="711" t="s">
        <v>3268</v>
      </c>
    </row>
    <row r="547" spans="1:13">
      <c r="A547" s="711" t="s">
        <v>2387</v>
      </c>
      <c r="B547" s="711"/>
      <c r="C547" s="711"/>
      <c r="D547" s="711"/>
      <c r="E547" s="711"/>
      <c r="F547" s="711">
        <v>3</v>
      </c>
      <c r="G547" s="711"/>
      <c r="H547" s="711"/>
      <c r="I547" s="711"/>
      <c r="J547" s="711"/>
      <c r="K547" s="711">
        <v>1</v>
      </c>
      <c r="L547" s="711">
        <v>3</v>
      </c>
      <c r="M547" s="711" t="s">
        <v>48</v>
      </c>
    </row>
    <row r="548" spans="1:13">
      <c r="A548" s="711" t="s">
        <v>2464</v>
      </c>
      <c r="B548" s="711"/>
      <c r="C548" s="711"/>
      <c r="D548" s="711"/>
      <c r="E548" s="711"/>
      <c r="F548" s="711">
        <v>25</v>
      </c>
      <c r="G548" s="711"/>
      <c r="H548" s="711"/>
      <c r="I548" s="711"/>
      <c r="J548" s="711"/>
      <c r="K548" s="711">
        <v>1</v>
      </c>
      <c r="L548" s="711">
        <v>25</v>
      </c>
      <c r="M548" s="711" t="s">
        <v>3217</v>
      </c>
    </row>
    <row r="549" spans="1:13">
      <c r="A549" s="711" t="s">
        <v>2377</v>
      </c>
      <c r="B549" s="711"/>
      <c r="C549" s="711"/>
      <c r="D549" s="711"/>
      <c r="E549" s="711"/>
      <c r="F549" s="711">
        <v>2</v>
      </c>
      <c r="G549" s="711"/>
      <c r="H549" s="711"/>
      <c r="I549" s="711"/>
      <c r="J549" s="711"/>
      <c r="K549" s="711">
        <v>1</v>
      </c>
      <c r="L549" s="711">
        <v>2</v>
      </c>
      <c r="M549" s="711" t="s">
        <v>47</v>
      </c>
    </row>
    <row r="550" spans="1:13">
      <c r="A550" s="711" t="s">
        <v>2377</v>
      </c>
      <c r="B550" s="711"/>
      <c r="C550" s="711"/>
      <c r="D550" s="711"/>
      <c r="E550" s="711"/>
      <c r="F550" s="711">
        <v>2</v>
      </c>
      <c r="G550" s="711"/>
      <c r="H550" s="711"/>
      <c r="I550" s="711"/>
      <c r="J550" s="711"/>
      <c r="K550" s="711">
        <v>1</v>
      </c>
      <c r="L550" s="711">
        <v>2</v>
      </c>
      <c r="M550" s="711" t="s">
        <v>47</v>
      </c>
    </row>
    <row r="551" spans="1:13">
      <c r="A551" s="711" t="s">
        <v>3099</v>
      </c>
      <c r="B551" s="711" t="s">
        <v>2362</v>
      </c>
      <c r="C551" s="711" t="s">
        <v>2377</v>
      </c>
      <c r="D551" s="711" t="s">
        <v>2393</v>
      </c>
      <c r="E551" s="711"/>
      <c r="F551" s="711">
        <v>3</v>
      </c>
      <c r="G551" s="711">
        <v>1</v>
      </c>
      <c r="H551" s="711">
        <v>2</v>
      </c>
      <c r="I551" s="711">
        <v>4</v>
      </c>
      <c r="J551" s="711"/>
      <c r="K551" s="711">
        <v>4</v>
      </c>
      <c r="L551" s="711">
        <v>3</v>
      </c>
      <c r="M551" s="711" t="s">
        <v>3269</v>
      </c>
    </row>
    <row r="552" spans="1:13">
      <c r="A552" s="711" t="s">
        <v>3099</v>
      </c>
      <c r="B552" s="711" t="s">
        <v>2409</v>
      </c>
      <c r="C552" s="711" t="s">
        <v>2362</v>
      </c>
      <c r="D552" s="711" t="s">
        <v>2377</v>
      </c>
      <c r="E552" s="711"/>
      <c r="F552" s="711">
        <v>3</v>
      </c>
      <c r="G552" s="711">
        <v>7</v>
      </c>
      <c r="H552" s="711">
        <v>1</v>
      </c>
      <c r="I552" s="711">
        <v>2</v>
      </c>
      <c r="J552" s="711"/>
      <c r="K552" s="711">
        <v>4</v>
      </c>
      <c r="L552" s="711">
        <v>3</v>
      </c>
      <c r="M552" s="711" t="s">
        <v>3270</v>
      </c>
    </row>
    <row r="553" spans="1:13">
      <c r="A553" s="711" t="s">
        <v>2989</v>
      </c>
      <c r="B553" s="711" t="s">
        <v>3038</v>
      </c>
      <c r="C553" s="711"/>
      <c r="D553" s="711"/>
      <c r="E553" s="711"/>
      <c r="F553" s="711">
        <v>31</v>
      </c>
      <c r="G553" s="711">
        <v>31</v>
      </c>
      <c r="H553" s="711"/>
      <c r="I553" s="711"/>
      <c r="J553" s="711"/>
      <c r="K553" s="711">
        <v>2</v>
      </c>
      <c r="L553" s="711">
        <v>31</v>
      </c>
      <c r="M553" s="711" t="s">
        <v>41</v>
      </c>
    </row>
    <row r="554" spans="1:13">
      <c r="A554" s="711" t="s">
        <v>2949</v>
      </c>
      <c r="B554" s="711" t="s">
        <v>2962</v>
      </c>
      <c r="C554" s="711"/>
      <c r="D554" s="711"/>
      <c r="E554" s="711"/>
      <c r="F554" s="711">
        <v>31</v>
      </c>
      <c r="G554" s="711">
        <v>31</v>
      </c>
      <c r="H554" s="711"/>
      <c r="I554" s="711"/>
      <c r="J554" s="711"/>
      <c r="K554" s="711">
        <v>2</v>
      </c>
      <c r="L554" s="711">
        <v>31</v>
      </c>
      <c r="M554" s="711" t="s">
        <v>41</v>
      </c>
    </row>
    <row r="555" spans="1:13">
      <c r="A555" s="711" t="s">
        <v>2511</v>
      </c>
      <c r="B555" s="711" t="s">
        <v>2362</v>
      </c>
      <c r="C555" s="711" t="s">
        <v>2393</v>
      </c>
      <c r="D555" s="711" t="s">
        <v>3099</v>
      </c>
      <c r="E555" s="711" t="s">
        <v>2409</v>
      </c>
      <c r="F555" s="711">
        <v>31</v>
      </c>
      <c r="G555" s="711">
        <v>1</v>
      </c>
      <c r="H555" s="711">
        <v>4</v>
      </c>
      <c r="I555" s="711">
        <v>3</v>
      </c>
      <c r="J555" s="711">
        <v>7</v>
      </c>
      <c r="K555" s="711">
        <v>5</v>
      </c>
      <c r="L555" s="711">
        <v>31</v>
      </c>
      <c r="M555" s="711" t="s">
        <v>3455</v>
      </c>
    </row>
    <row r="556" spans="1:13">
      <c r="A556" s="711" t="s">
        <v>2587</v>
      </c>
      <c r="B556" s="711" t="s">
        <v>2378</v>
      </c>
      <c r="C556" s="711"/>
      <c r="D556" s="711"/>
      <c r="E556" s="711"/>
      <c r="F556" s="711">
        <v>31</v>
      </c>
      <c r="G556" s="711">
        <v>2</v>
      </c>
      <c r="H556" s="711"/>
      <c r="I556" s="711"/>
      <c r="J556" s="711"/>
      <c r="K556" s="711">
        <v>2</v>
      </c>
      <c r="L556" s="711">
        <v>31</v>
      </c>
      <c r="M556" s="711" t="s">
        <v>3249</v>
      </c>
    </row>
    <row r="557" spans="1:13">
      <c r="A557" s="711" t="s">
        <v>2362</v>
      </c>
      <c r="B557" s="711"/>
      <c r="C557" s="711"/>
      <c r="D557" s="711"/>
      <c r="E557" s="711"/>
      <c r="F557" s="711">
        <v>1</v>
      </c>
      <c r="G557" s="711"/>
      <c r="H557" s="711"/>
      <c r="I557" s="711"/>
      <c r="J557" s="711"/>
      <c r="K557" s="711">
        <v>1</v>
      </c>
      <c r="L557" s="711">
        <v>1</v>
      </c>
      <c r="M557" s="711" t="s">
        <v>26</v>
      </c>
    </row>
    <row r="558" spans="1:13">
      <c r="A558" s="711" t="s">
        <v>2434</v>
      </c>
      <c r="B558" s="711" t="s">
        <v>2377</v>
      </c>
      <c r="C558" s="711" t="s">
        <v>3099</v>
      </c>
      <c r="D558" s="711" t="s">
        <v>2464</v>
      </c>
      <c r="E558" s="711"/>
      <c r="F558" s="711">
        <v>11</v>
      </c>
      <c r="G558" s="711">
        <v>2</v>
      </c>
      <c r="H558" s="711">
        <v>3</v>
      </c>
      <c r="I558" s="711">
        <v>25</v>
      </c>
      <c r="J558" s="711"/>
      <c r="K558" s="711">
        <v>4</v>
      </c>
      <c r="L558" s="711">
        <v>11</v>
      </c>
      <c r="M558" s="711" t="s">
        <v>3271</v>
      </c>
    </row>
    <row r="559" spans="1:13">
      <c r="A559" s="711" t="s">
        <v>2362</v>
      </c>
      <c r="B559" s="711" t="s">
        <v>3099</v>
      </c>
      <c r="C559" s="711" t="s">
        <v>2377</v>
      </c>
      <c r="D559" s="711"/>
      <c r="E559" s="711"/>
      <c r="F559" s="711">
        <v>1</v>
      </c>
      <c r="G559" s="711">
        <v>3</v>
      </c>
      <c r="H559" s="711">
        <v>2</v>
      </c>
      <c r="I559" s="711"/>
      <c r="J559" s="711"/>
      <c r="K559" s="711">
        <v>3</v>
      </c>
      <c r="L559" s="711">
        <v>1</v>
      </c>
      <c r="M559" s="711" t="s">
        <v>3264</v>
      </c>
    </row>
    <row r="560" spans="1:13">
      <c r="A560" s="711" t="s">
        <v>2362</v>
      </c>
      <c r="B560" s="711"/>
      <c r="C560" s="711"/>
      <c r="D560" s="711"/>
      <c r="E560" s="711"/>
      <c r="F560" s="711">
        <v>1</v>
      </c>
      <c r="G560" s="711"/>
      <c r="H560" s="711"/>
      <c r="I560" s="711"/>
      <c r="J560" s="711"/>
      <c r="K560" s="711">
        <v>1</v>
      </c>
      <c r="L560" s="711">
        <v>1</v>
      </c>
      <c r="M560" s="711" t="s">
        <v>26</v>
      </c>
    </row>
    <row r="561" spans="1:13">
      <c r="A561" s="711" t="s">
        <v>2734</v>
      </c>
      <c r="B561" s="711"/>
      <c r="C561" s="711"/>
      <c r="D561" s="711"/>
      <c r="E561" s="711"/>
      <c r="F561" s="711">
        <v>31</v>
      </c>
      <c r="G561" s="711"/>
      <c r="H561" s="711"/>
      <c r="I561" s="711"/>
      <c r="J561" s="711"/>
      <c r="K561" s="711">
        <v>1</v>
      </c>
      <c r="L561" s="711">
        <v>31</v>
      </c>
      <c r="M561" s="711" t="s">
        <v>41</v>
      </c>
    </row>
    <row r="562" spans="1:13">
      <c r="A562" s="711" t="s">
        <v>2394</v>
      </c>
      <c r="B562" s="711" t="s">
        <v>2438</v>
      </c>
      <c r="C562" s="711" t="s">
        <v>2464</v>
      </c>
      <c r="D562" s="711" t="s">
        <v>2362</v>
      </c>
      <c r="E562" s="711" t="s">
        <v>2411</v>
      </c>
      <c r="F562" s="711">
        <v>4</v>
      </c>
      <c r="G562" s="711">
        <v>13</v>
      </c>
      <c r="H562" s="711">
        <v>25</v>
      </c>
      <c r="I562" s="711">
        <v>1</v>
      </c>
      <c r="J562" s="711">
        <v>8</v>
      </c>
      <c r="K562" s="711">
        <v>5</v>
      </c>
      <c r="L562" s="711">
        <v>4</v>
      </c>
      <c r="M562" s="711" t="s">
        <v>3456</v>
      </c>
    </row>
    <row r="563" spans="1:13">
      <c r="A563" s="711" t="s">
        <v>2990</v>
      </c>
      <c r="B563" s="711"/>
      <c r="C563" s="711"/>
      <c r="D563" s="711"/>
      <c r="E563" s="711"/>
      <c r="F563" s="711">
        <v>31</v>
      </c>
      <c r="G563" s="711"/>
      <c r="H563" s="711"/>
      <c r="I563" s="711"/>
      <c r="J563" s="711"/>
      <c r="K563" s="711">
        <v>1</v>
      </c>
      <c r="L563" s="711">
        <v>31</v>
      </c>
      <c r="M563" s="711" t="s">
        <v>41</v>
      </c>
    </row>
    <row r="564" spans="1:13">
      <c r="A564" s="711" t="s">
        <v>3099</v>
      </c>
      <c r="B564" s="711" t="s">
        <v>2377</v>
      </c>
      <c r="C564" s="711" t="s">
        <v>2483</v>
      </c>
      <c r="D564" s="711" t="s">
        <v>2362</v>
      </c>
      <c r="E564" s="711" t="s">
        <v>2409</v>
      </c>
      <c r="F564" s="711">
        <v>3</v>
      </c>
      <c r="G564" s="711">
        <v>2</v>
      </c>
      <c r="H564" s="711">
        <v>31</v>
      </c>
      <c r="I564" s="711">
        <v>1</v>
      </c>
      <c r="J564" s="711">
        <v>7</v>
      </c>
      <c r="K564" s="711">
        <v>5</v>
      </c>
      <c r="L564" s="711">
        <v>3</v>
      </c>
      <c r="M564" s="711" t="s">
        <v>3457</v>
      </c>
    </row>
    <row r="565" spans="1:13">
      <c r="A565" s="711" t="s">
        <v>2991</v>
      </c>
      <c r="B565" s="711"/>
      <c r="C565" s="711"/>
      <c r="D565" s="711"/>
      <c r="E565" s="711"/>
      <c r="F565" s="711">
        <v>31</v>
      </c>
      <c r="G565" s="711"/>
      <c r="H565" s="711"/>
      <c r="I565" s="711"/>
      <c r="J565" s="711"/>
      <c r="K565" s="711">
        <v>1</v>
      </c>
      <c r="L565" s="711">
        <v>31</v>
      </c>
      <c r="M565" s="711" t="s">
        <v>41</v>
      </c>
    </row>
    <row r="566" spans="1:13">
      <c r="A566" s="711" t="s">
        <v>2511</v>
      </c>
      <c r="B566" s="711"/>
      <c r="C566" s="711"/>
      <c r="D566" s="711"/>
      <c r="E566" s="711"/>
      <c r="F566" s="711">
        <v>31</v>
      </c>
      <c r="G566" s="711"/>
      <c r="H566" s="711"/>
      <c r="I566" s="711"/>
      <c r="J566" s="711"/>
      <c r="K566" s="711">
        <v>1</v>
      </c>
      <c r="L566" s="711">
        <v>31</v>
      </c>
      <c r="M566" s="711" t="s">
        <v>41</v>
      </c>
    </row>
    <row r="567" spans="1:13">
      <c r="A567" s="711" t="s">
        <v>2482</v>
      </c>
      <c r="B567" s="711"/>
      <c r="C567" s="711"/>
      <c r="D567" s="711"/>
      <c r="E567" s="711"/>
      <c r="F567" s="711">
        <v>31</v>
      </c>
      <c r="G567" s="711"/>
      <c r="H567" s="711"/>
      <c r="I567" s="711"/>
      <c r="J567" s="711"/>
      <c r="K567" s="711">
        <v>1</v>
      </c>
      <c r="L567" s="711">
        <v>31</v>
      </c>
      <c r="M567" s="711" t="s">
        <v>41</v>
      </c>
    </row>
    <row r="568" spans="1:13">
      <c r="A568" s="711" t="s">
        <v>2434</v>
      </c>
      <c r="B568" s="711"/>
      <c r="C568" s="711"/>
      <c r="D568" s="711"/>
      <c r="E568" s="711"/>
      <c r="F568" s="711">
        <v>11</v>
      </c>
      <c r="G568" s="711"/>
      <c r="H568" s="711"/>
      <c r="I568" s="711"/>
      <c r="J568" s="711"/>
      <c r="K568" s="711">
        <v>1</v>
      </c>
      <c r="L568" s="711">
        <v>11</v>
      </c>
      <c r="M568" s="711" t="s">
        <v>38</v>
      </c>
    </row>
    <row r="569" spans="1:13">
      <c r="A569" s="711" t="s">
        <v>2362</v>
      </c>
      <c r="B569" s="711" t="s">
        <v>3101</v>
      </c>
      <c r="C569" s="711" t="s">
        <v>3099</v>
      </c>
      <c r="D569" s="711"/>
      <c r="E569" s="711"/>
      <c r="F569" s="711">
        <v>1</v>
      </c>
      <c r="G569" s="711">
        <v>6</v>
      </c>
      <c r="H569" s="711">
        <v>3</v>
      </c>
      <c r="I569" s="711"/>
      <c r="J569" s="711"/>
      <c r="K569" s="711">
        <v>3</v>
      </c>
      <c r="L569" s="711">
        <v>1</v>
      </c>
      <c r="M569" s="711" t="s">
        <v>3272</v>
      </c>
    </row>
    <row r="570" spans="1:13">
      <c r="A570" s="711" t="s">
        <v>3101</v>
      </c>
      <c r="B570" s="711" t="s">
        <v>2362</v>
      </c>
      <c r="C570" s="711" t="s">
        <v>2409</v>
      </c>
      <c r="D570" s="711" t="s">
        <v>2393</v>
      </c>
      <c r="E570" s="711"/>
      <c r="F570" s="711">
        <v>6</v>
      </c>
      <c r="G570" s="711">
        <v>1</v>
      </c>
      <c r="H570" s="711">
        <v>7</v>
      </c>
      <c r="I570" s="711">
        <v>4</v>
      </c>
      <c r="J570" s="711"/>
      <c r="K570" s="711">
        <v>4</v>
      </c>
      <c r="L570" s="711">
        <v>6</v>
      </c>
      <c r="M570" s="711" t="s">
        <v>3273</v>
      </c>
    </row>
    <row r="571" spans="1:13">
      <c r="A571" s="711" t="s">
        <v>2393</v>
      </c>
      <c r="B571" s="711"/>
      <c r="C571" s="711"/>
      <c r="D571" s="711"/>
      <c r="E571" s="711"/>
      <c r="F571" s="711">
        <v>4</v>
      </c>
      <c r="G571" s="711"/>
      <c r="H571" s="711"/>
      <c r="I571" s="711"/>
      <c r="J571" s="711"/>
      <c r="K571" s="711">
        <v>1</v>
      </c>
      <c r="L571" s="711">
        <v>4</v>
      </c>
      <c r="M571" s="711" t="s">
        <v>39</v>
      </c>
    </row>
    <row r="572" spans="1:13">
      <c r="A572" s="711" t="s">
        <v>2377</v>
      </c>
      <c r="B572" s="711" t="s">
        <v>2409</v>
      </c>
      <c r="C572" s="711" t="s">
        <v>2362</v>
      </c>
      <c r="D572" s="711" t="s">
        <v>3099</v>
      </c>
      <c r="E572" s="711" t="s">
        <v>2393</v>
      </c>
      <c r="F572" s="711">
        <v>2</v>
      </c>
      <c r="G572" s="711">
        <v>7</v>
      </c>
      <c r="H572" s="711">
        <v>1</v>
      </c>
      <c r="I572" s="711">
        <v>3</v>
      </c>
      <c r="J572" s="711">
        <v>4</v>
      </c>
      <c r="K572" s="711">
        <v>5</v>
      </c>
      <c r="L572" s="711">
        <v>2</v>
      </c>
      <c r="M572" s="711" t="s">
        <v>3458</v>
      </c>
    </row>
    <row r="573" spans="1:13">
      <c r="A573" s="711" t="s">
        <v>2362</v>
      </c>
      <c r="B573" s="711" t="s">
        <v>2393</v>
      </c>
      <c r="C573" s="711" t="s">
        <v>2377</v>
      </c>
      <c r="D573" s="711"/>
      <c r="E573" s="711"/>
      <c r="F573" s="711">
        <v>1</v>
      </c>
      <c r="G573" s="711">
        <v>4</v>
      </c>
      <c r="H573" s="711">
        <v>2</v>
      </c>
      <c r="I573" s="711"/>
      <c r="J573" s="711"/>
      <c r="K573" s="711">
        <v>3</v>
      </c>
      <c r="L573" s="711">
        <v>1</v>
      </c>
      <c r="M573" s="711" t="s">
        <v>3210</v>
      </c>
    </row>
    <row r="574" spans="1:13">
      <c r="A574" s="711" t="s">
        <v>2377</v>
      </c>
      <c r="B574" s="711" t="s">
        <v>2362</v>
      </c>
      <c r="C574" s="711" t="s">
        <v>2420</v>
      </c>
      <c r="D574" s="711" t="s">
        <v>3100</v>
      </c>
      <c r="E574" s="711"/>
      <c r="F574" s="711">
        <v>2</v>
      </c>
      <c r="G574" s="711">
        <v>1</v>
      </c>
      <c r="H574" s="711">
        <v>9</v>
      </c>
      <c r="I574" s="711">
        <v>5</v>
      </c>
      <c r="J574" s="711"/>
      <c r="K574" s="711">
        <v>4</v>
      </c>
      <c r="L574" s="711">
        <v>2</v>
      </c>
      <c r="M574" s="711" t="s">
        <v>3274</v>
      </c>
    </row>
    <row r="575" spans="1:13">
      <c r="A575" s="711" t="s">
        <v>2992</v>
      </c>
      <c r="B575" s="711" t="s">
        <v>2393</v>
      </c>
      <c r="C575" s="711" t="s">
        <v>3099</v>
      </c>
      <c r="D575" s="711" t="s">
        <v>2377</v>
      </c>
      <c r="E575" s="711" t="s">
        <v>2362</v>
      </c>
      <c r="F575" s="711">
        <v>31</v>
      </c>
      <c r="G575" s="711">
        <v>4</v>
      </c>
      <c r="H575" s="711">
        <v>3</v>
      </c>
      <c r="I575" s="711">
        <v>2</v>
      </c>
      <c r="J575" s="711">
        <v>1</v>
      </c>
      <c r="K575" s="711">
        <v>5</v>
      </c>
      <c r="L575" s="711">
        <v>31</v>
      </c>
      <c r="M575" s="711" t="s">
        <v>3459</v>
      </c>
    </row>
    <row r="576" spans="1:13">
      <c r="A576" s="711" t="s">
        <v>2959</v>
      </c>
      <c r="B576" s="711" t="s">
        <v>17</v>
      </c>
      <c r="C576" s="711"/>
      <c r="D576" s="711"/>
      <c r="E576" s="711"/>
      <c r="F576" s="711">
        <v>31</v>
      </c>
      <c r="G576" s="711">
        <v>31</v>
      </c>
      <c r="H576" s="711"/>
      <c r="I576" s="711"/>
      <c r="J576" s="711"/>
      <c r="K576" s="711">
        <v>2</v>
      </c>
      <c r="L576" s="711">
        <v>31</v>
      </c>
      <c r="M576" s="711" t="s">
        <v>41</v>
      </c>
    </row>
    <row r="577" spans="1:13">
      <c r="A577" s="711" t="s">
        <v>2362</v>
      </c>
      <c r="B577" s="711"/>
      <c r="C577" s="711"/>
      <c r="D577" s="711"/>
      <c r="E577" s="711"/>
      <c r="F577" s="711">
        <v>1</v>
      </c>
      <c r="G577" s="711"/>
      <c r="H577" s="711"/>
      <c r="I577" s="711"/>
      <c r="J577" s="711"/>
      <c r="K577" s="711">
        <v>1</v>
      </c>
      <c r="L577" s="711">
        <v>1</v>
      </c>
      <c r="M577" s="711" t="s">
        <v>26</v>
      </c>
    </row>
    <row r="578" spans="1:13">
      <c r="A578" s="711" t="s">
        <v>2393</v>
      </c>
      <c r="B578" s="711" t="s">
        <v>2377</v>
      </c>
      <c r="C578" s="711"/>
      <c r="D578" s="711"/>
      <c r="E578" s="711"/>
      <c r="F578" s="711">
        <v>4</v>
      </c>
      <c r="G578" s="711">
        <v>2</v>
      </c>
      <c r="H578" s="711"/>
      <c r="I578" s="711"/>
      <c r="J578" s="711"/>
      <c r="K578" s="711">
        <v>2</v>
      </c>
      <c r="L578" s="711">
        <v>4</v>
      </c>
      <c r="M578" s="711" t="s">
        <v>3177</v>
      </c>
    </row>
    <row r="579" spans="1:13">
      <c r="A579" s="711" t="s">
        <v>2960</v>
      </c>
      <c r="B579" s="711"/>
      <c r="C579" s="711"/>
      <c r="D579" s="711"/>
      <c r="E579" s="711"/>
      <c r="F579" s="711">
        <v>31</v>
      </c>
      <c r="G579" s="711"/>
      <c r="H579" s="711"/>
      <c r="I579" s="711"/>
      <c r="J579" s="711"/>
      <c r="K579" s="711">
        <v>1</v>
      </c>
      <c r="L579" s="711">
        <v>31</v>
      </c>
      <c r="M579" s="711" t="s">
        <v>41</v>
      </c>
    </row>
    <row r="580" spans="1:13">
      <c r="A580" s="711" t="s">
        <v>2362</v>
      </c>
      <c r="B580" s="711" t="s">
        <v>2420</v>
      </c>
      <c r="C580" s="711"/>
      <c r="D580" s="711"/>
      <c r="E580" s="711"/>
      <c r="F580" s="711">
        <v>1</v>
      </c>
      <c r="G580" s="711">
        <v>9</v>
      </c>
      <c r="H580" s="711"/>
      <c r="I580" s="711"/>
      <c r="J580" s="711"/>
      <c r="K580" s="711">
        <v>2</v>
      </c>
      <c r="L580" s="711">
        <v>1</v>
      </c>
      <c r="M580" s="711" t="s">
        <v>29</v>
      </c>
    </row>
    <row r="581" spans="1:13">
      <c r="A581" s="711" t="s">
        <v>2993</v>
      </c>
      <c r="B581" s="711"/>
      <c r="C581" s="711"/>
      <c r="D581" s="711"/>
      <c r="E581" s="711"/>
      <c r="F581" s="711">
        <v>31</v>
      </c>
      <c r="G581" s="711"/>
      <c r="H581" s="711"/>
      <c r="I581" s="711"/>
      <c r="J581" s="711"/>
      <c r="K581" s="711">
        <v>1</v>
      </c>
      <c r="L581" s="711">
        <v>31</v>
      </c>
      <c r="M581" s="711" t="s">
        <v>41</v>
      </c>
    </row>
    <row r="582" spans="1:13">
      <c r="A582" s="711" t="s">
        <v>2420</v>
      </c>
      <c r="B582" s="711" t="s">
        <v>3099</v>
      </c>
      <c r="C582" s="711" t="s">
        <v>2362</v>
      </c>
      <c r="D582" s="711"/>
      <c r="E582" s="711"/>
      <c r="F582" s="711">
        <v>9</v>
      </c>
      <c r="G582" s="711">
        <v>3</v>
      </c>
      <c r="H582" s="711">
        <v>1</v>
      </c>
      <c r="I582" s="711"/>
      <c r="J582" s="711"/>
      <c r="K582" s="711">
        <v>3</v>
      </c>
      <c r="L582" s="711">
        <v>9</v>
      </c>
      <c r="M582" s="711" t="s">
        <v>3275</v>
      </c>
    </row>
    <row r="583" spans="1:13">
      <c r="A583" s="711" t="s">
        <v>2362</v>
      </c>
      <c r="B583" s="711" t="s">
        <v>2464</v>
      </c>
      <c r="C583" s="711" t="s">
        <v>3101</v>
      </c>
      <c r="D583" s="711"/>
      <c r="E583" s="711"/>
      <c r="F583" s="711">
        <v>1</v>
      </c>
      <c r="G583" s="711">
        <v>25</v>
      </c>
      <c r="H583" s="711">
        <v>6</v>
      </c>
      <c r="I583" s="711"/>
      <c r="J583" s="711"/>
      <c r="K583" s="711">
        <v>3</v>
      </c>
      <c r="L583" s="711">
        <v>1</v>
      </c>
      <c r="M583" s="711" t="s">
        <v>3276</v>
      </c>
    </row>
    <row r="584" spans="1:13">
      <c r="A584" s="711" t="s">
        <v>2362</v>
      </c>
      <c r="B584" s="711" t="s">
        <v>2420</v>
      </c>
      <c r="C584" s="711" t="s">
        <v>3099</v>
      </c>
      <c r="D584" s="711"/>
      <c r="E584" s="711"/>
      <c r="F584" s="711">
        <v>1</v>
      </c>
      <c r="G584" s="711">
        <v>9</v>
      </c>
      <c r="H584" s="711">
        <v>3</v>
      </c>
      <c r="I584" s="711"/>
      <c r="J584" s="711"/>
      <c r="K584" s="711">
        <v>3</v>
      </c>
      <c r="L584" s="711">
        <v>1</v>
      </c>
      <c r="M584" s="711" t="s">
        <v>3277</v>
      </c>
    </row>
    <row r="585" spans="1:13">
      <c r="A585" s="711" t="s">
        <v>3099</v>
      </c>
      <c r="B585" s="711" t="s">
        <v>2377</v>
      </c>
      <c r="C585" s="711" t="s">
        <v>2725</v>
      </c>
      <c r="D585" s="711" t="s">
        <v>1023</v>
      </c>
      <c r="E585" s="711"/>
      <c r="F585" s="711">
        <v>3</v>
      </c>
      <c r="G585" s="711">
        <v>2</v>
      </c>
      <c r="H585" s="711">
        <v>31</v>
      </c>
      <c r="I585" s="711">
        <v>31</v>
      </c>
      <c r="J585" s="711"/>
      <c r="K585" s="711">
        <v>4</v>
      </c>
      <c r="L585" s="711">
        <v>3</v>
      </c>
      <c r="M585" s="711" t="s">
        <v>3156</v>
      </c>
    </row>
    <row r="586" spans="1:13">
      <c r="A586" s="711" t="s">
        <v>2377</v>
      </c>
      <c r="B586" s="711" t="s">
        <v>2362</v>
      </c>
      <c r="C586" s="711" t="s">
        <v>2409</v>
      </c>
      <c r="D586" s="711" t="s">
        <v>2411</v>
      </c>
      <c r="E586" s="711" t="s">
        <v>2393</v>
      </c>
      <c r="F586" s="711">
        <v>2</v>
      </c>
      <c r="G586" s="711">
        <v>1</v>
      </c>
      <c r="H586" s="711">
        <v>7</v>
      </c>
      <c r="I586" s="711">
        <v>8</v>
      </c>
      <c r="J586" s="711">
        <v>4</v>
      </c>
      <c r="K586" s="711">
        <v>5</v>
      </c>
      <c r="L586" s="711">
        <v>2</v>
      </c>
      <c r="M586" s="711" t="s">
        <v>3460</v>
      </c>
    </row>
    <row r="587" spans="1:13">
      <c r="A587" s="711" t="s">
        <v>2362</v>
      </c>
      <c r="B587" s="711" t="s">
        <v>2378</v>
      </c>
      <c r="C587" s="711" t="s">
        <v>2393</v>
      </c>
      <c r="D587" s="711" t="s">
        <v>3101</v>
      </c>
      <c r="E587" s="711"/>
      <c r="F587" s="711">
        <v>1</v>
      </c>
      <c r="G587" s="711">
        <v>2</v>
      </c>
      <c r="H587" s="711">
        <v>4</v>
      </c>
      <c r="I587" s="711">
        <v>6</v>
      </c>
      <c r="J587" s="711"/>
      <c r="K587" s="711">
        <v>4</v>
      </c>
      <c r="L587" s="711">
        <v>1</v>
      </c>
      <c r="M587" s="711" t="s">
        <v>3278</v>
      </c>
    </row>
    <row r="588" spans="1:13">
      <c r="A588" s="711" t="s">
        <v>2362</v>
      </c>
      <c r="B588" s="711" t="s">
        <v>2393</v>
      </c>
      <c r="C588" s="711" t="s">
        <v>2409</v>
      </c>
      <c r="D588" s="711" t="s">
        <v>3099</v>
      </c>
      <c r="E588" s="711" t="s">
        <v>2377</v>
      </c>
      <c r="F588" s="711">
        <v>1</v>
      </c>
      <c r="G588" s="711">
        <v>4</v>
      </c>
      <c r="H588" s="711">
        <v>7</v>
      </c>
      <c r="I588" s="711">
        <v>3</v>
      </c>
      <c r="J588" s="711">
        <v>2</v>
      </c>
      <c r="K588" s="711">
        <v>5</v>
      </c>
      <c r="L588" s="711">
        <v>1</v>
      </c>
      <c r="M588" s="711" t="s">
        <v>3461</v>
      </c>
    </row>
    <row r="589" spans="1:13">
      <c r="A589" s="711" t="s">
        <v>2391</v>
      </c>
      <c r="B589" s="711"/>
      <c r="C589" s="711"/>
      <c r="D589" s="711"/>
      <c r="E589" s="711"/>
      <c r="F589" s="711">
        <v>3</v>
      </c>
      <c r="G589" s="711"/>
      <c r="H589" s="711"/>
      <c r="I589" s="711"/>
      <c r="J589" s="711"/>
      <c r="K589" s="711">
        <v>1</v>
      </c>
      <c r="L589" s="711">
        <v>3</v>
      </c>
      <c r="M589" s="711" t="s">
        <v>48</v>
      </c>
    </row>
    <row r="590" spans="1:13">
      <c r="A590" s="711" t="s">
        <v>2377</v>
      </c>
      <c r="B590" s="711" t="s">
        <v>3099</v>
      </c>
      <c r="C590" s="711"/>
      <c r="D590" s="711"/>
      <c r="E590" s="711"/>
      <c r="F590" s="711">
        <v>2</v>
      </c>
      <c r="G590" s="711">
        <v>3</v>
      </c>
      <c r="H590" s="711"/>
      <c r="I590" s="711"/>
      <c r="J590" s="711"/>
      <c r="K590" s="711">
        <v>2</v>
      </c>
      <c r="L590" s="711">
        <v>2</v>
      </c>
      <c r="M590" s="711" t="s">
        <v>893</v>
      </c>
    </row>
    <row r="591" spans="1:13">
      <c r="A591" s="711" t="s">
        <v>2362</v>
      </c>
      <c r="B591" s="711"/>
      <c r="C591" s="711"/>
      <c r="D591" s="711"/>
      <c r="E591" s="711"/>
      <c r="F591" s="711">
        <v>1</v>
      </c>
      <c r="G591" s="711"/>
      <c r="H591" s="711"/>
      <c r="I591" s="711"/>
      <c r="J591" s="711"/>
      <c r="K591" s="711">
        <v>1</v>
      </c>
      <c r="L591" s="711">
        <v>1</v>
      </c>
      <c r="M591" s="711" t="s">
        <v>26</v>
      </c>
    </row>
    <row r="592" spans="1:13">
      <c r="A592" s="711" t="s">
        <v>2393</v>
      </c>
      <c r="B592" s="711" t="s">
        <v>2377</v>
      </c>
      <c r="C592" s="711" t="s">
        <v>2551</v>
      </c>
      <c r="D592" s="711"/>
      <c r="E592" s="711"/>
      <c r="F592" s="711">
        <v>4</v>
      </c>
      <c r="G592" s="711">
        <v>2</v>
      </c>
      <c r="H592" s="711">
        <v>31</v>
      </c>
      <c r="I592" s="711"/>
      <c r="J592" s="711"/>
      <c r="K592" s="711">
        <v>3</v>
      </c>
      <c r="L592" s="711">
        <v>4</v>
      </c>
      <c r="M592" s="711" t="s">
        <v>3279</v>
      </c>
    </row>
    <row r="593" spans="1:13">
      <c r="A593" s="711" t="s">
        <v>2362</v>
      </c>
      <c r="B593" s="711" t="s">
        <v>3100</v>
      </c>
      <c r="C593" s="711" t="s">
        <v>2411</v>
      </c>
      <c r="D593" s="711"/>
      <c r="E593" s="711"/>
      <c r="F593" s="711">
        <v>1</v>
      </c>
      <c r="G593" s="711">
        <v>5</v>
      </c>
      <c r="H593" s="711">
        <v>8</v>
      </c>
      <c r="I593" s="711"/>
      <c r="J593" s="711"/>
      <c r="K593" s="711">
        <v>3</v>
      </c>
      <c r="L593" s="711">
        <v>1</v>
      </c>
      <c r="M593" s="711" t="s">
        <v>976</v>
      </c>
    </row>
    <row r="594" spans="1:13">
      <c r="A594" s="711" t="s">
        <v>2420</v>
      </c>
      <c r="B594" s="711" t="s">
        <v>2362</v>
      </c>
      <c r="C594" s="711"/>
      <c r="D594" s="711"/>
      <c r="E594" s="711"/>
      <c r="F594" s="711">
        <v>9</v>
      </c>
      <c r="G594" s="711">
        <v>1</v>
      </c>
      <c r="H594" s="711"/>
      <c r="I594" s="711"/>
      <c r="J594" s="711"/>
      <c r="K594" s="711">
        <v>2</v>
      </c>
      <c r="L594" s="711">
        <v>9</v>
      </c>
      <c r="M594" s="711" t="s">
        <v>3280</v>
      </c>
    </row>
    <row r="595" spans="1:13">
      <c r="A595" s="711" t="s">
        <v>2393</v>
      </c>
      <c r="B595" s="711" t="s">
        <v>3099</v>
      </c>
      <c r="C595" s="711"/>
      <c r="D595" s="711"/>
      <c r="E595" s="711"/>
      <c r="F595" s="711">
        <v>4</v>
      </c>
      <c r="G595" s="711">
        <v>3</v>
      </c>
      <c r="H595" s="711"/>
      <c r="I595" s="711"/>
      <c r="J595" s="711"/>
      <c r="K595" s="711">
        <v>2</v>
      </c>
      <c r="L595" s="711">
        <v>4</v>
      </c>
      <c r="M595" s="711" t="s">
        <v>3233</v>
      </c>
    </row>
    <row r="596" spans="1:13">
      <c r="A596" s="711" t="s">
        <v>2362</v>
      </c>
      <c r="B596" s="711" t="s">
        <v>2377</v>
      </c>
      <c r="C596" s="711" t="s">
        <v>2420</v>
      </c>
      <c r="D596" s="711" t="s">
        <v>2411</v>
      </c>
      <c r="E596" s="711"/>
      <c r="F596" s="711">
        <v>1</v>
      </c>
      <c r="G596" s="711">
        <v>2</v>
      </c>
      <c r="H596" s="711">
        <v>9</v>
      </c>
      <c r="I596" s="711">
        <v>8</v>
      </c>
      <c r="J596" s="711"/>
      <c r="K596" s="711">
        <v>4</v>
      </c>
      <c r="L596" s="711">
        <v>1</v>
      </c>
      <c r="M596" s="711" t="s">
        <v>3281</v>
      </c>
    </row>
    <row r="597" spans="1:13">
      <c r="A597" s="711" t="s">
        <v>3100</v>
      </c>
      <c r="B597" s="711" t="s">
        <v>2362</v>
      </c>
      <c r="C597" s="711" t="s">
        <v>2420</v>
      </c>
      <c r="D597" s="711" t="s">
        <v>2377</v>
      </c>
      <c r="E597" s="711"/>
      <c r="F597" s="711">
        <v>5</v>
      </c>
      <c r="G597" s="711">
        <v>1</v>
      </c>
      <c r="H597" s="711">
        <v>9</v>
      </c>
      <c r="I597" s="711">
        <v>2</v>
      </c>
      <c r="J597" s="711"/>
      <c r="K597" s="711">
        <v>4</v>
      </c>
      <c r="L597" s="711">
        <v>5</v>
      </c>
      <c r="M597" s="711" t="s">
        <v>3282</v>
      </c>
    </row>
    <row r="598" spans="1:13">
      <c r="A598" s="711" t="s">
        <v>3099</v>
      </c>
      <c r="B598" s="711"/>
      <c r="C598" s="711"/>
      <c r="D598" s="711"/>
      <c r="E598" s="711"/>
      <c r="F598" s="711">
        <v>3</v>
      </c>
      <c r="G598" s="711"/>
      <c r="H598" s="711"/>
      <c r="I598" s="711"/>
      <c r="J598" s="711"/>
      <c r="K598" s="711">
        <v>1</v>
      </c>
      <c r="L598" s="711">
        <v>3</v>
      </c>
      <c r="M598" s="711" t="s">
        <v>48</v>
      </c>
    </row>
    <row r="599" spans="1:13">
      <c r="A599" s="711" t="s">
        <v>2464</v>
      </c>
      <c r="B599" s="711" t="s">
        <v>2393</v>
      </c>
      <c r="C599" s="711"/>
      <c r="D599" s="711"/>
      <c r="E599" s="711"/>
      <c r="F599" s="711">
        <v>25</v>
      </c>
      <c r="G599" s="711">
        <v>4</v>
      </c>
      <c r="H599" s="711"/>
      <c r="I599" s="711"/>
      <c r="J599" s="711"/>
      <c r="K599" s="711">
        <v>2</v>
      </c>
      <c r="L599" s="711">
        <v>25</v>
      </c>
      <c r="M599" s="711" t="s">
        <v>3283</v>
      </c>
    </row>
    <row r="600" spans="1:13">
      <c r="A600" s="711" t="s">
        <v>2960</v>
      </c>
      <c r="B600" s="711"/>
      <c r="C600" s="711"/>
      <c r="D600" s="711"/>
      <c r="E600" s="711"/>
      <c r="F600" s="711">
        <v>31</v>
      </c>
      <c r="G600" s="711"/>
      <c r="H600" s="711"/>
      <c r="I600" s="711"/>
      <c r="J600" s="711"/>
      <c r="K600" s="711">
        <v>1</v>
      </c>
      <c r="L600" s="711">
        <v>31</v>
      </c>
      <c r="M600" s="711" t="s">
        <v>41</v>
      </c>
    </row>
    <row r="601" spans="1:13">
      <c r="A601" s="711" t="s">
        <v>2673</v>
      </c>
      <c r="B601" s="711" t="s">
        <v>2420</v>
      </c>
      <c r="C601" s="711" t="s">
        <v>2464</v>
      </c>
      <c r="D601" s="711"/>
      <c r="E601" s="711"/>
      <c r="F601" s="711">
        <v>31</v>
      </c>
      <c r="G601" s="711">
        <v>9</v>
      </c>
      <c r="H601" s="711">
        <v>25</v>
      </c>
      <c r="I601" s="711"/>
      <c r="J601" s="711"/>
      <c r="K601" s="711">
        <v>3</v>
      </c>
      <c r="L601" s="711">
        <v>31</v>
      </c>
      <c r="M601" s="711" t="s">
        <v>3284</v>
      </c>
    </row>
    <row r="602" spans="1:13">
      <c r="A602" s="711" t="s">
        <v>2420</v>
      </c>
      <c r="B602" s="711" t="s">
        <v>2443</v>
      </c>
      <c r="C602" s="711" t="s">
        <v>2505</v>
      </c>
      <c r="D602" s="711"/>
      <c r="E602" s="711"/>
      <c r="F602" s="711">
        <v>9</v>
      </c>
      <c r="G602" s="711">
        <v>15</v>
      </c>
      <c r="H602" s="711">
        <v>31</v>
      </c>
      <c r="I602" s="711"/>
      <c r="J602" s="711"/>
      <c r="K602" s="711">
        <v>3</v>
      </c>
      <c r="L602" s="711">
        <v>9</v>
      </c>
      <c r="M602" s="711" t="s">
        <v>3285</v>
      </c>
    </row>
    <row r="603" spans="1:13">
      <c r="A603" s="711" t="s">
        <v>2362</v>
      </c>
      <c r="B603" s="711" t="s">
        <v>2377</v>
      </c>
      <c r="C603" s="711" t="s">
        <v>3100</v>
      </c>
      <c r="D603" s="711" t="s">
        <v>3099</v>
      </c>
      <c r="E603" s="711" t="s">
        <v>3111</v>
      </c>
      <c r="F603" s="711">
        <v>1</v>
      </c>
      <c r="G603" s="711">
        <v>2</v>
      </c>
      <c r="H603" s="711">
        <v>5</v>
      </c>
      <c r="I603" s="711">
        <v>3</v>
      </c>
      <c r="J603" s="711">
        <v>31</v>
      </c>
      <c r="K603" s="711">
        <v>5</v>
      </c>
      <c r="L603" s="711">
        <v>1</v>
      </c>
      <c r="M603" s="711" t="s">
        <v>3462</v>
      </c>
    </row>
    <row r="604" spans="1:13">
      <c r="A604" s="711" t="s">
        <v>2994</v>
      </c>
      <c r="B604" s="711"/>
      <c r="C604" s="711"/>
      <c r="D604" s="711"/>
      <c r="E604" s="711"/>
      <c r="F604" s="711">
        <v>31</v>
      </c>
      <c r="G604" s="711"/>
      <c r="H604" s="711"/>
      <c r="I604" s="711"/>
      <c r="J604" s="711"/>
      <c r="K604" s="711">
        <v>1</v>
      </c>
      <c r="L604" s="711">
        <v>31</v>
      </c>
      <c r="M604" s="711" t="s">
        <v>41</v>
      </c>
    </row>
    <row r="605" spans="1:13">
      <c r="A605" s="711" t="s">
        <v>2394</v>
      </c>
      <c r="B605" s="711"/>
      <c r="C605" s="711"/>
      <c r="D605" s="711"/>
      <c r="E605" s="711"/>
      <c r="F605" s="711">
        <v>4</v>
      </c>
      <c r="G605" s="711"/>
      <c r="H605" s="711"/>
      <c r="I605" s="711"/>
      <c r="J605" s="711"/>
      <c r="K605" s="711">
        <v>1</v>
      </c>
      <c r="L605" s="711">
        <v>4</v>
      </c>
      <c r="M605" s="711" t="s">
        <v>39</v>
      </c>
    </row>
    <row r="606" spans="1:13">
      <c r="A606" s="711" t="s">
        <v>3099</v>
      </c>
      <c r="B606" s="711"/>
      <c r="C606" s="711"/>
      <c r="D606" s="711"/>
      <c r="E606" s="711"/>
      <c r="F606" s="711">
        <v>3</v>
      </c>
      <c r="G606" s="711"/>
      <c r="H606" s="711"/>
      <c r="I606" s="711"/>
      <c r="J606" s="711"/>
      <c r="K606" s="711">
        <v>1</v>
      </c>
      <c r="L606" s="711">
        <v>3</v>
      </c>
      <c r="M606" s="711" t="s">
        <v>48</v>
      </c>
    </row>
    <row r="607" spans="1:13">
      <c r="A607" s="711" t="s">
        <v>2362</v>
      </c>
      <c r="B607" s="711"/>
      <c r="C607" s="711"/>
      <c r="D607" s="711"/>
      <c r="E607" s="711"/>
      <c r="F607" s="711">
        <v>1</v>
      </c>
      <c r="G607" s="711"/>
      <c r="H607" s="711"/>
      <c r="I607" s="711"/>
      <c r="J607" s="711"/>
      <c r="K607" s="711">
        <v>1</v>
      </c>
      <c r="L607" s="711">
        <v>1</v>
      </c>
      <c r="M607" s="711" t="s">
        <v>26</v>
      </c>
    </row>
    <row r="608" spans="1:13">
      <c r="A608" s="711" t="s">
        <v>2434</v>
      </c>
      <c r="B608" s="711"/>
      <c r="C608" s="711"/>
      <c r="D608" s="711"/>
      <c r="E608" s="711"/>
      <c r="F608" s="711">
        <v>11</v>
      </c>
      <c r="G608" s="711"/>
      <c r="H608" s="711"/>
      <c r="I608" s="711"/>
      <c r="J608" s="711"/>
      <c r="K608" s="711">
        <v>1</v>
      </c>
      <c r="L608" s="711">
        <v>11</v>
      </c>
      <c r="M608" s="711" t="s">
        <v>38</v>
      </c>
    </row>
    <row r="609" spans="1:13">
      <c r="A609" s="711" t="s">
        <v>2362</v>
      </c>
      <c r="B609" s="711"/>
      <c r="C609" s="711"/>
      <c r="D609" s="711"/>
      <c r="E609" s="711"/>
      <c r="F609" s="711">
        <v>1</v>
      </c>
      <c r="G609" s="711"/>
      <c r="H609" s="711"/>
      <c r="I609" s="711"/>
      <c r="J609" s="711"/>
      <c r="K609" s="711">
        <v>1</v>
      </c>
      <c r="L609" s="711">
        <v>1</v>
      </c>
      <c r="M609" s="711" t="s">
        <v>26</v>
      </c>
    </row>
    <row r="610" spans="1:13">
      <c r="A610" s="711" t="s">
        <v>2394</v>
      </c>
      <c r="B610" s="711" t="s">
        <v>2420</v>
      </c>
      <c r="C610" s="711"/>
      <c r="D610" s="711"/>
      <c r="E610" s="711"/>
      <c r="F610" s="711">
        <v>4</v>
      </c>
      <c r="G610" s="711">
        <v>9</v>
      </c>
      <c r="H610" s="711"/>
      <c r="I610" s="711"/>
      <c r="J610" s="711"/>
      <c r="K610" s="711">
        <v>2</v>
      </c>
      <c r="L610" s="711">
        <v>4</v>
      </c>
      <c r="M610" s="711" t="s">
        <v>3286</v>
      </c>
    </row>
    <row r="611" spans="1:13">
      <c r="A611" s="711" t="s">
        <v>3099</v>
      </c>
      <c r="B611" s="711"/>
      <c r="C611" s="711"/>
      <c r="D611" s="711"/>
      <c r="E611" s="711"/>
      <c r="F611" s="711">
        <v>3</v>
      </c>
      <c r="G611" s="711"/>
      <c r="H611" s="711"/>
      <c r="I611" s="711"/>
      <c r="J611" s="711"/>
      <c r="K611" s="711">
        <v>1</v>
      </c>
      <c r="L611" s="711">
        <v>3</v>
      </c>
      <c r="M611" s="711" t="s">
        <v>48</v>
      </c>
    </row>
    <row r="612" spans="1:13">
      <c r="A612" s="711" t="s">
        <v>3099</v>
      </c>
      <c r="B612" s="711" t="s">
        <v>3100</v>
      </c>
      <c r="C612" s="711" t="s">
        <v>2420</v>
      </c>
      <c r="D612" s="711" t="s">
        <v>2377</v>
      </c>
      <c r="E612" s="711" t="s">
        <v>2393</v>
      </c>
      <c r="F612" s="711">
        <v>3</v>
      </c>
      <c r="G612" s="711">
        <v>5</v>
      </c>
      <c r="H612" s="711">
        <v>9</v>
      </c>
      <c r="I612" s="711">
        <v>2</v>
      </c>
      <c r="J612" s="711">
        <v>4</v>
      </c>
      <c r="K612" s="711">
        <v>5</v>
      </c>
      <c r="L612" s="711">
        <v>3</v>
      </c>
      <c r="M612" s="711" t="s">
        <v>3463</v>
      </c>
    </row>
    <row r="613" spans="1:13">
      <c r="A613" s="711" t="s">
        <v>2420</v>
      </c>
      <c r="B613" s="711" t="s">
        <v>2411</v>
      </c>
      <c r="C613" s="711"/>
      <c r="D613" s="711"/>
      <c r="E613" s="711"/>
      <c r="F613" s="711">
        <v>9</v>
      </c>
      <c r="G613" s="711">
        <v>8</v>
      </c>
      <c r="H613" s="711"/>
      <c r="I613" s="711"/>
      <c r="J613" s="711"/>
      <c r="K613" s="711">
        <v>2</v>
      </c>
      <c r="L613" s="711">
        <v>9</v>
      </c>
      <c r="M613" s="711" t="s">
        <v>3287</v>
      </c>
    </row>
    <row r="614" spans="1:13">
      <c r="A614" s="711" t="s">
        <v>2362</v>
      </c>
      <c r="B614" s="711"/>
      <c r="C614" s="711"/>
      <c r="D614" s="711"/>
      <c r="E614" s="711"/>
      <c r="F614" s="711">
        <v>1</v>
      </c>
      <c r="G614" s="711"/>
      <c r="H614" s="711"/>
      <c r="I614" s="711"/>
      <c r="J614" s="711"/>
      <c r="K614" s="711">
        <v>1</v>
      </c>
      <c r="L614" s="711">
        <v>1</v>
      </c>
      <c r="M614" s="711" t="s">
        <v>26</v>
      </c>
    </row>
    <row r="615" spans="1:13">
      <c r="A615" s="711" t="s">
        <v>3099</v>
      </c>
      <c r="B615" s="711"/>
      <c r="C615" s="711"/>
      <c r="D615" s="711"/>
      <c r="E615" s="711"/>
      <c r="F615" s="711">
        <v>3</v>
      </c>
      <c r="G615" s="711"/>
      <c r="H615" s="711"/>
      <c r="I615" s="711"/>
      <c r="J615" s="711"/>
      <c r="K615" s="711">
        <v>1</v>
      </c>
      <c r="L615" s="711">
        <v>3</v>
      </c>
      <c r="M615" s="711" t="s">
        <v>48</v>
      </c>
    </row>
    <row r="616" spans="1:13">
      <c r="A616" s="711" t="s">
        <v>2377</v>
      </c>
      <c r="B616" s="711"/>
      <c r="C616" s="711"/>
      <c r="D616" s="711"/>
      <c r="E616" s="711"/>
      <c r="F616" s="711">
        <v>2</v>
      </c>
      <c r="G616" s="711"/>
      <c r="H616" s="711"/>
      <c r="I616" s="711"/>
      <c r="J616" s="711"/>
      <c r="K616" s="711">
        <v>1</v>
      </c>
      <c r="L616" s="711">
        <v>2</v>
      </c>
      <c r="M616" s="711" t="s">
        <v>47</v>
      </c>
    </row>
    <row r="617" spans="1:13">
      <c r="A617" s="711" t="s">
        <v>3099</v>
      </c>
      <c r="B617" s="711"/>
      <c r="C617" s="711"/>
      <c r="D617" s="711"/>
      <c r="E617" s="711"/>
      <c r="F617" s="711">
        <v>3</v>
      </c>
      <c r="G617" s="711"/>
      <c r="H617" s="711"/>
      <c r="I617" s="711"/>
      <c r="J617" s="711"/>
      <c r="K617" s="711">
        <v>1</v>
      </c>
      <c r="L617" s="711">
        <v>3</v>
      </c>
      <c r="M617" s="711" t="s">
        <v>48</v>
      </c>
    </row>
    <row r="618" spans="1:13">
      <c r="A618" s="711" t="s">
        <v>2393</v>
      </c>
      <c r="B618" s="711" t="s">
        <v>3099</v>
      </c>
      <c r="C618" s="711"/>
      <c r="D618" s="711"/>
      <c r="E618" s="711"/>
      <c r="F618" s="711">
        <v>4</v>
      </c>
      <c r="G618" s="711">
        <v>3</v>
      </c>
      <c r="H618" s="711"/>
      <c r="I618" s="711"/>
      <c r="J618" s="711"/>
      <c r="K618" s="711">
        <v>2</v>
      </c>
      <c r="L618" s="711">
        <v>4</v>
      </c>
      <c r="M618" s="711" t="s">
        <v>3233</v>
      </c>
    </row>
    <row r="619" spans="1:13">
      <c r="A619" s="711" t="s">
        <v>2362</v>
      </c>
      <c r="B619" s="711"/>
      <c r="C619" s="711"/>
      <c r="D619" s="711"/>
      <c r="E619" s="711"/>
      <c r="F619" s="711">
        <v>1</v>
      </c>
      <c r="G619" s="711"/>
      <c r="H619" s="711"/>
      <c r="I619" s="711"/>
      <c r="J619" s="711"/>
      <c r="K619" s="711">
        <v>1</v>
      </c>
      <c r="L619" s="711">
        <v>1</v>
      </c>
      <c r="M619" s="711" t="s">
        <v>26</v>
      </c>
    </row>
    <row r="620" spans="1:13">
      <c r="A620" s="711" t="s">
        <v>2362</v>
      </c>
      <c r="B620" s="711" t="s">
        <v>3099</v>
      </c>
      <c r="C620" s="711" t="s">
        <v>2393</v>
      </c>
      <c r="D620" s="711" t="s">
        <v>2377</v>
      </c>
      <c r="E620" s="711"/>
      <c r="F620" s="711">
        <v>1</v>
      </c>
      <c r="G620" s="711">
        <v>3</v>
      </c>
      <c r="H620" s="711">
        <v>4</v>
      </c>
      <c r="I620" s="711">
        <v>2</v>
      </c>
      <c r="J620" s="711"/>
      <c r="K620" s="711">
        <v>4</v>
      </c>
      <c r="L620" s="711">
        <v>1</v>
      </c>
      <c r="M620" s="711" t="s">
        <v>3265</v>
      </c>
    </row>
    <row r="621" spans="1:13">
      <c r="A621" s="711" t="s">
        <v>2377</v>
      </c>
      <c r="B621" s="711" t="s">
        <v>2393</v>
      </c>
      <c r="C621" s="711" t="s">
        <v>2420</v>
      </c>
      <c r="D621" s="711" t="s">
        <v>2362</v>
      </c>
      <c r="E621" s="711"/>
      <c r="F621" s="711">
        <v>2</v>
      </c>
      <c r="G621" s="711">
        <v>4</v>
      </c>
      <c r="H621" s="711">
        <v>9</v>
      </c>
      <c r="I621" s="711">
        <v>1</v>
      </c>
      <c r="J621" s="711"/>
      <c r="K621" s="711">
        <v>4</v>
      </c>
      <c r="L621" s="711">
        <v>2</v>
      </c>
      <c r="M621" s="711" t="s">
        <v>3288</v>
      </c>
    </row>
    <row r="622" spans="1:13">
      <c r="A622" s="711" t="s">
        <v>3100</v>
      </c>
      <c r="B622" s="711" t="s">
        <v>2377</v>
      </c>
      <c r="C622" s="711"/>
      <c r="D622" s="711"/>
      <c r="E622" s="711"/>
      <c r="F622" s="711">
        <v>5</v>
      </c>
      <c r="G622" s="711">
        <v>2</v>
      </c>
      <c r="H622" s="711"/>
      <c r="I622" s="711"/>
      <c r="J622" s="711"/>
      <c r="K622" s="711">
        <v>2</v>
      </c>
      <c r="L622" s="711">
        <v>5</v>
      </c>
      <c r="M622" s="711" t="s">
        <v>3160</v>
      </c>
    </row>
    <row r="623" spans="1:13">
      <c r="A623" s="711" t="s">
        <v>2362</v>
      </c>
      <c r="B623" s="711" t="s">
        <v>2393</v>
      </c>
      <c r="C623" s="711" t="s">
        <v>2589</v>
      </c>
      <c r="D623" s="711" t="s">
        <v>3099</v>
      </c>
      <c r="E623" s="711" t="s">
        <v>2872</v>
      </c>
      <c r="F623" s="711">
        <v>1</v>
      </c>
      <c r="G623" s="711">
        <v>4</v>
      </c>
      <c r="H623" s="711">
        <v>31</v>
      </c>
      <c r="I623" s="711">
        <v>3</v>
      </c>
      <c r="J623" s="711">
        <v>31</v>
      </c>
      <c r="K623" s="711">
        <v>5</v>
      </c>
      <c r="L623" s="711">
        <v>1</v>
      </c>
      <c r="M623" s="711" t="s">
        <v>3464</v>
      </c>
    </row>
    <row r="624" spans="1:13">
      <c r="A624" s="711" t="s">
        <v>3101</v>
      </c>
      <c r="B624" s="711" t="s">
        <v>3099</v>
      </c>
      <c r="C624" s="711"/>
      <c r="D624" s="711"/>
      <c r="E624" s="711"/>
      <c r="F624" s="711">
        <v>6</v>
      </c>
      <c r="G624" s="711">
        <v>3</v>
      </c>
      <c r="H624" s="711"/>
      <c r="I624" s="711"/>
      <c r="J624" s="711"/>
      <c r="K624" s="711">
        <v>2</v>
      </c>
      <c r="L624" s="711">
        <v>6</v>
      </c>
      <c r="M624" s="711" t="s">
        <v>3153</v>
      </c>
    </row>
    <row r="625" spans="1:13">
      <c r="A625" s="711" t="s">
        <v>3099</v>
      </c>
      <c r="B625" s="711"/>
      <c r="C625" s="711"/>
      <c r="D625" s="711"/>
      <c r="E625" s="711"/>
      <c r="F625" s="711">
        <v>3</v>
      </c>
      <c r="G625" s="711"/>
      <c r="H625" s="711"/>
      <c r="I625" s="711"/>
      <c r="J625" s="711"/>
      <c r="K625" s="711">
        <v>1</v>
      </c>
      <c r="L625" s="711">
        <v>3</v>
      </c>
      <c r="M625" s="711" t="s">
        <v>48</v>
      </c>
    </row>
    <row r="626" spans="1:13">
      <c r="A626" s="711" t="s">
        <v>2411</v>
      </c>
      <c r="B626" s="711"/>
      <c r="C626" s="711"/>
      <c r="D626" s="711"/>
      <c r="E626" s="711"/>
      <c r="F626" s="711">
        <v>8</v>
      </c>
      <c r="G626" s="711"/>
      <c r="H626" s="711"/>
      <c r="I626" s="711"/>
      <c r="J626" s="711"/>
      <c r="K626" s="711">
        <v>1</v>
      </c>
      <c r="L626" s="711">
        <v>8</v>
      </c>
      <c r="M626" s="711" t="s">
        <v>51</v>
      </c>
    </row>
    <row r="627" spans="1:13">
      <c r="A627" s="711" t="s">
        <v>2995</v>
      </c>
      <c r="B627" s="711"/>
      <c r="C627" s="711"/>
      <c r="D627" s="711"/>
      <c r="E627" s="711"/>
      <c r="F627" s="711">
        <v>31</v>
      </c>
      <c r="G627" s="711"/>
      <c r="H627" s="711"/>
      <c r="I627" s="711"/>
      <c r="J627" s="711"/>
      <c r="K627" s="711">
        <v>1</v>
      </c>
      <c r="L627" s="711">
        <v>31</v>
      </c>
      <c r="M627" s="711" t="s">
        <v>41</v>
      </c>
    </row>
    <row r="628" spans="1:13">
      <c r="A628" s="711" t="s">
        <v>2511</v>
      </c>
      <c r="B628" s="711" t="s">
        <v>2479</v>
      </c>
      <c r="C628" s="711"/>
      <c r="D628" s="711"/>
      <c r="E628" s="711"/>
      <c r="F628" s="711">
        <v>31</v>
      </c>
      <c r="G628" s="711">
        <v>31</v>
      </c>
      <c r="H628" s="711"/>
      <c r="I628" s="711"/>
      <c r="J628" s="711"/>
      <c r="K628" s="711">
        <v>2</v>
      </c>
      <c r="L628" s="711">
        <v>31</v>
      </c>
      <c r="M628" s="711" t="s">
        <v>41</v>
      </c>
    </row>
    <row r="629" spans="1:13">
      <c r="A629" s="711" t="s">
        <v>2393</v>
      </c>
      <c r="B629" s="711"/>
      <c r="C629" s="711" t="s">
        <v>2409</v>
      </c>
      <c r="D629" s="711"/>
      <c r="E629" s="711"/>
      <c r="F629" s="711">
        <v>4</v>
      </c>
      <c r="G629" s="711"/>
      <c r="H629" s="711">
        <v>7</v>
      </c>
      <c r="I629" s="711"/>
      <c r="J629" s="711"/>
      <c r="K629" s="711">
        <v>2</v>
      </c>
      <c r="L629" s="711">
        <v>4</v>
      </c>
      <c r="M629" s="711" t="s">
        <v>3289</v>
      </c>
    </row>
    <row r="630" spans="1:13">
      <c r="A630" s="711" t="s">
        <v>2996</v>
      </c>
      <c r="B630" s="711" t="s">
        <v>3039</v>
      </c>
      <c r="C630" s="711" t="s">
        <v>2423</v>
      </c>
      <c r="D630" s="711"/>
      <c r="E630" s="711"/>
      <c r="F630" s="711">
        <v>31</v>
      </c>
      <c r="G630" s="711">
        <v>31</v>
      </c>
      <c r="H630" s="711">
        <v>9</v>
      </c>
      <c r="I630" s="711"/>
      <c r="J630" s="711"/>
      <c r="K630" s="711">
        <v>3</v>
      </c>
      <c r="L630" s="711">
        <v>31</v>
      </c>
      <c r="M630" s="711" t="s">
        <v>3146</v>
      </c>
    </row>
    <row r="631" spans="1:13">
      <c r="A631" s="711" t="s">
        <v>2362</v>
      </c>
      <c r="B631" s="711" t="s">
        <v>2409</v>
      </c>
      <c r="C631" s="711" t="s">
        <v>2377</v>
      </c>
      <c r="D631" s="711" t="s">
        <v>3099</v>
      </c>
      <c r="E631" s="711"/>
      <c r="F631" s="711">
        <v>1</v>
      </c>
      <c r="G631" s="711">
        <v>7</v>
      </c>
      <c r="H631" s="711">
        <v>2</v>
      </c>
      <c r="I631" s="711">
        <v>3</v>
      </c>
      <c r="J631" s="711"/>
      <c r="K631" s="711">
        <v>4</v>
      </c>
      <c r="L631" s="711">
        <v>1</v>
      </c>
      <c r="M631" s="711" t="s">
        <v>3290</v>
      </c>
    </row>
    <row r="632" spans="1:13">
      <c r="A632" s="711" t="s">
        <v>2997</v>
      </c>
      <c r="B632" s="711"/>
      <c r="C632" s="711"/>
      <c r="D632" s="711"/>
      <c r="E632" s="711"/>
      <c r="F632" s="711">
        <v>31</v>
      </c>
      <c r="G632" s="711"/>
      <c r="H632" s="711"/>
      <c r="I632" s="711"/>
      <c r="J632" s="711"/>
      <c r="K632" s="711">
        <v>1</v>
      </c>
      <c r="L632" s="711">
        <v>31</v>
      </c>
      <c r="M632" s="711" t="s">
        <v>41</v>
      </c>
    </row>
    <row r="633" spans="1:13">
      <c r="A633" s="711" t="s">
        <v>3099</v>
      </c>
      <c r="B633" s="711"/>
      <c r="C633" s="711"/>
      <c r="D633" s="711"/>
      <c r="E633" s="711"/>
      <c r="F633" s="711">
        <v>3</v>
      </c>
      <c r="G633" s="711"/>
      <c r="H633" s="711"/>
      <c r="I633" s="711"/>
      <c r="J633" s="711"/>
      <c r="K633" s="711">
        <v>1</v>
      </c>
      <c r="L633" s="711">
        <v>3</v>
      </c>
      <c r="M633" s="711" t="s">
        <v>48</v>
      </c>
    </row>
    <row r="634" spans="1:13">
      <c r="A634" s="711" t="s">
        <v>2377</v>
      </c>
      <c r="B634" s="711" t="s">
        <v>2394</v>
      </c>
      <c r="C634" s="711" t="s">
        <v>3099</v>
      </c>
      <c r="D634" s="711"/>
      <c r="E634" s="711"/>
      <c r="F634" s="711">
        <v>2</v>
      </c>
      <c r="G634" s="711">
        <v>4</v>
      </c>
      <c r="H634" s="711">
        <v>3</v>
      </c>
      <c r="I634" s="711"/>
      <c r="J634" s="711"/>
      <c r="K634" s="711">
        <v>3</v>
      </c>
      <c r="L634" s="711">
        <v>2</v>
      </c>
      <c r="M634" s="711" t="s">
        <v>3291</v>
      </c>
    </row>
    <row r="635" spans="1:13">
      <c r="A635" s="711" t="s">
        <v>1091</v>
      </c>
      <c r="B635" s="711"/>
      <c r="C635" s="711"/>
      <c r="D635" s="711"/>
      <c r="E635" s="711"/>
      <c r="F635" s="711">
        <v>31</v>
      </c>
      <c r="G635" s="711"/>
      <c r="H635" s="711"/>
      <c r="I635" s="711"/>
      <c r="J635" s="711"/>
      <c r="K635" s="711">
        <v>1</v>
      </c>
      <c r="L635" s="711">
        <v>31</v>
      </c>
      <c r="M635" s="711" t="s">
        <v>41</v>
      </c>
    </row>
    <row r="636" spans="1:13">
      <c r="A636" s="711" t="s">
        <v>3101</v>
      </c>
      <c r="B636" s="711" t="s">
        <v>3099</v>
      </c>
      <c r="C636" s="711"/>
      <c r="D636" s="711"/>
      <c r="E636" s="711"/>
      <c r="F636" s="711">
        <v>6</v>
      </c>
      <c r="G636" s="711">
        <v>3</v>
      </c>
      <c r="H636" s="711"/>
      <c r="I636" s="711"/>
      <c r="J636" s="711"/>
      <c r="K636" s="711">
        <v>2</v>
      </c>
      <c r="L636" s="711">
        <v>6</v>
      </c>
      <c r="M636" s="711" t="s">
        <v>3153</v>
      </c>
    </row>
    <row r="637" spans="1:13">
      <c r="A637" s="711" t="s">
        <v>2377</v>
      </c>
      <c r="B637" s="711" t="s">
        <v>2393</v>
      </c>
      <c r="C637" s="711" t="s">
        <v>3067</v>
      </c>
      <c r="D637" s="711"/>
      <c r="E637" s="711"/>
      <c r="F637" s="711">
        <v>2</v>
      </c>
      <c r="G637" s="711">
        <v>4</v>
      </c>
      <c r="H637" s="711">
        <v>31</v>
      </c>
      <c r="I637" s="711"/>
      <c r="J637" s="711"/>
      <c r="K637" s="711">
        <v>3</v>
      </c>
      <c r="L637" s="711">
        <v>2</v>
      </c>
      <c r="M637" s="711" t="s">
        <v>3292</v>
      </c>
    </row>
    <row r="638" spans="1:13">
      <c r="A638" s="711" t="s">
        <v>3099</v>
      </c>
      <c r="B638" s="711" t="s">
        <v>2394</v>
      </c>
      <c r="C638" s="711" t="s">
        <v>2420</v>
      </c>
      <c r="D638" s="711"/>
      <c r="E638" s="711"/>
      <c r="F638" s="711">
        <v>3</v>
      </c>
      <c r="G638" s="711">
        <v>4</v>
      </c>
      <c r="H638" s="711">
        <v>9</v>
      </c>
      <c r="I638" s="711"/>
      <c r="J638" s="711"/>
      <c r="K638" s="711">
        <v>3</v>
      </c>
      <c r="L638" s="711">
        <v>3</v>
      </c>
      <c r="M638" s="711" t="s">
        <v>2320</v>
      </c>
    </row>
    <row r="639" spans="1:13">
      <c r="A639" s="711" t="s">
        <v>2998</v>
      </c>
      <c r="B639" s="711"/>
      <c r="C639" s="711"/>
      <c r="D639" s="711"/>
      <c r="E639" s="711"/>
      <c r="F639" s="711">
        <v>31</v>
      </c>
      <c r="G639" s="711"/>
      <c r="H639" s="711"/>
      <c r="I639" s="711"/>
      <c r="J639" s="711"/>
      <c r="K639" s="711">
        <v>1</v>
      </c>
      <c r="L639" s="711">
        <v>31</v>
      </c>
      <c r="M639" s="711" t="s">
        <v>41</v>
      </c>
    </row>
    <row r="640" spans="1:13">
      <c r="A640" s="711" t="s">
        <v>3099</v>
      </c>
      <c r="B640" s="711" t="s">
        <v>2394</v>
      </c>
      <c r="C640" s="711"/>
      <c r="D640" s="711"/>
      <c r="E640" s="711"/>
      <c r="F640" s="711">
        <v>3</v>
      </c>
      <c r="G640" s="711">
        <v>4</v>
      </c>
      <c r="H640" s="711"/>
      <c r="I640" s="711"/>
      <c r="J640" s="711"/>
      <c r="K640" s="711">
        <v>2</v>
      </c>
      <c r="L640" s="711">
        <v>3</v>
      </c>
      <c r="M640" s="711" t="s">
        <v>983</v>
      </c>
    </row>
    <row r="641" spans="1:13">
      <c r="A641" s="711" t="s">
        <v>3099</v>
      </c>
      <c r="B641" s="711"/>
      <c r="C641" s="711"/>
      <c r="D641" s="711"/>
      <c r="E641" s="711"/>
      <c r="F641" s="711">
        <v>3</v>
      </c>
      <c r="G641" s="711"/>
      <c r="H641" s="711"/>
      <c r="I641" s="711"/>
      <c r="J641" s="711"/>
      <c r="K641" s="711">
        <v>1</v>
      </c>
      <c r="L641" s="711">
        <v>3</v>
      </c>
      <c r="M641" s="711" t="s">
        <v>48</v>
      </c>
    </row>
    <row r="642" spans="1:13">
      <c r="A642" s="711" t="s">
        <v>3099</v>
      </c>
      <c r="B642" s="711"/>
      <c r="C642" s="711"/>
      <c r="D642" s="711"/>
      <c r="E642" s="711"/>
      <c r="F642" s="711">
        <v>3</v>
      </c>
      <c r="G642" s="711"/>
      <c r="H642" s="711"/>
      <c r="I642" s="711"/>
      <c r="J642" s="711"/>
      <c r="K642" s="711">
        <v>1</v>
      </c>
      <c r="L642" s="711">
        <v>3</v>
      </c>
      <c r="M642" s="711" t="s">
        <v>48</v>
      </c>
    </row>
    <row r="643" spans="1:13">
      <c r="A643" s="711" t="s">
        <v>2511</v>
      </c>
      <c r="B643" s="711" t="s">
        <v>2377</v>
      </c>
      <c r="C643" s="711"/>
      <c r="D643" s="711"/>
      <c r="E643" s="711"/>
      <c r="F643" s="711">
        <v>31</v>
      </c>
      <c r="G643" s="711">
        <v>2</v>
      </c>
      <c r="H643" s="711"/>
      <c r="I643" s="711"/>
      <c r="J643" s="711"/>
      <c r="K643" s="711">
        <v>2</v>
      </c>
      <c r="L643" s="711">
        <v>31</v>
      </c>
      <c r="M643" s="711" t="s">
        <v>3249</v>
      </c>
    </row>
    <row r="644" spans="1:13">
      <c r="A644" s="711" t="s">
        <v>2377</v>
      </c>
      <c r="B644" s="711" t="s">
        <v>2409</v>
      </c>
      <c r="C644" s="711"/>
      <c r="D644" s="711"/>
      <c r="E644" s="711"/>
      <c r="F644" s="711">
        <v>2</v>
      </c>
      <c r="G644" s="711">
        <v>7</v>
      </c>
      <c r="H644" s="711"/>
      <c r="I644" s="711"/>
      <c r="J644" s="711"/>
      <c r="K644" s="711">
        <v>2</v>
      </c>
      <c r="L644" s="711">
        <v>2</v>
      </c>
      <c r="M644" s="711" t="s">
        <v>947</v>
      </c>
    </row>
    <row r="645" spans="1:13">
      <c r="A645" s="711" t="s">
        <v>2479</v>
      </c>
      <c r="B645" s="711"/>
      <c r="C645" s="711"/>
      <c r="D645" s="711"/>
      <c r="E645" s="711"/>
      <c r="F645" s="711">
        <v>31</v>
      </c>
      <c r="G645" s="711"/>
      <c r="H645" s="711"/>
      <c r="I645" s="711"/>
      <c r="J645" s="711"/>
      <c r="K645" s="711">
        <v>1</v>
      </c>
      <c r="L645" s="711">
        <v>31</v>
      </c>
      <c r="M645" s="711" t="s">
        <v>41</v>
      </c>
    </row>
    <row r="646" spans="1:13">
      <c r="A646" s="711" t="s">
        <v>2377</v>
      </c>
      <c r="B646" s="711" t="s">
        <v>2362</v>
      </c>
      <c r="C646" s="711"/>
      <c r="D646" s="711"/>
      <c r="E646" s="711"/>
      <c r="F646" s="711">
        <v>2</v>
      </c>
      <c r="G646" s="711">
        <v>1</v>
      </c>
      <c r="H646" s="711"/>
      <c r="I646" s="711"/>
      <c r="J646" s="711"/>
      <c r="K646" s="711">
        <v>2</v>
      </c>
      <c r="L646" s="711">
        <v>2</v>
      </c>
      <c r="M646" s="711" t="s">
        <v>3180</v>
      </c>
    </row>
    <row r="647" spans="1:13">
      <c r="A647" s="711" t="s">
        <v>2377</v>
      </c>
      <c r="B647" s="711"/>
      <c r="C647" s="711"/>
      <c r="D647" s="711"/>
      <c r="E647" s="711"/>
      <c r="F647" s="711">
        <v>2</v>
      </c>
      <c r="G647" s="711"/>
      <c r="H647" s="711"/>
      <c r="I647" s="711"/>
      <c r="J647" s="711"/>
      <c r="K647" s="711">
        <v>1</v>
      </c>
      <c r="L647" s="711">
        <v>2</v>
      </c>
      <c r="M647" s="711" t="s">
        <v>47</v>
      </c>
    </row>
    <row r="648" spans="1:13">
      <c r="A648" s="711" t="s">
        <v>2393</v>
      </c>
      <c r="B648" s="711" t="s">
        <v>2362</v>
      </c>
      <c r="C648" s="711" t="s">
        <v>3099</v>
      </c>
      <c r="D648" s="711" t="s">
        <v>2377</v>
      </c>
      <c r="E648" s="711" t="s">
        <v>2409</v>
      </c>
      <c r="F648" s="711">
        <v>4</v>
      </c>
      <c r="G648" s="711">
        <v>1</v>
      </c>
      <c r="H648" s="711">
        <v>3</v>
      </c>
      <c r="I648" s="711">
        <v>2</v>
      </c>
      <c r="J648" s="711">
        <v>7</v>
      </c>
      <c r="K648" s="711">
        <v>5</v>
      </c>
      <c r="L648" s="711">
        <v>4</v>
      </c>
      <c r="M648" s="711" t="s">
        <v>3465</v>
      </c>
    </row>
    <row r="649" spans="1:13">
      <c r="A649" s="711" t="s">
        <v>2377</v>
      </c>
      <c r="B649" s="711" t="s">
        <v>3099</v>
      </c>
      <c r="C649" s="711"/>
      <c r="D649" s="711"/>
      <c r="E649" s="711"/>
      <c r="F649" s="711">
        <v>2</v>
      </c>
      <c r="G649" s="711">
        <v>3</v>
      </c>
      <c r="H649" s="711"/>
      <c r="I649" s="711"/>
      <c r="J649" s="711"/>
      <c r="K649" s="711">
        <v>2</v>
      </c>
      <c r="L649" s="711">
        <v>2</v>
      </c>
      <c r="M649" s="711" t="s">
        <v>893</v>
      </c>
    </row>
    <row r="650" spans="1:13">
      <c r="A650" s="711" t="s">
        <v>2377</v>
      </c>
      <c r="B650" s="711" t="s">
        <v>3099</v>
      </c>
      <c r="C650" s="711"/>
      <c r="D650" s="711"/>
      <c r="E650" s="711"/>
      <c r="F650" s="711">
        <v>2</v>
      </c>
      <c r="G650" s="711">
        <v>3</v>
      </c>
      <c r="H650" s="711"/>
      <c r="I650" s="711"/>
      <c r="J650" s="711"/>
      <c r="K650" s="711">
        <v>2</v>
      </c>
      <c r="L650" s="711">
        <v>2</v>
      </c>
      <c r="M650" s="711" t="s">
        <v>893</v>
      </c>
    </row>
    <row r="651" spans="1:13">
      <c r="A651" s="711" t="s">
        <v>2362</v>
      </c>
      <c r="B651" s="711" t="s">
        <v>2411</v>
      </c>
      <c r="C651" s="711"/>
      <c r="D651" s="711"/>
      <c r="E651" s="711"/>
      <c r="F651" s="711">
        <v>1</v>
      </c>
      <c r="G651" s="711">
        <v>8</v>
      </c>
      <c r="H651" s="711"/>
      <c r="I651" s="711"/>
      <c r="J651" s="711"/>
      <c r="K651" s="711">
        <v>2</v>
      </c>
      <c r="L651" s="711">
        <v>1</v>
      </c>
      <c r="M651" s="711" t="s">
        <v>896</v>
      </c>
    </row>
    <row r="652" spans="1:13">
      <c r="A652" s="711" t="s">
        <v>2377</v>
      </c>
      <c r="B652" s="711"/>
      <c r="C652" s="711"/>
      <c r="D652" s="711"/>
      <c r="E652" s="711"/>
      <c r="F652" s="711">
        <v>2</v>
      </c>
      <c r="G652" s="711"/>
      <c r="H652" s="711"/>
      <c r="I652" s="711"/>
      <c r="J652" s="711"/>
      <c r="K652" s="711">
        <v>1</v>
      </c>
      <c r="L652" s="711">
        <v>2</v>
      </c>
      <c r="M652" s="711" t="s">
        <v>47</v>
      </c>
    </row>
    <row r="653" spans="1:13">
      <c r="A653" s="711" t="s">
        <v>3099</v>
      </c>
      <c r="B653" s="711"/>
      <c r="C653" s="711"/>
      <c r="D653" s="711"/>
      <c r="E653" s="711"/>
      <c r="F653" s="711">
        <v>3</v>
      </c>
      <c r="G653" s="711"/>
      <c r="H653" s="711"/>
      <c r="I653" s="711"/>
      <c r="J653" s="711"/>
      <c r="K653" s="711">
        <v>1</v>
      </c>
      <c r="L653" s="711">
        <v>3</v>
      </c>
      <c r="M653" s="711" t="s">
        <v>48</v>
      </c>
    </row>
    <row r="654" spans="1:13">
      <c r="A654" s="711" t="s">
        <v>2409</v>
      </c>
      <c r="B654" s="711"/>
      <c r="C654" s="711"/>
      <c r="D654" s="711"/>
      <c r="E654" s="711"/>
      <c r="F654" s="711">
        <v>7</v>
      </c>
      <c r="G654" s="711"/>
      <c r="H654" s="711"/>
      <c r="I654" s="711"/>
      <c r="J654" s="711"/>
      <c r="K654" s="711">
        <v>1</v>
      </c>
      <c r="L654" s="711">
        <v>7</v>
      </c>
      <c r="M654" s="711" t="s">
        <v>34</v>
      </c>
    </row>
    <row r="655" spans="1:13">
      <c r="A655" s="711" t="s">
        <v>2393</v>
      </c>
      <c r="B655" s="711"/>
      <c r="C655" s="711"/>
      <c r="D655" s="711"/>
      <c r="E655" s="711"/>
      <c r="F655" s="711">
        <v>4</v>
      </c>
      <c r="G655" s="711"/>
      <c r="H655" s="711"/>
      <c r="I655" s="711"/>
      <c r="J655" s="711"/>
      <c r="K655" s="711">
        <v>1</v>
      </c>
      <c r="L655" s="711">
        <v>4</v>
      </c>
      <c r="M655" s="711" t="s">
        <v>39</v>
      </c>
    </row>
    <row r="656" spans="1:13">
      <c r="A656" s="711" t="s">
        <v>2377</v>
      </c>
      <c r="B656" s="711" t="s">
        <v>2409</v>
      </c>
      <c r="C656" s="711"/>
      <c r="D656" s="711"/>
      <c r="E656" s="711"/>
      <c r="F656" s="711">
        <v>2</v>
      </c>
      <c r="G656" s="711">
        <v>7</v>
      </c>
      <c r="H656" s="711"/>
      <c r="I656" s="711"/>
      <c r="J656" s="711"/>
      <c r="K656" s="711">
        <v>2</v>
      </c>
      <c r="L656" s="711">
        <v>2</v>
      </c>
      <c r="M656" s="711" t="s">
        <v>947</v>
      </c>
    </row>
    <row r="657" spans="1:13">
      <c r="A657" s="711" t="s">
        <v>2377</v>
      </c>
      <c r="B657" s="711"/>
      <c r="C657" s="711"/>
      <c r="D657" s="711"/>
      <c r="E657" s="711"/>
      <c r="F657" s="711">
        <v>2</v>
      </c>
      <c r="G657" s="711"/>
      <c r="H657" s="711"/>
      <c r="I657" s="711"/>
      <c r="J657" s="711"/>
      <c r="K657" s="711">
        <v>1</v>
      </c>
      <c r="L657" s="711">
        <v>2</v>
      </c>
      <c r="M657" s="711" t="s">
        <v>47</v>
      </c>
    </row>
    <row r="658" spans="1:13">
      <c r="A658" s="711" t="s">
        <v>2394</v>
      </c>
      <c r="B658" s="711" t="s">
        <v>2362</v>
      </c>
      <c r="C658" s="711"/>
      <c r="D658" s="711"/>
      <c r="E658" s="711"/>
      <c r="F658" s="711">
        <v>4</v>
      </c>
      <c r="G658" s="711">
        <v>1</v>
      </c>
      <c r="H658" s="711"/>
      <c r="I658" s="711"/>
      <c r="J658" s="711"/>
      <c r="K658" s="711">
        <v>2</v>
      </c>
      <c r="L658" s="711">
        <v>4</v>
      </c>
      <c r="M658" s="711" t="s">
        <v>3195</v>
      </c>
    </row>
    <row r="659" spans="1:13">
      <c r="A659" s="711" t="s">
        <v>2409</v>
      </c>
      <c r="B659" s="711"/>
      <c r="C659" s="711"/>
      <c r="D659" s="711"/>
      <c r="E659" s="711"/>
      <c r="F659" s="711">
        <v>7</v>
      </c>
      <c r="G659" s="711"/>
      <c r="H659" s="711"/>
      <c r="I659" s="711"/>
      <c r="J659" s="711"/>
      <c r="K659" s="711">
        <v>1</v>
      </c>
      <c r="L659" s="711">
        <v>7</v>
      </c>
      <c r="M659" s="711" t="s">
        <v>34</v>
      </c>
    </row>
    <row r="660" spans="1:13">
      <c r="A660" s="711" t="s">
        <v>2420</v>
      </c>
      <c r="B660" s="711" t="s">
        <v>2394</v>
      </c>
      <c r="C660" s="711" t="s">
        <v>2377</v>
      </c>
      <c r="D660" s="711"/>
      <c r="E660" s="711"/>
      <c r="F660" s="711">
        <v>9</v>
      </c>
      <c r="G660" s="711">
        <v>4</v>
      </c>
      <c r="H660" s="711">
        <v>2</v>
      </c>
      <c r="I660" s="711"/>
      <c r="J660" s="711"/>
      <c r="K660" s="711">
        <v>3</v>
      </c>
      <c r="L660" s="711">
        <v>9</v>
      </c>
      <c r="M660" s="711" t="s">
        <v>3293</v>
      </c>
    </row>
    <row r="661" spans="1:13">
      <c r="A661" s="711" t="s">
        <v>2377</v>
      </c>
      <c r="B661" s="711" t="s">
        <v>2394</v>
      </c>
      <c r="C661" s="711" t="s">
        <v>2420</v>
      </c>
      <c r="D661" s="711"/>
      <c r="E661" s="711"/>
      <c r="F661" s="711">
        <v>2</v>
      </c>
      <c r="G661" s="711">
        <v>4</v>
      </c>
      <c r="H661" s="711">
        <v>9</v>
      </c>
      <c r="I661" s="711"/>
      <c r="J661" s="711"/>
      <c r="K661" s="711">
        <v>3</v>
      </c>
      <c r="L661" s="711">
        <v>2</v>
      </c>
      <c r="M661" s="711" t="s">
        <v>3294</v>
      </c>
    </row>
    <row r="662" spans="1:13">
      <c r="A662" s="711" t="s">
        <v>3099</v>
      </c>
      <c r="B662" s="711" t="s">
        <v>2394</v>
      </c>
      <c r="C662" s="711" t="s">
        <v>2420</v>
      </c>
      <c r="D662" s="711"/>
      <c r="E662" s="711"/>
      <c r="F662" s="711">
        <v>3</v>
      </c>
      <c r="G662" s="711">
        <v>4</v>
      </c>
      <c r="H662" s="711">
        <v>9</v>
      </c>
      <c r="I662" s="711"/>
      <c r="J662" s="711"/>
      <c r="K662" s="711">
        <v>3</v>
      </c>
      <c r="L662" s="711">
        <v>3</v>
      </c>
      <c r="M662" s="711" t="s">
        <v>2320</v>
      </c>
    </row>
    <row r="663" spans="1:13">
      <c r="A663" s="711" t="s">
        <v>2362</v>
      </c>
      <c r="B663" s="711" t="s">
        <v>2393</v>
      </c>
      <c r="C663" s="711" t="s">
        <v>3099</v>
      </c>
      <c r="D663" s="711" t="s">
        <v>2409</v>
      </c>
      <c r="E663" s="711" t="s">
        <v>2377</v>
      </c>
      <c r="F663" s="711">
        <v>1</v>
      </c>
      <c r="G663" s="711">
        <v>4</v>
      </c>
      <c r="H663" s="711">
        <v>3</v>
      </c>
      <c r="I663" s="711">
        <v>7</v>
      </c>
      <c r="J663" s="711">
        <v>2</v>
      </c>
      <c r="K663" s="711">
        <v>5</v>
      </c>
      <c r="L663" s="711">
        <v>1</v>
      </c>
      <c r="M663" s="711" t="s">
        <v>3466</v>
      </c>
    </row>
    <row r="664" spans="1:13">
      <c r="A664" s="711" t="s">
        <v>2362</v>
      </c>
      <c r="B664" s="711"/>
      <c r="C664" s="711"/>
      <c r="D664" s="711"/>
      <c r="E664" s="711"/>
      <c r="F664" s="711">
        <v>1</v>
      </c>
      <c r="G664" s="711"/>
      <c r="H664" s="711"/>
      <c r="I664" s="711"/>
      <c r="J664" s="711"/>
      <c r="K664" s="711">
        <v>1</v>
      </c>
      <c r="L664" s="711">
        <v>1</v>
      </c>
      <c r="M664" s="711" t="s">
        <v>26</v>
      </c>
    </row>
    <row r="665" spans="1:13">
      <c r="A665" s="711" t="s">
        <v>2362</v>
      </c>
      <c r="B665" s="711"/>
      <c r="C665" s="711"/>
      <c r="D665" s="711"/>
      <c r="E665" s="711"/>
      <c r="F665" s="711">
        <v>1</v>
      </c>
      <c r="G665" s="711"/>
      <c r="H665" s="711"/>
      <c r="I665" s="711"/>
      <c r="J665" s="711"/>
      <c r="K665" s="711">
        <v>1</v>
      </c>
      <c r="L665" s="711">
        <v>1</v>
      </c>
      <c r="M665" s="711" t="s">
        <v>26</v>
      </c>
    </row>
    <row r="666" spans="1:13">
      <c r="A666" s="711" t="s">
        <v>2393</v>
      </c>
      <c r="B666" s="711" t="s">
        <v>3099</v>
      </c>
      <c r="C666" s="711" t="s">
        <v>2377</v>
      </c>
      <c r="D666" s="711" t="s">
        <v>2409</v>
      </c>
      <c r="E666" s="711"/>
      <c r="F666" s="711">
        <v>4</v>
      </c>
      <c r="G666" s="711">
        <v>3</v>
      </c>
      <c r="H666" s="711">
        <v>2</v>
      </c>
      <c r="I666" s="711">
        <v>7</v>
      </c>
      <c r="J666" s="711"/>
      <c r="K666" s="711">
        <v>4</v>
      </c>
      <c r="L666" s="711">
        <v>4</v>
      </c>
      <c r="M666" s="711" t="s">
        <v>3295</v>
      </c>
    </row>
    <row r="667" spans="1:13">
      <c r="A667" s="711" t="s">
        <v>2409</v>
      </c>
      <c r="B667" s="711" t="s">
        <v>2393</v>
      </c>
      <c r="C667" s="711" t="s">
        <v>2434</v>
      </c>
      <c r="D667" s="711" t="s">
        <v>2377</v>
      </c>
      <c r="E667" s="711" t="s">
        <v>3099</v>
      </c>
      <c r="F667" s="711">
        <v>7</v>
      </c>
      <c r="G667" s="711">
        <v>4</v>
      </c>
      <c r="H667" s="711">
        <v>11</v>
      </c>
      <c r="I667" s="711">
        <v>2</v>
      </c>
      <c r="J667" s="711">
        <v>3</v>
      </c>
      <c r="K667" s="711">
        <v>5</v>
      </c>
      <c r="L667" s="711">
        <v>7</v>
      </c>
      <c r="M667" s="711" t="s">
        <v>3467</v>
      </c>
    </row>
    <row r="668" spans="1:13">
      <c r="A668" s="711" t="s">
        <v>3099</v>
      </c>
      <c r="B668" s="711" t="s">
        <v>2420</v>
      </c>
      <c r="C668" s="711" t="s">
        <v>2464</v>
      </c>
      <c r="D668" s="711"/>
      <c r="E668" s="711"/>
      <c r="F668" s="711">
        <v>3</v>
      </c>
      <c r="G668" s="711">
        <v>9</v>
      </c>
      <c r="H668" s="711">
        <v>25</v>
      </c>
      <c r="I668" s="711"/>
      <c r="J668" s="711"/>
      <c r="K668" s="711">
        <v>3</v>
      </c>
      <c r="L668" s="711">
        <v>3</v>
      </c>
      <c r="M668" s="711" t="s">
        <v>3296</v>
      </c>
    </row>
    <row r="669" spans="1:13">
      <c r="A669" s="711" t="s">
        <v>2362</v>
      </c>
      <c r="B669" s="711"/>
      <c r="C669" s="711"/>
      <c r="D669" s="711"/>
      <c r="E669" s="711"/>
      <c r="F669" s="711">
        <v>1</v>
      </c>
      <c r="G669" s="711"/>
      <c r="H669" s="711"/>
      <c r="I669" s="711"/>
      <c r="J669" s="711"/>
      <c r="K669" s="711">
        <v>1</v>
      </c>
      <c r="L669" s="711">
        <v>1</v>
      </c>
      <c r="M669" s="711" t="s">
        <v>26</v>
      </c>
    </row>
    <row r="670" spans="1:13">
      <c r="A670" s="711" t="s">
        <v>2394</v>
      </c>
      <c r="B670" s="711" t="s">
        <v>2420</v>
      </c>
      <c r="C670" s="711" t="s">
        <v>2377</v>
      </c>
      <c r="D670" s="711"/>
      <c r="E670" s="711"/>
      <c r="F670" s="711">
        <v>4</v>
      </c>
      <c r="G670" s="711">
        <v>9</v>
      </c>
      <c r="H670" s="711">
        <v>2</v>
      </c>
      <c r="I670" s="711"/>
      <c r="J670" s="711"/>
      <c r="K670" s="711">
        <v>3</v>
      </c>
      <c r="L670" s="711">
        <v>4</v>
      </c>
      <c r="M670" s="711" t="s">
        <v>3297</v>
      </c>
    </row>
    <row r="671" spans="1:13">
      <c r="A671" s="711" t="s">
        <v>2362</v>
      </c>
      <c r="B671" s="711"/>
      <c r="C671" s="711"/>
      <c r="D671" s="711"/>
      <c r="E671" s="711"/>
      <c r="F671" s="711">
        <v>1</v>
      </c>
      <c r="G671" s="711"/>
      <c r="H671" s="711"/>
      <c r="I671" s="711"/>
      <c r="J671" s="711"/>
      <c r="K671" s="711">
        <v>1</v>
      </c>
      <c r="L671" s="711">
        <v>1</v>
      </c>
      <c r="M671" s="711" t="s">
        <v>26</v>
      </c>
    </row>
    <row r="672" spans="1:13">
      <c r="A672" s="711" t="s">
        <v>2378</v>
      </c>
      <c r="B672" s="711"/>
      <c r="C672" s="711"/>
      <c r="D672" s="711"/>
      <c r="E672" s="711"/>
      <c r="F672" s="711">
        <v>2</v>
      </c>
      <c r="G672" s="711"/>
      <c r="H672" s="711"/>
      <c r="I672" s="711"/>
      <c r="J672" s="711"/>
      <c r="K672" s="711">
        <v>1</v>
      </c>
      <c r="L672" s="711">
        <v>2</v>
      </c>
      <c r="M672" s="711" t="s">
        <v>47</v>
      </c>
    </row>
    <row r="673" spans="1:13">
      <c r="A673" s="711" t="s">
        <v>2377</v>
      </c>
      <c r="B673" s="711" t="s">
        <v>2409</v>
      </c>
      <c r="C673" s="711"/>
      <c r="D673" s="711"/>
      <c r="E673" s="711"/>
      <c r="F673" s="711">
        <v>2</v>
      </c>
      <c r="G673" s="711">
        <v>7</v>
      </c>
      <c r="H673" s="711"/>
      <c r="I673" s="711"/>
      <c r="J673" s="711"/>
      <c r="K673" s="711">
        <v>2</v>
      </c>
      <c r="L673" s="711">
        <v>2</v>
      </c>
      <c r="M673" s="711" t="s">
        <v>947</v>
      </c>
    </row>
    <row r="674" spans="1:13">
      <c r="A674" s="711" t="s">
        <v>2377</v>
      </c>
      <c r="B674" s="711"/>
      <c r="C674" s="711"/>
      <c r="D674" s="711"/>
      <c r="E674" s="711"/>
      <c r="F674" s="711">
        <v>2</v>
      </c>
      <c r="G674" s="711"/>
      <c r="H674" s="711"/>
      <c r="I674" s="711"/>
      <c r="J674" s="711"/>
      <c r="K674" s="711">
        <v>1</v>
      </c>
      <c r="L674" s="711">
        <v>2</v>
      </c>
      <c r="M674" s="711" t="s">
        <v>47</v>
      </c>
    </row>
    <row r="675" spans="1:13">
      <c r="A675" s="711" t="s">
        <v>2362</v>
      </c>
      <c r="B675" s="711"/>
      <c r="C675" s="711"/>
      <c r="D675" s="711"/>
      <c r="E675" s="711"/>
      <c r="F675" s="711">
        <v>1</v>
      </c>
      <c r="G675" s="711"/>
      <c r="H675" s="711"/>
      <c r="I675" s="711"/>
      <c r="J675" s="711"/>
      <c r="K675" s="711">
        <v>1</v>
      </c>
      <c r="L675" s="711">
        <v>1</v>
      </c>
      <c r="M675" s="711" t="s">
        <v>26</v>
      </c>
    </row>
    <row r="676" spans="1:13">
      <c r="A676" s="711" t="s">
        <v>2393</v>
      </c>
      <c r="B676" s="711"/>
      <c r="C676" s="711"/>
      <c r="D676" s="711"/>
      <c r="E676" s="711"/>
      <c r="F676" s="711">
        <v>4</v>
      </c>
      <c r="G676" s="711"/>
      <c r="H676" s="711"/>
      <c r="I676" s="711"/>
      <c r="J676" s="711"/>
      <c r="K676" s="711">
        <v>1</v>
      </c>
      <c r="L676" s="711">
        <v>4</v>
      </c>
      <c r="M676" s="711" t="s">
        <v>39</v>
      </c>
    </row>
    <row r="677" spans="1:13">
      <c r="A677" s="711" t="s">
        <v>2362</v>
      </c>
      <c r="B677" s="711"/>
      <c r="C677" s="711"/>
      <c r="D677" s="711"/>
      <c r="E677" s="711"/>
      <c r="F677" s="711">
        <v>1</v>
      </c>
      <c r="G677" s="711"/>
      <c r="H677" s="711"/>
      <c r="I677" s="711"/>
      <c r="J677" s="711"/>
      <c r="K677" s="711">
        <v>1</v>
      </c>
      <c r="L677" s="711">
        <v>1</v>
      </c>
      <c r="M677" s="711" t="s">
        <v>26</v>
      </c>
    </row>
    <row r="678" spans="1:13">
      <c r="A678" s="711" t="s">
        <v>2409</v>
      </c>
      <c r="B678" s="711"/>
      <c r="C678" s="711"/>
      <c r="D678" s="711"/>
      <c r="E678" s="711"/>
      <c r="F678" s="711">
        <v>7</v>
      </c>
      <c r="G678" s="711"/>
      <c r="H678" s="711"/>
      <c r="I678" s="711"/>
      <c r="J678" s="711"/>
      <c r="K678" s="711">
        <v>1</v>
      </c>
      <c r="L678" s="711">
        <v>7</v>
      </c>
      <c r="M678" s="711" t="s">
        <v>34</v>
      </c>
    </row>
    <row r="679" spans="1:13">
      <c r="A679" s="711" t="s">
        <v>2377</v>
      </c>
      <c r="B679" s="711" t="s">
        <v>2394</v>
      </c>
      <c r="C679" s="711" t="s">
        <v>2516</v>
      </c>
      <c r="D679" s="711"/>
      <c r="E679" s="711"/>
      <c r="F679" s="711">
        <v>2</v>
      </c>
      <c r="G679" s="711">
        <v>4</v>
      </c>
      <c r="H679" s="711">
        <v>31</v>
      </c>
      <c r="I679" s="711"/>
      <c r="J679" s="711"/>
      <c r="K679" s="711">
        <v>3</v>
      </c>
      <c r="L679" s="711">
        <v>2</v>
      </c>
      <c r="M679" s="711" t="s">
        <v>3292</v>
      </c>
    </row>
    <row r="680" spans="1:13">
      <c r="A680" s="711" t="s">
        <v>2362</v>
      </c>
      <c r="B680" s="711" t="s">
        <v>2409</v>
      </c>
      <c r="C680" s="711" t="s">
        <v>2393</v>
      </c>
      <c r="D680" s="711" t="s">
        <v>2377</v>
      </c>
      <c r="E680" s="711"/>
      <c r="F680" s="711">
        <v>1</v>
      </c>
      <c r="G680" s="711">
        <v>7</v>
      </c>
      <c r="H680" s="711">
        <v>4</v>
      </c>
      <c r="I680" s="711">
        <v>2</v>
      </c>
      <c r="J680" s="711"/>
      <c r="K680" s="711">
        <v>4</v>
      </c>
      <c r="L680" s="711">
        <v>1</v>
      </c>
      <c r="M680" s="711" t="s">
        <v>3298</v>
      </c>
    </row>
    <row r="681" spans="1:13">
      <c r="A681" s="711" t="s">
        <v>2420</v>
      </c>
      <c r="B681" s="711" t="s">
        <v>3099</v>
      </c>
      <c r="C681" s="711" t="s">
        <v>2464</v>
      </c>
      <c r="D681" s="711"/>
      <c r="E681" s="711"/>
      <c r="F681" s="711">
        <v>9</v>
      </c>
      <c r="G681" s="711">
        <v>3</v>
      </c>
      <c r="H681" s="711">
        <v>25</v>
      </c>
      <c r="I681" s="711"/>
      <c r="J681" s="711"/>
      <c r="K681" s="711">
        <v>3</v>
      </c>
      <c r="L681" s="711">
        <v>9</v>
      </c>
      <c r="M681" s="711" t="s">
        <v>3299</v>
      </c>
    </row>
    <row r="682" spans="1:13">
      <c r="A682" s="711" t="s">
        <v>3099</v>
      </c>
      <c r="B682" s="711" t="s">
        <v>2421</v>
      </c>
      <c r="C682" s="711" t="s">
        <v>2464</v>
      </c>
      <c r="D682" s="711"/>
      <c r="E682" s="711"/>
      <c r="F682" s="711">
        <v>3</v>
      </c>
      <c r="G682" s="711">
        <v>9</v>
      </c>
      <c r="H682" s="711">
        <v>25</v>
      </c>
      <c r="I682" s="711"/>
      <c r="J682" s="711"/>
      <c r="K682" s="711">
        <v>3</v>
      </c>
      <c r="L682" s="711">
        <v>3</v>
      </c>
      <c r="M682" s="711" t="s">
        <v>3296</v>
      </c>
    </row>
    <row r="683" spans="1:13">
      <c r="A683" s="711" t="s">
        <v>3099</v>
      </c>
      <c r="B683" s="711" t="s">
        <v>2464</v>
      </c>
      <c r="C683" s="711" t="s">
        <v>2420</v>
      </c>
      <c r="D683" s="711"/>
      <c r="E683" s="711"/>
      <c r="F683" s="711">
        <v>3</v>
      </c>
      <c r="G683" s="711">
        <v>25</v>
      </c>
      <c r="H683" s="711">
        <v>9</v>
      </c>
      <c r="I683" s="711"/>
      <c r="J683" s="711"/>
      <c r="K683" s="711">
        <v>3</v>
      </c>
      <c r="L683" s="711">
        <v>3</v>
      </c>
      <c r="M683" s="711" t="s">
        <v>3300</v>
      </c>
    </row>
    <row r="684" spans="1:13">
      <c r="A684" s="711" t="s">
        <v>2393</v>
      </c>
      <c r="B684" s="711" t="s">
        <v>2420</v>
      </c>
      <c r="C684" s="711" t="s">
        <v>2409</v>
      </c>
      <c r="D684" s="711" t="s">
        <v>3099</v>
      </c>
      <c r="E684" s="711" t="s">
        <v>2434</v>
      </c>
      <c r="F684" s="711">
        <v>4</v>
      </c>
      <c r="G684" s="711">
        <v>9</v>
      </c>
      <c r="H684" s="711">
        <v>7</v>
      </c>
      <c r="I684" s="711">
        <v>3</v>
      </c>
      <c r="J684" s="711">
        <v>11</v>
      </c>
      <c r="K684" s="711">
        <v>5</v>
      </c>
      <c r="L684" s="711">
        <v>4</v>
      </c>
      <c r="M684" s="711" t="s">
        <v>3468</v>
      </c>
    </row>
    <row r="685" spans="1:13">
      <c r="A685" s="711" t="s">
        <v>2393</v>
      </c>
      <c r="B685" s="711"/>
      <c r="C685" s="711"/>
      <c r="D685" s="711"/>
      <c r="E685" s="711"/>
      <c r="F685" s="711">
        <v>4</v>
      </c>
      <c r="G685" s="711"/>
      <c r="H685" s="711"/>
      <c r="I685" s="711"/>
      <c r="J685" s="711"/>
      <c r="K685" s="711">
        <v>1</v>
      </c>
      <c r="L685" s="711">
        <v>4</v>
      </c>
      <c r="M685" s="711" t="s">
        <v>39</v>
      </c>
    </row>
    <row r="686" spans="1:13">
      <c r="A686" s="711" t="s">
        <v>3099</v>
      </c>
      <c r="B686" s="711"/>
      <c r="C686" s="711"/>
      <c r="D686" s="711"/>
      <c r="E686" s="711"/>
      <c r="F686" s="711">
        <v>3</v>
      </c>
      <c r="G686" s="711"/>
      <c r="H686" s="711"/>
      <c r="I686" s="711"/>
      <c r="J686" s="711"/>
      <c r="K686" s="711">
        <v>1</v>
      </c>
      <c r="L686" s="711">
        <v>3</v>
      </c>
      <c r="M686" s="711" t="s">
        <v>48</v>
      </c>
    </row>
    <row r="687" spans="1:13">
      <c r="A687" s="711" t="s">
        <v>2393</v>
      </c>
      <c r="B687" s="711" t="s">
        <v>2955</v>
      </c>
      <c r="C687" s="711"/>
      <c r="D687" s="711"/>
      <c r="E687" s="711"/>
      <c r="F687" s="711">
        <v>4</v>
      </c>
      <c r="G687" s="711">
        <v>31</v>
      </c>
      <c r="H687" s="711"/>
      <c r="I687" s="711"/>
      <c r="J687" s="711"/>
      <c r="K687" s="711">
        <v>2</v>
      </c>
      <c r="L687" s="711">
        <v>4</v>
      </c>
      <c r="M687" s="711" t="s">
        <v>3170</v>
      </c>
    </row>
    <row r="688" spans="1:13">
      <c r="A688" s="711" t="s">
        <v>2410</v>
      </c>
      <c r="B688" s="711" t="s">
        <v>2949</v>
      </c>
      <c r="C688" s="711" t="s">
        <v>3068</v>
      </c>
      <c r="D688" s="711"/>
      <c r="E688" s="711"/>
      <c r="F688" s="711">
        <v>7</v>
      </c>
      <c r="G688" s="711">
        <v>31</v>
      </c>
      <c r="H688" s="711">
        <v>31</v>
      </c>
      <c r="I688" s="711"/>
      <c r="J688" s="711"/>
      <c r="K688" s="711">
        <v>3</v>
      </c>
      <c r="L688" s="711">
        <v>7</v>
      </c>
      <c r="M688" s="711" t="s">
        <v>3407</v>
      </c>
    </row>
    <row r="689" spans="1:13">
      <c r="A689" s="711" t="s">
        <v>2362</v>
      </c>
      <c r="B689" s="711"/>
      <c r="C689" s="711"/>
      <c r="D689" s="711"/>
      <c r="E689" s="711"/>
      <c r="F689" s="711">
        <v>1</v>
      </c>
      <c r="G689" s="711"/>
      <c r="H689" s="711"/>
      <c r="I689" s="711"/>
      <c r="J689" s="711"/>
      <c r="K689" s="711">
        <v>1</v>
      </c>
      <c r="L689" s="711">
        <v>1</v>
      </c>
      <c r="M689" s="711" t="s">
        <v>26</v>
      </c>
    </row>
    <row r="690" spans="1:13">
      <c r="A690" s="711" t="s">
        <v>2799</v>
      </c>
      <c r="B690" s="711"/>
      <c r="C690" s="711"/>
      <c r="D690" s="711"/>
      <c r="E690" s="711"/>
      <c r="F690" s="711">
        <v>31</v>
      </c>
      <c r="G690" s="711"/>
      <c r="H690" s="711"/>
      <c r="I690" s="711"/>
      <c r="J690" s="711"/>
      <c r="K690" s="711">
        <v>1</v>
      </c>
      <c r="L690" s="711">
        <v>31</v>
      </c>
      <c r="M690" s="711" t="s">
        <v>41</v>
      </c>
    </row>
    <row r="691" spans="1:13">
      <c r="A691" s="711" t="s">
        <v>3099</v>
      </c>
      <c r="B691" s="711"/>
      <c r="C691" s="711"/>
      <c r="D691" s="711"/>
      <c r="E691" s="711"/>
      <c r="F691" s="711">
        <v>3</v>
      </c>
      <c r="G691" s="711"/>
      <c r="H691" s="711"/>
      <c r="I691" s="711"/>
      <c r="J691" s="711"/>
      <c r="K691" s="711">
        <v>1</v>
      </c>
      <c r="L691" s="711">
        <v>3</v>
      </c>
      <c r="M691" s="711" t="s">
        <v>48</v>
      </c>
    </row>
    <row r="692" spans="1:13">
      <c r="A692" s="711" t="s">
        <v>3099</v>
      </c>
      <c r="B692" s="711" t="s">
        <v>2511</v>
      </c>
      <c r="C692" s="711"/>
      <c r="D692" s="711"/>
      <c r="E692" s="711"/>
      <c r="F692" s="711">
        <v>3</v>
      </c>
      <c r="G692" s="711">
        <v>31</v>
      </c>
      <c r="H692" s="711"/>
      <c r="I692" s="711"/>
      <c r="J692" s="711"/>
      <c r="K692" s="711">
        <v>2</v>
      </c>
      <c r="L692" s="711">
        <v>3</v>
      </c>
      <c r="M692" s="711" t="s">
        <v>3238</v>
      </c>
    </row>
    <row r="693" spans="1:13">
      <c r="A693" s="711" t="s">
        <v>2377</v>
      </c>
      <c r="B693" s="711"/>
      <c r="C693" s="711"/>
      <c r="D693" s="711"/>
      <c r="E693" s="711"/>
      <c r="F693" s="711">
        <v>2</v>
      </c>
      <c r="G693" s="711"/>
      <c r="H693" s="711"/>
      <c r="I693" s="711"/>
      <c r="J693" s="711"/>
      <c r="K693" s="711">
        <v>1</v>
      </c>
      <c r="L693" s="711">
        <v>2</v>
      </c>
      <c r="M693" s="711" t="s">
        <v>47</v>
      </c>
    </row>
    <row r="694" spans="1:13">
      <c r="A694" s="711" t="s">
        <v>2362</v>
      </c>
      <c r="B694" s="711"/>
      <c r="C694" s="711"/>
      <c r="D694" s="711"/>
      <c r="E694" s="711"/>
      <c r="F694" s="711">
        <v>1</v>
      </c>
      <c r="G694" s="711"/>
      <c r="H694" s="711"/>
      <c r="I694" s="711"/>
      <c r="J694" s="711"/>
      <c r="K694" s="711">
        <v>1</v>
      </c>
      <c r="L694" s="711">
        <v>1</v>
      </c>
      <c r="M694" s="711" t="s">
        <v>26</v>
      </c>
    </row>
    <row r="695" spans="1:13">
      <c r="A695" s="711" t="s">
        <v>2362</v>
      </c>
      <c r="B695" s="711"/>
      <c r="C695" s="711"/>
      <c r="D695" s="711"/>
      <c r="E695" s="711"/>
      <c r="F695" s="711">
        <v>1</v>
      </c>
      <c r="G695" s="711"/>
      <c r="H695" s="711"/>
      <c r="I695" s="711"/>
      <c r="J695" s="711"/>
      <c r="K695" s="711">
        <v>1</v>
      </c>
      <c r="L695" s="711">
        <v>1</v>
      </c>
      <c r="M695" s="711" t="s">
        <v>26</v>
      </c>
    </row>
    <row r="696" spans="1:13">
      <c r="A696" s="711" t="s">
        <v>2362</v>
      </c>
      <c r="B696" s="711"/>
      <c r="C696" s="711"/>
      <c r="D696" s="711"/>
      <c r="E696" s="711"/>
      <c r="F696" s="711">
        <v>1</v>
      </c>
      <c r="G696" s="711"/>
      <c r="H696" s="711"/>
      <c r="I696" s="711"/>
      <c r="J696" s="711"/>
      <c r="K696" s="711">
        <v>1</v>
      </c>
      <c r="L696" s="711">
        <v>1</v>
      </c>
      <c r="M696" s="711" t="s">
        <v>26</v>
      </c>
    </row>
    <row r="697" spans="1:13">
      <c r="A697" s="711" t="s">
        <v>2362</v>
      </c>
      <c r="B697" s="711"/>
      <c r="C697" s="711"/>
      <c r="D697" s="711"/>
      <c r="E697" s="711"/>
      <c r="F697" s="711">
        <v>1</v>
      </c>
      <c r="G697" s="711"/>
      <c r="H697" s="711"/>
      <c r="I697" s="711"/>
      <c r="J697" s="711"/>
      <c r="K697" s="711">
        <v>1</v>
      </c>
      <c r="L697" s="711">
        <v>1</v>
      </c>
      <c r="M697" s="711" t="s">
        <v>26</v>
      </c>
    </row>
    <row r="698" spans="1:13">
      <c r="A698" s="711" t="s">
        <v>2362</v>
      </c>
      <c r="B698" s="711" t="s">
        <v>3101</v>
      </c>
      <c r="C698" s="711"/>
      <c r="D698" s="711"/>
      <c r="E698" s="711"/>
      <c r="F698" s="711">
        <v>1</v>
      </c>
      <c r="G698" s="711">
        <v>6</v>
      </c>
      <c r="H698" s="711"/>
      <c r="I698" s="711"/>
      <c r="J698" s="711"/>
      <c r="K698" s="711">
        <v>2</v>
      </c>
      <c r="L698" s="711">
        <v>1</v>
      </c>
      <c r="M698" s="711" t="s">
        <v>912</v>
      </c>
    </row>
    <row r="699" spans="1:13">
      <c r="A699" s="711" t="s">
        <v>2377</v>
      </c>
      <c r="B699" s="711" t="s">
        <v>2362</v>
      </c>
      <c r="C699" s="711" t="s">
        <v>2421</v>
      </c>
      <c r="D699" s="711" t="s">
        <v>2411</v>
      </c>
      <c r="E699" s="711" t="s">
        <v>3100</v>
      </c>
      <c r="F699" s="711">
        <v>2</v>
      </c>
      <c r="G699" s="711">
        <v>1</v>
      </c>
      <c r="H699" s="711">
        <v>9</v>
      </c>
      <c r="I699" s="711">
        <v>8</v>
      </c>
      <c r="J699" s="711">
        <v>5</v>
      </c>
      <c r="K699" s="711">
        <v>5</v>
      </c>
      <c r="L699" s="711">
        <v>2</v>
      </c>
      <c r="M699" s="711" t="s">
        <v>3469</v>
      </c>
    </row>
    <row r="700" spans="1:13">
      <c r="A700" s="711" t="s">
        <v>2362</v>
      </c>
      <c r="B700" s="711"/>
      <c r="C700" s="711"/>
      <c r="D700" s="711"/>
      <c r="E700" s="711"/>
      <c r="F700" s="711">
        <v>1</v>
      </c>
      <c r="G700" s="711"/>
      <c r="H700" s="711"/>
      <c r="I700" s="711"/>
      <c r="J700" s="711"/>
      <c r="K700" s="711">
        <v>1</v>
      </c>
      <c r="L700" s="711">
        <v>1</v>
      </c>
      <c r="M700" s="711" t="s">
        <v>26</v>
      </c>
    </row>
    <row r="701" spans="1:13">
      <c r="A701" s="711" t="s">
        <v>2409</v>
      </c>
      <c r="B701" s="711" t="s">
        <v>2362</v>
      </c>
      <c r="C701" s="711" t="s">
        <v>2377</v>
      </c>
      <c r="D701" s="711" t="s">
        <v>3099</v>
      </c>
      <c r="E701" s="711" t="s">
        <v>2464</v>
      </c>
      <c r="F701" s="711">
        <v>7</v>
      </c>
      <c r="G701" s="711">
        <v>1</v>
      </c>
      <c r="H701" s="711">
        <v>2</v>
      </c>
      <c r="I701" s="711">
        <v>3</v>
      </c>
      <c r="J701" s="711">
        <v>25</v>
      </c>
      <c r="K701" s="711">
        <v>5</v>
      </c>
      <c r="L701" s="711">
        <v>7</v>
      </c>
      <c r="M701" s="711" t="s">
        <v>3470</v>
      </c>
    </row>
    <row r="702" spans="1:13">
      <c r="A702" s="711" t="s">
        <v>3099</v>
      </c>
      <c r="B702" s="711"/>
      <c r="C702" s="711"/>
      <c r="D702" s="711"/>
      <c r="E702" s="711"/>
      <c r="F702" s="711">
        <v>3</v>
      </c>
      <c r="G702" s="711"/>
      <c r="H702" s="711"/>
      <c r="I702" s="711"/>
      <c r="J702" s="711"/>
      <c r="K702" s="711">
        <v>1</v>
      </c>
      <c r="L702" s="711">
        <v>3</v>
      </c>
      <c r="M702" s="711" t="s">
        <v>48</v>
      </c>
    </row>
    <row r="703" spans="1:13">
      <c r="A703" s="711" t="s">
        <v>2394</v>
      </c>
      <c r="B703" s="711" t="s">
        <v>3099</v>
      </c>
      <c r="C703" s="711"/>
      <c r="D703" s="711"/>
      <c r="E703" s="711"/>
      <c r="F703" s="711">
        <v>4</v>
      </c>
      <c r="G703" s="711">
        <v>3</v>
      </c>
      <c r="H703" s="711"/>
      <c r="I703" s="711"/>
      <c r="J703" s="711"/>
      <c r="K703" s="711">
        <v>2</v>
      </c>
      <c r="L703" s="711">
        <v>4</v>
      </c>
      <c r="M703" s="711" t="s">
        <v>3233</v>
      </c>
    </row>
    <row r="704" spans="1:13">
      <c r="A704" s="711" t="s">
        <v>2377</v>
      </c>
      <c r="B704" s="711"/>
      <c r="C704" s="711"/>
      <c r="D704" s="711"/>
      <c r="E704" s="711"/>
      <c r="F704" s="711">
        <v>2</v>
      </c>
      <c r="G704" s="711"/>
      <c r="H704" s="711"/>
      <c r="I704" s="711"/>
      <c r="J704" s="711"/>
      <c r="K704" s="711">
        <v>1</v>
      </c>
      <c r="L704" s="711">
        <v>2</v>
      </c>
      <c r="M704" s="711" t="s">
        <v>47</v>
      </c>
    </row>
    <row r="705" spans="1:13">
      <c r="A705" s="711" t="s">
        <v>2377</v>
      </c>
      <c r="B705" s="711"/>
      <c r="C705" s="711"/>
      <c r="D705" s="711"/>
      <c r="E705" s="711"/>
      <c r="F705" s="711">
        <v>2</v>
      </c>
      <c r="G705" s="711"/>
      <c r="H705" s="711"/>
      <c r="I705" s="711"/>
      <c r="J705" s="711"/>
      <c r="K705" s="711">
        <v>1</v>
      </c>
      <c r="L705" s="711">
        <v>2</v>
      </c>
      <c r="M705" s="711" t="s">
        <v>47</v>
      </c>
    </row>
    <row r="706" spans="1:13">
      <c r="A706" s="711" t="s">
        <v>2362</v>
      </c>
      <c r="B706" s="711"/>
      <c r="C706" s="711"/>
      <c r="D706" s="711"/>
      <c r="E706" s="711"/>
      <c r="F706" s="711">
        <v>1</v>
      </c>
      <c r="G706" s="711"/>
      <c r="H706" s="711"/>
      <c r="I706" s="711"/>
      <c r="J706" s="711"/>
      <c r="K706" s="711">
        <v>1</v>
      </c>
      <c r="L706" s="711">
        <v>1</v>
      </c>
      <c r="M706" s="711" t="s">
        <v>26</v>
      </c>
    </row>
    <row r="707" spans="1:13">
      <c r="A707" s="711" t="s">
        <v>2362</v>
      </c>
      <c r="B707" s="711" t="s">
        <v>3099</v>
      </c>
      <c r="C707" s="711" t="s">
        <v>2409</v>
      </c>
      <c r="D707" s="711" t="s">
        <v>2434</v>
      </c>
      <c r="E707" s="711" t="s">
        <v>2377</v>
      </c>
      <c r="F707" s="711">
        <v>1</v>
      </c>
      <c r="G707" s="711">
        <v>3</v>
      </c>
      <c r="H707" s="711">
        <v>7</v>
      </c>
      <c r="I707" s="711">
        <v>11</v>
      </c>
      <c r="J707" s="711">
        <v>2</v>
      </c>
      <c r="K707" s="711">
        <v>5</v>
      </c>
      <c r="L707" s="711">
        <v>1</v>
      </c>
      <c r="M707" s="711" t="s">
        <v>3471</v>
      </c>
    </row>
    <row r="708" spans="1:13">
      <c r="A708" s="711" t="s">
        <v>2362</v>
      </c>
      <c r="B708" s="711"/>
      <c r="C708" s="711"/>
      <c r="D708" s="711"/>
      <c r="E708" s="711"/>
      <c r="F708" s="711">
        <v>1</v>
      </c>
      <c r="G708" s="711"/>
      <c r="H708" s="711"/>
      <c r="I708" s="711"/>
      <c r="J708" s="711"/>
      <c r="K708" s="711">
        <v>1</v>
      </c>
      <c r="L708" s="711">
        <v>1</v>
      </c>
      <c r="M708" s="711" t="s">
        <v>26</v>
      </c>
    </row>
    <row r="709" spans="1:13">
      <c r="A709" s="711" t="s">
        <v>3099</v>
      </c>
      <c r="B709" s="711"/>
      <c r="C709" s="711"/>
      <c r="D709" s="711"/>
      <c r="E709" s="711"/>
      <c r="F709" s="711">
        <v>3</v>
      </c>
      <c r="G709" s="711"/>
      <c r="H709" s="711"/>
      <c r="I709" s="711"/>
      <c r="J709" s="711"/>
      <c r="K709" s="711">
        <v>1</v>
      </c>
      <c r="L709" s="711">
        <v>3</v>
      </c>
      <c r="M709" s="711" t="s">
        <v>48</v>
      </c>
    </row>
    <row r="710" spans="1:13">
      <c r="A710" s="711" t="s">
        <v>2377</v>
      </c>
      <c r="B710" s="711"/>
      <c r="C710" s="711"/>
      <c r="D710" s="711"/>
      <c r="E710" s="711"/>
      <c r="F710" s="711">
        <v>2</v>
      </c>
      <c r="G710" s="711"/>
      <c r="H710" s="711"/>
      <c r="I710" s="711"/>
      <c r="J710" s="711"/>
      <c r="K710" s="711">
        <v>1</v>
      </c>
      <c r="L710" s="711">
        <v>2</v>
      </c>
      <c r="M710" s="711" t="s">
        <v>47</v>
      </c>
    </row>
    <row r="711" spans="1:13">
      <c r="A711" s="711" t="s">
        <v>2393</v>
      </c>
      <c r="B711" s="711" t="s">
        <v>3103</v>
      </c>
      <c r="C711" s="711" t="s">
        <v>2411</v>
      </c>
      <c r="D711" s="711" t="s">
        <v>2377</v>
      </c>
      <c r="E711" s="711" t="s">
        <v>3101</v>
      </c>
      <c r="F711" s="711">
        <v>4</v>
      </c>
      <c r="G711" s="711">
        <v>12</v>
      </c>
      <c r="H711" s="711">
        <v>8</v>
      </c>
      <c r="I711" s="711">
        <v>2</v>
      </c>
      <c r="J711" s="711">
        <v>6</v>
      </c>
      <c r="K711" s="711">
        <v>5</v>
      </c>
      <c r="L711" s="711">
        <v>4</v>
      </c>
      <c r="M711" s="711" t="s">
        <v>3472</v>
      </c>
    </row>
    <row r="712" spans="1:13">
      <c r="A712" s="711" t="s">
        <v>2393</v>
      </c>
      <c r="B712" s="711" t="s">
        <v>2393</v>
      </c>
      <c r="C712" s="711" t="s">
        <v>2362</v>
      </c>
      <c r="D712" s="711" t="s">
        <v>2377</v>
      </c>
      <c r="E712" s="711"/>
      <c r="F712" s="711">
        <v>4</v>
      </c>
      <c r="G712" s="711">
        <v>4</v>
      </c>
      <c r="H712" s="711">
        <v>1</v>
      </c>
      <c r="I712" s="711">
        <v>2</v>
      </c>
      <c r="J712" s="711"/>
      <c r="K712" s="711">
        <v>4</v>
      </c>
      <c r="L712" s="711">
        <v>4</v>
      </c>
      <c r="M712" s="711" t="s">
        <v>3332</v>
      </c>
    </row>
    <row r="713" spans="1:13">
      <c r="A713" s="711" t="s">
        <v>3099</v>
      </c>
      <c r="B713" s="711" t="s">
        <v>2420</v>
      </c>
      <c r="C713" s="711"/>
      <c r="D713" s="711"/>
      <c r="E713" s="711"/>
      <c r="F713" s="711">
        <v>3</v>
      </c>
      <c r="G713" s="711">
        <v>9</v>
      </c>
      <c r="H713" s="711"/>
      <c r="I713" s="711"/>
      <c r="J713" s="711"/>
      <c r="K713" s="711">
        <v>2</v>
      </c>
      <c r="L713" s="711">
        <v>3</v>
      </c>
      <c r="M713" s="711" t="s">
        <v>2317</v>
      </c>
    </row>
    <row r="714" spans="1:13">
      <c r="A714" s="711" t="s">
        <v>2362</v>
      </c>
      <c r="B714" s="711"/>
      <c r="C714" s="711"/>
      <c r="D714" s="711"/>
      <c r="E714" s="711"/>
      <c r="F714" s="711">
        <v>1</v>
      </c>
      <c r="G714" s="711"/>
      <c r="H714" s="711"/>
      <c r="I714" s="711"/>
      <c r="J714" s="711"/>
      <c r="K714" s="711">
        <v>1</v>
      </c>
      <c r="L714" s="711">
        <v>1</v>
      </c>
      <c r="M714" s="711" t="s">
        <v>26</v>
      </c>
    </row>
    <row r="715" spans="1:13">
      <c r="A715" s="711" t="s">
        <v>2479</v>
      </c>
      <c r="B715" s="711"/>
      <c r="C715" s="711"/>
      <c r="D715" s="711"/>
      <c r="E715" s="711"/>
      <c r="F715" s="711">
        <v>31</v>
      </c>
      <c r="G715" s="711"/>
      <c r="H715" s="711"/>
      <c r="I715" s="711"/>
      <c r="J715" s="711"/>
      <c r="K715" s="711">
        <v>1</v>
      </c>
      <c r="L715" s="711">
        <v>31</v>
      </c>
      <c r="M715" s="711" t="s">
        <v>41</v>
      </c>
    </row>
    <row r="716" spans="1:13">
      <c r="A716" s="711" t="s">
        <v>3099</v>
      </c>
      <c r="B716" s="711" t="s">
        <v>2420</v>
      </c>
      <c r="C716" s="711"/>
      <c r="D716" s="711"/>
      <c r="E716" s="711"/>
      <c r="F716" s="711">
        <v>3</v>
      </c>
      <c r="G716" s="711">
        <v>9</v>
      </c>
      <c r="H716" s="711"/>
      <c r="I716" s="711"/>
      <c r="J716" s="711"/>
      <c r="K716" s="711">
        <v>2</v>
      </c>
      <c r="L716" s="711">
        <v>3</v>
      </c>
      <c r="M716" s="711" t="s">
        <v>2317</v>
      </c>
    </row>
    <row r="717" spans="1:13">
      <c r="A717" s="711" t="s">
        <v>2362</v>
      </c>
      <c r="B717" s="711" t="s">
        <v>2409</v>
      </c>
      <c r="C717" s="711" t="s">
        <v>2393</v>
      </c>
      <c r="D717" s="711" t="s">
        <v>2464</v>
      </c>
      <c r="E717" s="711"/>
      <c r="F717" s="711">
        <v>1</v>
      </c>
      <c r="G717" s="711">
        <v>7</v>
      </c>
      <c r="H717" s="711">
        <v>4</v>
      </c>
      <c r="I717" s="711">
        <v>25</v>
      </c>
      <c r="J717" s="711"/>
      <c r="K717" s="711">
        <v>4</v>
      </c>
      <c r="L717" s="711">
        <v>1</v>
      </c>
      <c r="M717" s="711" t="s">
        <v>3301</v>
      </c>
    </row>
    <row r="718" spans="1:13">
      <c r="A718" s="711" t="s">
        <v>2362</v>
      </c>
      <c r="B718" s="711"/>
      <c r="C718" s="711"/>
      <c r="D718" s="711"/>
      <c r="E718" s="711"/>
      <c r="F718" s="711">
        <v>1</v>
      </c>
      <c r="G718" s="711"/>
      <c r="H718" s="711"/>
      <c r="I718" s="711"/>
      <c r="J718" s="711"/>
      <c r="K718" s="711">
        <v>1</v>
      </c>
      <c r="L718" s="711">
        <v>1</v>
      </c>
      <c r="M718" s="711" t="s">
        <v>26</v>
      </c>
    </row>
    <row r="719" spans="1:13">
      <c r="A719" s="711" t="s">
        <v>3099</v>
      </c>
      <c r="B719" s="711" t="s">
        <v>2377</v>
      </c>
      <c r="C719" s="711" t="s">
        <v>2420</v>
      </c>
      <c r="D719" s="711"/>
      <c r="E719" s="711"/>
      <c r="F719" s="711">
        <v>3</v>
      </c>
      <c r="G719" s="711">
        <v>2</v>
      </c>
      <c r="H719" s="711">
        <v>9</v>
      </c>
      <c r="I719" s="711"/>
      <c r="J719" s="711"/>
      <c r="K719" s="711">
        <v>3</v>
      </c>
      <c r="L719" s="711">
        <v>3</v>
      </c>
      <c r="M719" s="711" t="s">
        <v>3302</v>
      </c>
    </row>
    <row r="720" spans="1:13">
      <c r="A720" s="711" t="s">
        <v>3101</v>
      </c>
      <c r="B720" s="711" t="s">
        <v>2388</v>
      </c>
      <c r="C720" s="711" t="s">
        <v>2393</v>
      </c>
      <c r="D720" s="711"/>
      <c r="E720" s="711"/>
      <c r="F720" s="711">
        <v>6</v>
      </c>
      <c r="G720" s="711">
        <v>3</v>
      </c>
      <c r="H720" s="711">
        <v>4</v>
      </c>
      <c r="I720" s="711"/>
      <c r="J720" s="711"/>
      <c r="K720" s="711">
        <v>3</v>
      </c>
      <c r="L720" s="711">
        <v>6</v>
      </c>
      <c r="M720" s="711" t="s">
        <v>3303</v>
      </c>
    </row>
    <row r="721" spans="1:13">
      <c r="A721" s="711" t="s">
        <v>3099</v>
      </c>
      <c r="B721" s="711" t="s">
        <v>2377</v>
      </c>
      <c r="C721" s="711" t="s">
        <v>2409</v>
      </c>
      <c r="D721" s="711" t="s">
        <v>3101</v>
      </c>
      <c r="E721" s="711" t="s">
        <v>2434</v>
      </c>
      <c r="F721" s="711">
        <v>3</v>
      </c>
      <c r="G721" s="711">
        <v>2</v>
      </c>
      <c r="H721" s="711">
        <v>7</v>
      </c>
      <c r="I721" s="711">
        <v>6</v>
      </c>
      <c r="J721" s="711">
        <v>11</v>
      </c>
      <c r="K721" s="711">
        <v>5</v>
      </c>
      <c r="L721" s="711">
        <v>3</v>
      </c>
      <c r="M721" s="711" t="s">
        <v>3473</v>
      </c>
    </row>
    <row r="722" spans="1:13">
      <c r="A722" s="711" t="s">
        <v>3099</v>
      </c>
      <c r="B722" s="711"/>
      <c r="C722" s="711"/>
      <c r="D722" s="711"/>
      <c r="E722" s="711"/>
      <c r="F722" s="711">
        <v>3</v>
      </c>
      <c r="G722" s="711"/>
      <c r="H722" s="711"/>
      <c r="I722" s="711"/>
      <c r="J722" s="711"/>
      <c r="K722" s="711">
        <v>1</v>
      </c>
      <c r="L722" s="711">
        <v>3</v>
      </c>
      <c r="M722" s="711" t="s">
        <v>48</v>
      </c>
    </row>
    <row r="723" spans="1:13">
      <c r="A723" s="711" t="s">
        <v>3099</v>
      </c>
      <c r="B723" s="711" t="s">
        <v>2420</v>
      </c>
      <c r="C723" s="711" t="s">
        <v>2377</v>
      </c>
      <c r="D723" s="711"/>
      <c r="E723" s="711"/>
      <c r="F723" s="711">
        <v>3</v>
      </c>
      <c r="G723" s="711">
        <v>9</v>
      </c>
      <c r="H723" s="711">
        <v>2</v>
      </c>
      <c r="I723" s="711"/>
      <c r="J723" s="711"/>
      <c r="K723" s="711">
        <v>3</v>
      </c>
      <c r="L723" s="711">
        <v>3</v>
      </c>
      <c r="M723" s="711" t="s">
        <v>3304</v>
      </c>
    </row>
    <row r="724" spans="1:13">
      <c r="A724" s="711" t="s">
        <v>3099</v>
      </c>
      <c r="B724" s="711"/>
      <c r="C724" s="711"/>
      <c r="D724" s="711"/>
      <c r="E724" s="711"/>
      <c r="F724" s="711">
        <v>3</v>
      </c>
      <c r="G724" s="711"/>
      <c r="H724" s="711"/>
      <c r="I724" s="711"/>
      <c r="J724" s="711"/>
      <c r="K724" s="711">
        <v>1</v>
      </c>
      <c r="L724" s="711">
        <v>3</v>
      </c>
      <c r="M724" s="711" t="s">
        <v>48</v>
      </c>
    </row>
    <row r="725" spans="1:13">
      <c r="A725" s="711" t="s">
        <v>3099</v>
      </c>
      <c r="B725" s="711"/>
      <c r="C725" s="711"/>
      <c r="D725" s="711"/>
      <c r="E725" s="711"/>
      <c r="F725" s="711">
        <v>3</v>
      </c>
      <c r="G725" s="711"/>
      <c r="H725" s="711"/>
      <c r="I725" s="711"/>
      <c r="J725" s="711"/>
      <c r="K725" s="711">
        <v>1</v>
      </c>
      <c r="L725" s="711">
        <v>3</v>
      </c>
      <c r="M725" s="711" t="s">
        <v>48</v>
      </c>
    </row>
    <row r="726" spans="1:13">
      <c r="A726" s="711" t="s">
        <v>2420</v>
      </c>
      <c r="B726" s="711" t="s">
        <v>2362</v>
      </c>
      <c r="C726" s="711" t="s">
        <v>2393</v>
      </c>
      <c r="D726" s="711"/>
      <c r="E726" s="711"/>
      <c r="F726" s="711">
        <v>9</v>
      </c>
      <c r="G726" s="711">
        <v>1</v>
      </c>
      <c r="H726" s="711">
        <v>4</v>
      </c>
      <c r="I726" s="711"/>
      <c r="J726" s="711"/>
      <c r="K726" s="711">
        <v>3</v>
      </c>
      <c r="L726" s="711">
        <v>9</v>
      </c>
      <c r="M726" s="711" t="s">
        <v>3305</v>
      </c>
    </row>
    <row r="727" spans="1:13">
      <c r="A727" s="711" t="s">
        <v>3099</v>
      </c>
      <c r="B727" s="711"/>
      <c r="C727" s="711"/>
      <c r="D727" s="711"/>
      <c r="E727" s="711"/>
      <c r="F727" s="711">
        <v>3</v>
      </c>
      <c r="G727" s="711"/>
      <c r="H727" s="711"/>
      <c r="I727" s="711"/>
      <c r="J727" s="711"/>
      <c r="K727" s="711">
        <v>1</v>
      </c>
      <c r="L727" s="711">
        <v>3</v>
      </c>
      <c r="M727" s="711" t="s">
        <v>48</v>
      </c>
    </row>
    <row r="728" spans="1:13">
      <c r="A728" s="711" t="s">
        <v>3099</v>
      </c>
      <c r="B728" s="711" t="s">
        <v>2377</v>
      </c>
      <c r="C728" s="711" t="s">
        <v>2362</v>
      </c>
      <c r="D728" s="711"/>
      <c r="E728" s="711"/>
      <c r="F728" s="711">
        <v>3</v>
      </c>
      <c r="G728" s="711">
        <v>2</v>
      </c>
      <c r="H728" s="711">
        <v>1</v>
      </c>
      <c r="I728" s="711"/>
      <c r="J728" s="711"/>
      <c r="K728" s="711">
        <v>3</v>
      </c>
      <c r="L728" s="711">
        <v>3</v>
      </c>
      <c r="M728" s="711" t="s">
        <v>3243</v>
      </c>
    </row>
    <row r="729" spans="1:13">
      <c r="A729" s="711" t="s">
        <v>2409</v>
      </c>
      <c r="B729" s="711" t="s">
        <v>2464</v>
      </c>
      <c r="C729" s="711" t="s">
        <v>3099</v>
      </c>
      <c r="D729" s="711" t="s">
        <v>2362</v>
      </c>
      <c r="E729" s="711" t="s">
        <v>2377</v>
      </c>
      <c r="F729" s="711">
        <v>7</v>
      </c>
      <c r="G729" s="711">
        <v>25</v>
      </c>
      <c r="H729" s="711">
        <v>3</v>
      </c>
      <c r="I729" s="711">
        <v>1</v>
      </c>
      <c r="J729" s="711">
        <v>2</v>
      </c>
      <c r="K729" s="711">
        <v>5</v>
      </c>
      <c r="L729" s="711">
        <v>7</v>
      </c>
      <c r="M729" s="711" t="s">
        <v>3474</v>
      </c>
    </row>
    <row r="730" spans="1:13">
      <c r="A730" s="711" t="s">
        <v>2409</v>
      </c>
      <c r="B730" s="711" t="s">
        <v>2362</v>
      </c>
      <c r="C730" s="711" t="s">
        <v>2377</v>
      </c>
      <c r="D730" s="711" t="s">
        <v>3101</v>
      </c>
      <c r="E730" s="711" t="s">
        <v>2585</v>
      </c>
      <c r="F730" s="711">
        <v>7</v>
      </c>
      <c r="G730" s="711">
        <v>1</v>
      </c>
      <c r="H730" s="711">
        <v>2</v>
      </c>
      <c r="I730" s="711">
        <v>6</v>
      </c>
      <c r="J730" s="711">
        <v>31</v>
      </c>
      <c r="K730" s="711">
        <v>5</v>
      </c>
      <c r="L730" s="711">
        <v>7</v>
      </c>
      <c r="M730" s="711" t="s">
        <v>3475</v>
      </c>
    </row>
    <row r="731" spans="1:13">
      <c r="A731" s="711" t="s">
        <v>2999</v>
      </c>
      <c r="B731" s="711"/>
      <c r="C731" s="711"/>
      <c r="D731" s="711"/>
      <c r="E731" s="711"/>
      <c r="F731" s="711">
        <v>31</v>
      </c>
      <c r="G731" s="711"/>
      <c r="H731" s="711"/>
      <c r="I731" s="711"/>
      <c r="J731" s="711"/>
      <c r="K731" s="711">
        <v>1</v>
      </c>
      <c r="L731" s="711">
        <v>31</v>
      </c>
      <c r="M731" s="711" t="s">
        <v>41</v>
      </c>
    </row>
    <row r="732" spans="1:13">
      <c r="A732" s="711" t="s">
        <v>2362</v>
      </c>
      <c r="B732" s="711" t="s">
        <v>3040</v>
      </c>
      <c r="C732" s="711"/>
      <c r="D732" s="711"/>
      <c r="E732" s="711"/>
      <c r="F732" s="711">
        <v>1</v>
      </c>
      <c r="G732" s="711">
        <v>31</v>
      </c>
      <c r="H732" s="711"/>
      <c r="I732" s="711"/>
      <c r="J732" s="711"/>
      <c r="K732" s="711">
        <v>2</v>
      </c>
      <c r="L732" s="711">
        <v>1</v>
      </c>
      <c r="M732" s="711" t="s">
        <v>3151</v>
      </c>
    </row>
    <row r="733" spans="1:13">
      <c r="A733" s="711" t="s">
        <v>2362</v>
      </c>
      <c r="B733" s="711"/>
      <c r="C733" s="711"/>
      <c r="D733" s="711"/>
      <c r="E733" s="711"/>
      <c r="F733" s="711">
        <v>1</v>
      </c>
      <c r="G733" s="711"/>
      <c r="H733" s="711"/>
      <c r="I733" s="711"/>
      <c r="J733" s="711"/>
      <c r="K733" s="711">
        <v>1</v>
      </c>
      <c r="L733" s="711">
        <v>1</v>
      </c>
      <c r="M733" s="711" t="s">
        <v>26</v>
      </c>
    </row>
    <row r="734" spans="1:13">
      <c r="A734" s="711" t="s">
        <v>2362</v>
      </c>
      <c r="B734" s="711" t="s">
        <v>2409</v>
      </c>
      <c r="C734" s="711" t="s">
        <v>2377</v>
      </c>
      <c r="D734" s="711" t="s">
        <v>3101</v>
      </c>
      <c r="E734" s="711" t="s">
        <v>3099</v>
      </c>
      <c r="F734" s="711">
        <v>1</v>
      </c>
      <c r="G734" s="711">
        <v>7</v>
      </c>
      <c r="H734" s="711">
        <v>2</v>
      </c>
      <c r="I734" s="711">
        <v>6</v>
      </c>
      <c r="J734" s="711">
        <v>3</v>
      </c>
      <c r="K734" s="711">
        <v>5</v>
      </c>
      <c r="L734" s="711">
        <v>1</v>
      </c>
      <c r="M734" s="711" t="s">
        <v>3476</v>
      </c>
    </row>
    <row r="735" spans="1:13">
      <c r="A735" s="711" t="s">
        <v>2362</v>
      </c>
      <c r="B735" s="711" t="s">
        <v>2409</v>
      </c>
      <c r="C735" s="711" t="s">
        <v>2377</v>
      </c>
      <c r="D735" s="711" t="s">
        <v>3101</v>
      </c>
      <c r="E735" s="711" t="s">
        <v>2464</v>
      </c>
      <c r="F735" s="711">
        <v>1</v>
      </c>
      <c r="G735" s="711">
        <v>7</v>
      </c>
      <c r="H735" s="711">
        <v>2</v>
      </c>
      <c r="I735" s="711">
        <v>6</v>
      </c>
      <c r="J735" s="711">
        <v>25</v>
      </c>
      <c r="K735" s="711">
        <v>5</v>
      </c>
      <c r="L735" s="711">
        <v>1</v>
      </c>
      <c r="M735" s="711" t="s">
        <v>3477</v>
      </c>
    </row>
    <row r="736" spans="1:13">
      <c r="A736" s="711" t="s">
        <v>2420</v>
      </c>
      <c r="B736" s="711"/>
      <c r="C736" s="711"/>
      <c r="D736" s="711"/>
      <c r="E736" s="711"/>
      <c r="F736" s="711">
        <v>9</v>
      </c>
      <c r="G736" s="711"/>
      <c r="H736" s="711"/>
      <c r="I736" s="711"/>
      <c r="J736" s="711"/>
      <c r="K736" s="711">
        <v>1</v>
      </c>
      <c r="L736" s="711">
        <v>9</v>
      </c>
      <c r="M736" s="711" t="s">
        <v>27</v>
      </c>
    </row>
    <row r="737" spans="1:13">
      <c r="A737" s="711" t="s">
        <v>2362</v>
      </c>
      <c r="B737" s="711"/>
      <c r="C737" s="711"/>
      <c r="D737" s="711"/>
      <c r="E737" s="711"/>
      <c r="F737" s="711">
        <v>1</v>
      </c>
      <c r="G737" s="711"/>
      <c r="H737" s="711"/>
      <c r="I737" s="711"/>
      <c r="J737" s="711"/>
      <c r="K737" s="711">
        <v>1</v>
      </c>
      <c r="L737" s="711">
        <v>1</v>
      </c>
      <c r="M737" s="711" t="s">
        <v>26</v>
      </c>
    </row>
    <row r="738" spans="1:13">
      <c r="A738" s="711" t="s">
        <v>3100</v>
      </c>
      <c r="B738" s="711" t="s">
        <v>2362</v>
      </c>
      <c r="C738" s="711" t="s">
        <v>2377</v>
      </c>
      <c r="D738" s="711" t="s">
        <v>3099</v>
      </c>
      <c r="E738" s="711" t="s">
        <v>3101</v>
      </c>
      <c r="F738" s="711">
        <v>5</v>
      </c>
      <c r="G738" s="711">
        <v>1</v>
      </c>
      <c r="H738" s="711">
        <v>2</v>
      </c>
      <c r="I738" s="711">
        <v>3</v>
      </c>
      <c r="J738" s="711">
        <v>6</v>
      </c>
      <c r="K738" s="711">
        <v>5</v>
      </c>
      <c r="L738" s="711">
        <v>5</v>
      </c>
      <c r="M738" s="711" t="s">
        <v>3478</v>
      </c>
    </row>
    <row r="739" spans="1:13">
      <c r="A739" s="711" t="s">
        <v>2393</v>
      </c>
      <c r="B739" s="711"/>
      <c r="C739" s="711"/>
      <c r="D739" s="711"/>
      <c r="E739" s="711"/>
      <c r="F739" s="711">
        <v>4</v>
      </c>
      <c r="G739" s="711"/>
      <c r="H739" s="711"/>
      <c r="I739" s="711"/>
      <c r="J739" s="711"/>
      <c r="K739" s="711">
        <v>1</v>
      </c>
      <c r="L739" s="711">
        <v>4</v>
      </c>
      <c r="M739" s="711" t="s">
        <v>39</v>
      </c>
    </row>
    <row r="740" spans="1:13">
      <c r="A740" s="711" t="s">
        <v>2378</v>
      </c>
      <c r="B740" s="711"/>
      <c r="C740" s="711"/>
      <c r="D740" s="711"/>
      <c r="E740" s="711"/>
      <c r="F740" s="711">
        <v>2</v>
      </c>
      <c r="G740" s="711"/>
      <c r="H740" s="711"/>
      <c r="I740" s="711"/>
      <c r="J740" s="711"/>
      <c r="K740" s="711">
        <v>1</v>
      </c>
      <c r="L740" s="711">
        <v>2</v>
      </c>
      <c r="M740" s="711" t="s">
        <v>47</v>
      </c>
    </row>
    <row r="741" spans="1:13">
      <c r="A741" s="711" t="s">
        <v>2409</v>
      </c>
      <c r="B741" s="711" t="s">
        <v>2362</v>
      </c>
      <c r="C741" s="711" t="s">
        <v>2377</v>
      </c>
      <c r="D741" s="711" t="s">
        <v>2393</v>
      </c>
      <c r="E741" s="711"/>
      <c r="F741" s="711">
        <v>7</v>
      </c>
      <c r="G741" s="711">
        <v>1</v>
      </c>
      <c r="H741" s="711">
        <v>2</v>
      </c>
      <c r="I741" s="711">
        <v>4</v>
      </c>
      <c r="J741" s="711"/>
      <c r="K741" s="711">
        <v>4</v>
      </c>
      <c r="L741" s="711">
        <v>7</v>
      </c>
      <c r="M741" s="711" t="s">
        <v>3306</v>
      </c>
    </row>
    <row r="742" spans="1:13">
      <c r="A742" s="711" t="s">
        <v>3099</v>
      </c>
      <c r="B742" s="711" t="s">
        <v>2393</v>
      </c>
      <c r="C742" s="711" t="s">
        <v>3101</v>
      </c>
      <c r="D742" s="711"/>
      <c r="E742" s="711"/>
      <c r="F742" s="711">
        <v>3</v>
      </c>
      <c r="G742" s="711">
        <v>4</v>
      </c>
      <c r="H742" s="711">
        <v>6</v>
      </c>
      <c r="I742" s="711"/>
      <c r="J742" s="711"/>
      <c r="K742" s="711">
        <v>3</v>
      </c>
      <c r="L742" s="711">
        <v>3</v>
      </c>
      <c r="M742" s="711" t="s">
        <v>3307</v>
      </c>
    </row>
    <row r="743" spans="1:13">
      <c r="A743" s="711" t="s">
        <v>2362</v>
      </c>
      <c r="B743" s="711" t="s">
        <v>2409</v>
      </c>
      <c r="C743" s="711" t="s">
        <v>2377</v>
      </c>
      <c r="D743" s="711" t="s">
        <v>2393</v>
      </c>
      <c r="E743" s="711" t="s">
        <v>3101</v>
      </c>
      <c r="F743" s="711">
        <v>1</v>
      </c>
      <c r="G743" s="711">
        <v>7</v>
      </c>
      <c r="H743" s="711">
        <v>2</v>
      </c>
      <c r="I743" s="711">
        <v>4</v>
      </c>
      <c r="J743" s="711">
        <v>6</v>
      </c>
      <c r="K743" s="711">
        <v>5</v>
      </c>
      <c r="L743" s="711">
        <v>1</v>
      </c>
      <c r="M743" s="711" t="s">
        <v>3479</v>
      </c>
    </row>
    <row r="744" spans="1:13">
      <c r="A744" s="711" t="s">
        <v>2362</v>
      </c>
      <c r="B744" s="711" t="s">
        <v>2393</v>
      </c>
      <c r="C744" s="711"/>
      <c r="D744" s="711"/>
      <c r="E744" s="711"/>
      <c r="F744" s="711">
        <v>1</v>
      </c>
      <c r="G744" s="711">
        <v>4</v>
      </c>
      <c r="H744" s="711"/>
      <c r="I744" s="711"/>
      <c r="J744" s="711"/>
      <c r="K744" s="711">
        <v>2</v>
      </c>
      <c r="L744" s="711">
        <v>1</v>
      </c>
      <c r="M744" s="711" t="s">
        <v>42</v>
      </c>
    </row>
    <row r="745" spans="1:13">
      <c r="A745" s="711" t="s">
        <v>2393</v>
      </c>
      <c r="B745" s="711" t="s">
        <v>3099</v>
      </c>
      <c r="C745" s="711"/>
      <c r="D745" s="711"/>
      <c r="E745" s="711"/>
      <c r="F745" s="711">
        <v>4</v>
      </c>
      <c r="G745" s="711">
        <v>3</v>
      </c>
      <c r="H745" s="711"/>
      <c r="I745" s="711"/>
      <c r="J745" s="711"/>
      <c r="K745" s="711">
        <v>2</v>
      </c>
      <c r="L745" s="711">
        <v>4</v>
      </c>
      <c r="M745" s="711" t="s">
        <v>3233</v>
      </c>
    </row>
    <row r="746" spans="1:13">
      <c r="A746" s="711" t="s">
        <v>2378</v>
      </c>
      <c r="B746" s="711" t="s">
        <v>3099</v>
      </c>
      <c r="C746" s="711" t="s">
        <v>2452</v>
      </c>
      <c r="D746" s="711"/>
      <c r="E746" s="711"/>
      <c r="F746" s="711">
        <v>2</v>
      </c>
      <c r="G746" s="711">
        <v>3</v>
      </c>
      <c r="H746" s="711">
        <v>20</v>
      </c>
      <c r="I746" s="711"/>
      <c r="J746" s="711"/>
      <c r="K746" s="711">
        <v>3</v>
      </c>
      <c r="L746" s="711">
        <v>2</v>
      </c>
      <c r="M746" s="711" t="s">
        <v>3308</v>
      </c>
    </row>
    <row r="747" spans="1:13">
      <c r="A747" s="711" t="s">
        <v>2393</v>
      </c>
      <c r="B747" s="711" t="s">
        <v>3099</v>
      </c>
      <c r="C747" s="711"/>
      <c r="D747" s="711"/>
      <c r="E747" s="711"/>
      <c r="F747" s="711">
        <v>4</v>
      </c>
      <c r="G747" s="711">
        <v>3</v>
      </c>
      <c r="H747" s="711"/>
      <c r="I747" s="711"/>
      <c r="J747" s="711"/>
      <c r="K747" s="711">
        <v>2</v>
      </c>
      <c r="L747" s="711">
        <v>4</v>
      </c>
      <c r="M747" s="711" t="s">
        <v>3233</v>
      </c>
    </row>
    <row r="748" spans="1:13">
      <c r="A748" s="711" t="s">
        <v>2481</v>
      </c>
      <c r="B748" s="711" t="s">
        <v>1100</v>
      </c>
      <c r="C748" s="711"/>
      <c r="D748" s="711"/>
      <c r="E748" s="711"/>
      <c r="F748" s="711">
        <v>31</v>
      </c>
      <c r="G748" s="711">
        <v>31</v>
      </c>
      <c r="H748" s="711"/>
      <c r="I748" s="711"/>
      <c r="J748" s="711"/>
      <c r="K748" s="711">
        <v>2</v>
      </c>
      <c r="L748" s="711">
        <v>31</v>
      </c>
      <c r="M748" s="711" t="s">
        <v>41</v>
      </c>
    </row>
    <row r="749" spans="1:13">
      <c r="A749" s="711" t="s">
        <v>3000</v>
      </c>
      <c r="B749" s="711"/>
      <c r="C749" s="711"/>
      <c r="D749" s="711"/>
      <c r="E749" s="711"/>
      <c r="F749" s="711">
        <v>31</v>
      </c>
      <c r="G749" s="711"/>
      <c r="H749" s="711"/>
      <c r="I749" s="711"/>
      <c r="J749" s="711"/>
      <c r="K749" s="711">
        <v>1</v>
      </c>
      <c r="L749" s="711">
        <v>31</v>
      </c>
      <c r="M749" s="711" t="s">
        <v>41</v>
      </c>
    </row>
    <row r="750" spans="1:13">
      <c r="A750" s="711" t="s">
        <v>2420</v>
      </c>
      <c r="B750" s="711" t="s">
        <v>3099</v>
      </c>
      <c r="C750" s="711" t="s">
        <v>2377</v>
      </c>
      <c r="D750" s="711"/>
      <c r="E750" s="711"/>
      <c r="F750" s="711">
        <v>9</v>
      </c>
      <c r="G750" s="711">
        <v>3</v>
      </c>
      <c r="H750" s="711">
        <v>2</v>
      </c>
      <c r="I750" s="711"/>
      <c r="J750" s="711"/>
      <c r="K750" s="711">
        <v>3</v>
      </c>
      <c r="L750" s="711">
        <v>9</v>
      </c>
      <c r="M750" s="711" t="s">
        <v>3309</v>
      </c>
    </row>
    <row r="751" spans="1:13">
      <c r="A751" s="711" t="s">
        <v>2477</v>
      </c>
      <c r="B751" s="711"/>
      <c r="C751" s="711"/>
      <c r="D751" s="711"/>
      <c r="E751" s="711"/>
      <c r="F751" s="711">
        <v>32</v>
      </c>
      <c r="G751" s="711"/>
      <c r="H751" s="711"/>
      <c r="I751" s="711"/>
      <c r="J751" s="711"/>
      <c r="K751" s="711">
        <v>1</v>
      </c>
      <c r="L751" s="711">
        <v>32</v>
      </c>
      <c r="M751" s="711" t="s">
        <v>3204</v>
      </c>
    </row>
    <row r="752" spans="1:13">
      <c r="A752" s="711" t="s">
        <v>3099</v>
      </c>
      <c r="B752" s="711" t="s">
        <v>2362</v>
      </c>
      <c r="C752" s="711" t="s">
        <v>2377</v>
      </c>
      <c r="D752" s="711"/>
      <c r="E752" s="711"/>
      <c r="F752" s="711">
        <v>3</v>
      </c>
      <c r="G752" s="711">
        <v>1</v>
      </c>
      <c r="H752" s="711">
        <v>2</v>
      </c>
      <c r="I752" s="711"/>
      <c r="J752" s="711"/>
      <c r="K752" s="711">
        <v>3</v>
      </c>
      <c r="L752" s="711">
        <v>3</v>
      </c>
      <c r="M752" s="711" t="s">
        <v>3184</v>
      </c>
    </row>
    <row r="753" spans="1:13">
      <c r="A753" s="711" t="s">
        <v>2362</v>
      </c>
      <c r="B753" s="711"/>
      <c r="C753" s="711"/>
      <c r="D753" s="711"/>
      <c r="E753" s="711"/>
      <c r="F753" s="711">
        <v>1</v>
      </c>
      <c r="G753" s="711"/>
      <c r="H753" s="711"/>
      <c r="I753" s="711"/>
      <c r="J753" s="711"/>
      <c r="K753" s="711">
        <v>1</v>
      </c>
      <c r="L753" s="711">
        <v>1</v>
      </c>
      <c r="M753" s="711" t="s">
        <v>26</v>
      </c>
    </row>
    <row r="754" spans="1:13">
      <c r="A754" s="711" t="s">
        <v>3001</v>
      </c>
      <c r="B754" s="711"/>
      <c r="C754" s="711"/>
      <c r="D754" s="711"/>
      <c r="E754" s="711"/>
      <c r="F754" s="711">
        <v>31</v>
      </c>
      <c r="G754" s="711"/>
      <c r="H754" s="711"/>
      <c r="I754" s="711"/>
      <c r="J754" s="711"/>
      <c r="K754" s="711">
        <v>1</v>
      </c>
      <c r="L754" s="711">
        <v>31</v>
      </c>
      <c r="M754" s="711" t="s">
        <v>41</v>
      </c>
    </row>
    <row r="755" spans="1:13">
      <c r="A755" s="711" t="s">
        <v>2393</v>
      </c>
      <c r="B755" s="711"/>
      <c r="C755" s="711"/>
      <c r="D755" s="711"/>
      <c r="E755" s="711"/>
      <c r="F755" s="711">
        <v>4</v>
      </c>
      <c r="G755" s="711"/>
      <c r="H755" s="711"/>
      <c r="I755" s="711"/>
      <c r="J755" s="711"/>
      <c r="K755" s="711">
        <v>1</v>
      </c>
      <c r="L755" s="711">
        <v>4</v>
      </c>
      <c r="M755" s="711" t="s">
        <v>39</v>
      </c>
    </row>
    <row r="756" spans="1:13">
      <c r="A756" s="711" t="s">
        <v>2783</v>
      </c>
      <c r="B756" s="711" t="s">
        <v>2783</v>
      </c>
      <c r="C756" s="711"/>
      <c r="D756" s="711"/>
      <c r="E756" s="711"/>
      <c r="F756" s="711">
        <v>31</v>
      </c>
      <c r="G756" s="711">
        <v>31</v>
      </c>
      <c r="H756" s="711"/>
      <c r="I756" s="711"/>
      <c r="J756" s="711"/>
      <c r="K756" s="711">
        <v>2</v>
      </c>
      <c r="L756" s="711">
        <v>31</v>
      </c>
      <c r="M756" s="711" t="s">
        <v>41</v>
      </c>
    </row>
    <row r="757" spans="1:13">
      <c r="A757" s="711" t="s">
        <v>2763</v>
      </c>
      <c r="B757" s="711"/>
      <c r="C757" s="711"/>
      <c r="D757" s="711"/>
      <c r="E757" s="711"/>
      <c r="F757" s="711">
        <v>31</v>
      </c>
      <c r="G757" s="711"/>
      <c r="H757" s="711"/>
      <c r="I757" s="711"/>
      <c r="J757" s="711"/>
      <c r="K757" s="711">
        <v>1</v>
      </c>
      <c r="L757" s="711">
        <v>31</v>
      </c>
      <c r="M757" s="711" t="s">
        <v>41</v>
      </c>
    </row>
    <row r="758" spans="1:13">
      <c r="A758" s="711" t="s">
        <v>2511</v>
      </c>
      <c r="B758" s="711"/>
      <c r="C758" s="711"/>
      <c r="D758" s="711"/>
      <c r="E758" s="711"/>
      <c r="F758" s="711">
        <v>31</v>
      </c>
      <c r="G758" s="711"/>
      <c r="H758" s="711"/>
      <c r="I758" s="711"/>
      <c r="J758" s="711"/>
      <c r="K758" s="711">
        <v>1</v>
      </c>
      <c r="L758" s="711">
        <v>31</v>
      </c>
      <c r="M758" s="711" t="s">
        <v>41</v>
      </c>
    </row>
    <row r="759" spans="1:13">
      <c r="A759" s="711" t="s">
        <v>11</v>
      </c>
      <c r="B759" s="711"/>
      <c r="C759" s="711"/>
      <c r="D759" s="711"/>
      <c r="E759" s="711"/>
      <c r="F759" s="711">
        <v>31</v>
      </c>
      <c r="G759" s="711"/>
      <c r="H759" s="711"/>
      <c r="I759" s="711"/>
      <c r="J759" s="711"/>
      <c r="K759" s="711">
        <v>1</v>
      </c>
      <c r="L759" s="711">
        <v>31</v>
      </c>
      <c r="M759" s="711" t="s">
        <v>41</v>
      </c>
    </row>
    <row r="760" spans="1:13">
      <c r="A760" s="711" t="s">
        <v>2362</v>
      </c>
      <c r="B760" s="711"/>
      <c r="C760" s="711"/>
      <c r="D760" s="711"/>
      <c r="E760" s="711"/>
      <c r="F760" s="711">
        <v>1</v>
      </c>
      <c r="G760" s="711"/>
      <c r="H760" s="711"/>
      <c r="I760" s="711"/>
      <c r="J760" s="711"/>
      <c r="K760" s="711">
        <v>1</v>
      </c>
      <c r="L760" s="711">
        <v>1</v>
      </c>
      <c r="M760" s="711" t="s">
        <v>26</v>
      </c>
    </row>
    <row r="761" spans="1:13">
      <c r="A761" s="711" t="s">
        <v>2393</v>
      </c>
      <c r="B761" s="711"/>
      <c r="C761" s="711"/>
      <c r="D761" s="711"/>
      <c r="E761" s="711"/>
      <c r="F761" s="711">
        <v>4</v>
      </c>
      <c r="G761" s="711"/>
      <c r="H761" s="711"/>
      <c r="I761" s="711"/>
      <c r="J761" s="711"/>
      <c r="K761" s="711">
        <v>1</v>
      </c>
      <c r="L761" s="711">
        <v>4</v>
      </c>
      <c r="M761" s="711" t="s">
        <v>39</v>
      </c>
    </row>
    <row r="762" spans="1:13">
      <c r="A762" s="711" t="s">
        <v>2377</v>
      </c>
      <c r="B762" s="711"/>
      <c r="C762" s="711" t="s">
        <v>3069</v>
      </c>
      <c r="D762" s="711"/>
      <c r="E762" s="711"/>
      <c r="F762" s="711">
        <v>2</v>
      </c>
      <c r="G762" s="711"/>
      <c r="H762" s="711">
        <v>31</v>
      </c>
      <c r="I762" s="711"/>
      <c r="J762" s="711"/>
      <c r="K762" s="711">
        <v>2</v>
      </c>
      <c r="L762" s="711">
        <v>2</v>
      </c>
      <c r="M762" s="711" t="s">
        <v>3187</v>
      </c>
    </row>
    <row r="763" spans="1:13">
      <c r="A763" s="711" t="s">
        <v>2377</v>
      </c>
      <c r="B763" s="711" t="s">
        <v>3099</v>
      </c>
      <c r="C763" s="711" t="s">
        <v>2783</v>
      </c>
      <c r="D763" s="711" t="s">
        <v>2597</v>
      </c>
      <c r="E763" s="711" t="s">
        <v>2481</v>
      </c>
      <c r="F763" s="711">
        <v>2</v>
      </c>
      <c r="G763" s="711">
        <v>3</v>
      </c>
      <c r="H763" s="711">
        <v>31</v>
      </c>
      <c r="I763" s="711">
        <v>31</v>
      </c>
      <c r="J763" s="711">
        <v>31</v>
      </c>
      <c r="K763" s="711">
        <v>5</v>
      </c>
      <c r="L763" s="711">
        <v>2</v>
      </c>
      <c r="M763" s="711" t="s">
        <v>3480</v>
      </c>
    </row>
    <row r="764" spans="1:13">
      <c r="A764" s="711" t="s">
        <v>2362</v>
      </c>
      <c r="B764" s="711" t="s">
        <v>2393</v>
      </c>
      <c r="C764" s="711" t="s">
        <v>2409</v>
      </c>
      <c r="D764" s="711"/>
      <c r="E764" s="711"/>
      <c r="F764" s="711">
        <v>1</v>
      </c>
      <c r="G764" s="711">
        <v>4</v>
      </c>
      <c r="H764" s="711">
        <v>7</v>
      </c>
      <c r="I764" s="711"/>
      <c r="J764" s="711"/>
      <c r="K764" s="711">
        <v>3</v>
      </c>
      <c r="L764" s="711">
        <v>1</v>
      </c>
      <c r="M764" s="711" t="s">
        <v>46</v>
      </c>
    </row>
    <row r="765" spans="1:13">
      <c r="A765" s="711" t="s">
        <v>1118</v>
      </c>
      <c r="B765" s="711"/>
      <c r="C765" s="711"/>
      <c r="D765" s="711"/>
      <c r="E765" s="711"/>
      <c r="F765" s="711">
        <v>32</v>
      </c>
      <c r="G765" s="711"/>
      <c r="H765" s="711"/>
      <c r="I765" s="711"/>
      <c r="J765" s="711"/>
      <c r="K765" s="711">
        <v>1</v>
      </c>
      <c r="L765" s="711">
        <v>32</v>
      </c>
      <c r="M765" s="711" t="s">
        <v>3204</v>
      </c>
    </row>
    <row r="766" spans="1:13">
      <c r="A766" s="711" t="s">
        <v>2464</v>
      </c>
      <c r="B766" s="711" t="s">
        <v>2362</v>
      </c>
      <c r="C766" s="711" t="s">
        <v>3070</v>
      </c>
      <c r="D766" s="711"/>
      <c r="E766" s="711"/>
      <c r="F766" s="711">
        <v>25</v>
      </c>
      <c r="G766" s="711">
        <v>1</v>
      </c>
      <c r="H766" s="711">
        <v>31</v>
      </c>
      <c r="I766" s="711"/>
      <c r="J766" s="711"/>
      <c r="K766" s="711">
        <v>3</v>
      </c>
      <c r="L766" s="711">
        <v>25</v>
      </c>
      <c r="M766" s="711" t="s">
        <v>3310</v>
      </c>
    </row>
    <row r="767" spans="1:13">
      <c r="A767" s="711" t="s">
        <v>2377</v>
      </c>
      <c r="B767" s="711" t="s">
        <v>2617</v>
      </c>
      <c r="C767" s="711" t="s">
        <v>2411</v>
      </c>
      <c r="D767" s="711"/>
      <c r="E767" s="711"/>
      <c r="F767" s="711">
        <v>2</v>
      </c>
      <c r="G767" s="711">
        <v>31</v>
      </c>
      <c r="H767" s="711">
        <v>8</v>
      </c>
      <c r="I767" s="711"/>
      <c r="J767" s="711"/>
      <c r="K767" s="711">
        <v>3</v>
      </c>
      <c r="L767" s="711">
        <v>2</v>
      </c>
      <c r="M767" s="711" t="s">
        <v>3311</v>
      </c>
    </row>
    <row r="768" spans="1:13">
      <c r="A768" s="711" t="s">
        <v>1118</v>
      </c>
      <c r="B768" s="711"/>
      <c r="C768" s="711"/>
      <c r="D768" s="711"/>
      <c r="E768" s="711"/>
      <c r="F768" s="711">
        <v>32</v>
      </c>
      <c r="G768" s="711"/>
      <c r="H768" s="711"/>
      <c r="I768" s="711"/>
      <c r="J768" s="711"/>
      <c r="K768" s="711">
        <v>1</v>
      </c>
      <c r="L768" s="711">
        <v>32</v>
      </c>
      <c r="M768" s="711" t="s">
        <v>3204</v>
      </c>
    </row>
    <row r="769" spans="1:13">
      <c r="A769" s="711" t="s">
        <v>2589</v>
      </c>
      <c r="B769" s="711" t="s">
        <v>3099</v>
      </c>
      <c r="C769" s="711" t="s">
        <v>2507</v>
      </c>
      <c r="D769" s="711"/>
      <c r="E769" s="711"/>
      <c r="F769" s="711">
        <v>31</v>
      </c>
      <c r="G769" s="711">
        <v>3</v>
      </c>
      <c r="H769" s="711">
        <v>31</v>
      </c>
      <c r="I769" s="711"/>
      <c r="J769" s="711"/>
      <c r="K769" s="711">
        <v>3</v>
      </c>
      <c r="L769" s="711">
        <v>31</v>
      </c>
      <c r="M769" s="711" t="s">
        <v>3229</v>
      </c>
    </row>
    <row r="770" spans="1:13">
      <c r="A770" s="711" t="s">
        <v>3101</v>
      </c>
      <c r="B770" s="711"/>
      <c r="C770" s="711"/>
      <c r="D770" s="711"/>
      <c r="E770" s="711"/>
      <c r="F770" s="711">
        <v>6</v>
      </c>
      <c r="G770" s="711"/>
      <c r="H770" s="711"/>
      <c r="I770" s="711"/>
      <c r="J770" s="711"/>
      <c r="K770" s="711">
        <v>1</v>
      </c>
      <c r="L770" s="711">
        <v>6</v>
      </c>
      <c r="M770" s="711" t="s">
        <v>909</v>
      </c>
    </row>
    <row r="771" spans="1:13">
      <c r="A771" s="711" t="s">
        <v>3101</v>
      </c>
      <c r="B771" s="711"/>
      <c r="C771" s="711"/>
      <c r="D771" s="711"/>
      <c r="E771" s="711"/>
      <c r="F771" s="711">
        <v>6</v>
      </c>
      <c r="G771" s="711"/>
      <c r="H771" s="711"/>
      <c r="I771" s="711"/>
      <c r="J771" s="711"/>
      <c r="K771" s="711">
        <v>1</v>
      </c>
      <c r="L771" s="711">
        <v>6</v>
      </c>
      <c r="M771" s="711" t="s">
        <v>909</v>
      </c>
    </row>
    <row r="772" spans="1:13">
      <c r="A772" s="711" t="s">
        <v>3099</v>
      </c>
      <c r="B772" s="711" t="s">
        <v>2838</v>
      </c>
      <c r="C772" s="711"/>
      <c r="D772" s="711"/>
      <c r="E772" s="711"/>
      <c r="F772" s="711">
        <v>3</v>
      </c>
      <c r="G772" s="711">
        <v>31</v>
      </c>
      <c r="H772" s="711"/>
      <c r="I772" s="711"/>
      <c r="J772" s="711"/>
      <c r="K772" s="711">
        <v>2</v>
      </c>
      <c r="L772" s="711">
        <v>3</v>
      </c>
      <c r="M772" s="711" t="s">
        <v>3238</v>
      </c>
    </row>
    <row r="773" spans="1:13">
      <c r="A773" s="711" t="s">
        <v>2511</v>
      </c>
      <c r="B773" s="711"/>
      <c r="C773" s="711"/>
      <c r="D773" s="711"/>
      <c r="E773" s="711"/>
      <c r="F773" s="711">
        <v>31</v>
      </c>
      <c r="G773" s="711"/>
      <c r="H773" s="711"/>
      <c r="I773" s="711"/>
      <c r="J773" s="711"/>
      <c r="K773" s="711">
        <v>1</v>
      </c>
      <c r="L773" s="711">
        <v>31</v>
      </c>
      <c r="M773" s="711" t="s">
        <v>41</v>
      </c>
    </row>
    <row r="774" spans="1:13">
      <c r="A774" s="711" t="s">
        <v>2362</v>
      </c>
      <c r="B774" s="711" t="s">
        <v>3103</v>
      </c>
      <c r="C774" s="711" t="s">
        <v>2377</v>
      </c>
      <c r="D774" s="711"/>
      <c r="E774" s="711"/>
      <c r="F774" s="711">
        <v>1</v>
      </c>
      <c r="G774" s="711">
        <v>12</v>
      </c>
      <c r="H774" s="711">
        <v>2</v>
      </c>
      <c r="I774" s="711"/>
      <c r="J774" s="711"/>
      <c r="K774" s="711">
        <v>3</v>
      </c>
      <c r="L774" s="711">
        <v>1</v>
      </c>
      <c r="M774" s="711" t="s">
        <v>3312</v>
      </c>
    </row>
    <row r="775" spans="1:13">
      <c r="A775" s="711" t="s">
        <v>3101</v>
      </c>
      <c r="B775" s="711"/>
      <c r="C775" s="711"/>
      <c r="D775" s="711"/>
      <c r="E775" s="711"/>
      <c r="F775" s="711">
        <v>6</v>
      </c>
      <c r="G775" s="711"/>
      <c r="H775" s="711"/>
      <c r="I775" s="711"/>
      <c r="J775" s="711"/>
      <c r="K775" s="711">
        <v>1</v>
      </c>
      <c r="L775" s="711">
        <v>6</v>
      </c>
      <c r="M775" s="711" t="s">
        <v>909</v>
      </c>
    </row>
    <row r="776" spans="1:13">
      <c r="A776" s="711" t="s">
        <v>2362</v>
      </c>
      <c r="B776" s="711" t="s">
        <v>2393</v>
      </c>
      <c r="C776" s="711" t="s">
        <v>3099</v>
      </c>
      <c r="D776" s="711"/>
      <c r="E776" s="711"/>
      <c r="F776" s="711">
        <v>1</v>
      </c>
      <c r="G776" s="711">
        <v>4</v>
      </c>
      <c r="H776" s="711">
        <v>3</v>
      </c>
      <c r="I776" s="711"/>
      <c r="J776" s="711"/>
      <c r="K776" s="711">
        <v>3</v>
      </c>
      <c r="L776" s="711">
        <v>1</v>
      </c>
      <c r="M776" s="711" t="s">
        <v>3150</v>
      </c>
    </row>
    <row r="777" spans="1:13">
      <c r="A777" s="711" t="s">
        <v>2377</v>
      </c>
      <c r="B777" s="711"/>
      <c r="C777" s="711"/>
      <c r="D777" s="711"/>
      <c r="E777" s="711"/>
      <c r="F777" s="711">
        <v>2</v>
      </c>
      <c r="G777" s="711"/>
      <c r="H777" s="711"/>
      <c r="I777" s="711"/>
      <c r="J777" s="711"/>
      <c r="K777" s="711">
        <v>1</v>
      </c>
      <c r="L777" s="711">
        <v>2</v>
      </c>
      <c r="M777" s="711" t="s">
        <v>47</v>
      </c>
    </row>
    <row r="778" spans="1:13">
      <c r="A778" s="711" t="s">
        <v>2511</v>
      </c>
      <c r="B778" s="711"/>
      <c r="C778" s="711"/>
      <c r="D778" s="711"/>
      <c r="E778" s="711"/>
      <c r="F778" s="711">
        <v>31</v>
      </c>
      <c r="G778" s="711"/>
      <c r="H778" s="711"/>
      <c r="I778" s="711"/>
      <c r="J778" s="711"/>
      <c r="K778" s="711">
        <v>1</v>
      </c>
      <c r="L778" s="711">
        <v>31</v>
      </c>
      <c r="M778" s="711" t="s">
        <v>41</v>
      </c>
    </row>
    <row r="779" spans="1:13">
      <c r="A779" s="711" t="s">
        <v>3002</v>
      </c>
      <c r="B779" s="711"/>
      <c r="C779" s="711"/>
      <c r="D779" s="711"/>
      <c r="E779" s="711"/>
      <c r="F779" s="711">
        <v>31</v>
      </c>
      <c r="G779" s="711"/>
      <c r="H779" s="711"/>
      <c r="I779" s="711"/>
      <c r="J779" s="711"/>
      <c r="K779" s="711">
        <v>1</v>
      </c>
      <c r="L779" s="711">
        <v>31</v>
      </c>
      <c r="M779" s="711" t="s">
        <v>41</v>
      </c>
    </row>
    <row r="780" spans="1:13">
      <c r="A780" s="711" t="s">
        <v>2377</v>
      </c>
      <c r="B780" s="711" t="s">
        <v>3099</v>
      </c>
      <c r="C780" s="711"/>
      <c r="D780" s="711"/>
      <c r="E780" s="711"/>
      <c r="F780" s="711">
        <v>2</v>
      </c>
      <c r="G780" s="711">
        <v>3</v>
      </c>
      <c r="H780" s="711"/>
      <c r="I780" s="711"/>
      <c r="J780" s="711"/>
      <c r="K780" s="711">
        <v>2</v>
      </c>
      <c r="L780" s="711">
        <v>2</v>
      </c>
      <c r="M780" s="711" t="s">
        <v>893</v>
      </c>
    </row>
    <row r="781" spans="1:13">
      <c r="A781" s="711" t="s">
        <v>3003</v>
      </c>
      <c r="B781" s="711"/>
      <c r="C781" s="711"/>
      <c r="D781" s="711"/>
      <c r="E781" s="711"/>
      <c r="F781" s="711">
        <v>31</v>
      </c>
      <c r="G781" s="711"/>
      <c r="H781" s="711"/>
      <c r="I781" s="711"/>
      <c r="J781" s="711"/>
      <c r="K781" s="711">
        <v>1</v>
      </c>
      <c r="L781" s="711">
        <v>31</v>
      </c>
      <c r="M781" s="711" t="s">
        <v>41</v>
      </c>
    </row>
    <row r="782" spans="1:13">
      <c r="A782" s="711" t="s">
        <v>2420</v>
      </c>
      <c r="B782" s="711"/>
      <c r="C782" s="711"/>
      <c r="D782" s="711"/>
      <c r="E782" s="711"/>
      <c r="F782" s="711">
        <v>9</v>
      </c>
      <c r="G782" s="711"/>
      <c r="H782" s="711"/>
      <c r="I782" s="711"/>
      <c r="J782" s="711"/>
      <c r="K782" s="711">
        <v>1</v>
      </c>
      <c r="L782" s="711">
        <v>9</v>
      </c>
      <c r="M782" s="711" t="s">
        <v>27</v>
      </c>
    </row>
    <row r="783" spans="1:13">
      <c r="A783" s="711" t="s">
        <v>3099</v>
      </c>
      <c r="B783" s="711"/>
      <c r="C783" s="711"/>
      <c r="D783" s="711"/>
      <c r="E783" s="711"/>
      <c r="F783" s="711">
        <v>3</v>
      </c>
      <c r="G783" s="711"/>
      <c r="H783" s="711"/>
      <c r="I783" s="711"/>
      <c r="J783" s="711"/>
      <c r="K783" s="711">
        <v>1</v>
      </c>
      <c r="L783" s="711">
        <v>3</v>
      </c>
      <c r="M783" s="711" t="s">
        <v>48</v>
      </c>
    </row>
    <row r="784" spans="1:13">
      <c r="A784" s="711" t="s">
        <v>1118</v>
      </c>
      <c r="B784" s="711"/>
      <c r="C784" s="711"/>
      <c r="D784" s="711"/>
      <c r="E784" s="711"/>
      <c r="F784" s="711">
        <v>32</v>
      </c>
      <c r="G784" s="711"/>
      <c r="H784" s="711"/>
      <c r="I784" s="711"/>
      <c r="J784" s="711"/>
      <c r="K784" s="711">
        <v>1</v>
      </c>
      <c r="L784" s="711">
        <v>32</v>
      </c>
      <c r="M784" s="711" t="s">
        <v>3204</v>
      </c>
    </row>
    <row r="785" spans="1:13">
      <c r="A785" s="711" t="s">
        <v>17</v>
      </c>
      <c r="B785" s="711"/>
      <c r="C785" s="711"/>
      <c r="D785" s="711"/>
      <c r="E785" s="711"/>
      <c r="F785" s="711">
        <v>31</v>
      </c>
      <c r="G785" s="711"/>
      <c r="H785" s="711"/>
      <c r="I785" s="711"/>
      <c r="J785" s="711"/>
      <c r="K785" s="711">
        <v>1</v>
      </c>
      <c r="L785" s="711">
        <v>31</v>
      </c>
      <c r="M785" s="711" t="s">
        <v>41</v>
      </c>
    </row>
    <row r="786" spans="1:13">
      <c r="A786" s="711" t="s">
        <v>3101</v>
      </c>
      <c r="B786" s="711"/>
      <c r="C786" s="711"/>
      <c r="D786" s="711"/>
      <c r="E786" s="711"/>
      <c r="F786" s="711">
        <v>6</v>
      </c>
      <c r="G786" s="711"/>
      <c r="H786" s="711"/>
      <c r="I786" s="711"/>
      <c r="J786" s="711"/>
      <c r="K786" s="711">
        <v>1</v>
      </c>
      <c r="L786" s="711">
        <v>6</v>
      </c>
      <c r="M786" s="711" t="s">
        <v>909</v>
      </c>
    </row>
    <row r="787" spans="1:13">
      <c r="A787" s="711" t="s">
        <v>2362</v>
      </c>
      <c r="B787" s="711" t="s">
        <v>2393</v>
      </c>
      <c r="C787" s="711" t="s">
        <v>3099</v>
      </c>
      <c r="D787" s="711" t="s">
        <v>2377</v>
      </c>
      <c r="E787" s="711"/>
      <c r="F787" s="711">
        <v>1</v>
      </c>
      <c r="G787" s="711">
        <v>4</v>
      </c>
      <c r="H787" s="711">
        <v>3</v>
      </c>
      <c r="I787" s="711">
        <v>2</v>
      </c>
      <c r="J787" s="711"/>
      <c r="K787" s="711">
        <v>4</v>
      </c>
      <c r="L787" s="711">
        <v>1</v>
      </c>
      <c r="M787" s="711" t="s">
        <v>3213</v>
      </c>
    </row>
    <row r="788" spans="1:13">
      <c r="A788" s="711" t="s">
        <v>2511</v>
      </c>
      <c r="B788" s="711"/>
      <c r="C788" s="711"/>
      <c r="D788" s="711"/>
      <c r="E788" s="711"/>
      <c r="F788" s="711">
        <v>31</v>
      </c>
      <c r="G788" s="711"/>
      <c r="H788" s="711"/>
      <c r="I788" s="711"/>
      <c r="J788" s="711"/>
      <c r="K788" s="711">
        <v>1</v>
      </c>
      <c r="L788" s="711">
        <v>31</v>
      </c>
      <c r="M788" s="711" t="s">
        <v>41</v>
      </c>
    </row>
    <row r="789" spans="1:13">
      <c r="A789" s="711" t="s">
        <v>2511</v>
      </c>
      <c r="B789" s="711" t="s">
        <v>3041</v>
      </c>
      <c r="C789" s="711" t="s">
        <v>3071</v>
      </c>
      <c r="D789" s="711" t="s">
        <v>3092</v>
      </c>
      <c r="E789" s="711" t="s">
        <v>3112</v>
      </c>
      <c r="F789" s="711">
        <v>31</v>
      </c>
      <c r="G789" s="711">
        <v>31</v>
      </c>
      <c r="H789" s="711">
        <v>31</v>
      </c>
      <c r="I789" s="711">
        <v>31</v>
      </c>
      <c r="J789" s="711">
        <v>31</v>
      </c>
      <c r="K789" s="711">
        <v>5</v>
      </c>
      <c r="L789" s="711">
        <v>31</v>
      </c>
      <c r="M789" s="711" t="s">
        <v>41</v>
      </c>
    </row>
    <row r="790" spans="1:13">
      <c r="A790" s="711" t="s">
        <v>3004</v>
      </c>
      <c r="B790" s="711"/>
      <c r="C790" s="711"/>
      <c r="D790" s="711"/>
      <c r="E790" s="711"/>
      <c r="F790" s="711">
        <v>31</v>
      </c>
      <c r="G790" s="711"/>
      <c r="H790" s="711"/>
      <c r="I790" s="711"/>
      <c r="J790" s="711"/>
      <c r="K790" s="711">
        <v>1</v>
      </c>
      <c r="L790" s="711">
        <v>31</v>
      </c>
      <c r="M790" s="711" t="s">
        <v>41</v>
      </c>
    </row>
    <row r="791" spans="1:13">
      <c r="A791" s="711" t="s">
        <v>1118</v>
      </c>
      <c r="B791" s="711"/>
      <c r="C791" s="711"/>
      <c r="D791" s="711"/>
      <c r="E791" s="711"/>
      <c r="F791" s="711">
        <v>32</v>
      </c>
      <c r="G791" s="711"/>
      <c r="H791" s="711"/>
      <c r="I791" s="711"/>
      <c r="J791" s="711"/>
      <c r="K791" s="711">
        <v>1</v>
      </c>
      <c r="L791" s="711">
        <v>32</v>
      </c>
      <c r="M791" s="711" t="s">
        <v>3204</v>
      </c>
    </row>
    <row r="792" spans="1:13">
      <c r="A792" s="711" t="s">
        <v>2617</v>
      </c>
      <c r="B792" s="711"/>
      <c r="C792" s="711"/>
      <c r="D792" s="711"/>
      <c r="E792" s="711"/>
      <c r="F792" s="711">
        <v>31</v>
      </c>
      <c r="G792" s="711"/>
      <c r="H792" s="711"/>
      <c r="I792" s="711"/>
      <c r="J792" s="711"/>
      <c r="K792" s="711">
        <v>1</v>
      </c>
      <c r="L792" s="711">
        <v>31</v>
      </c>
      <c r="M792" s="711" t="s">
        <v>41</v>
      </c>
    </row>
    <row r="793" spans="1:13">
      <c r="A793" s="711" t="s">
        <v>2393</v>
      </c>
      <c r="B793" s="711"/>
      <c r="C793" s="711"/>
      <c r="D793" s="711"/>
      <c r="E793" s="711"/>
      <c r="F793" s="711">
        <v>4</v>
      </c>
      <c r="G793" s="711"/>
      <c r="H793" s="711"/>
      <c r="I793" s="711"/>
      <c r="J793" s="711"/>
      <c r="K793" s="711">
        <v>1</v>
      </c>
      <c r="L793" s="711">
        <v>4</v>
      </c>
      <c r="M793" s="711" t="s">
        <v>39</v>
      </c>
    </row>
    <row r="794" spans="1:13">
      <c r="A794" s="711" t="s">
        <v>2393</v>
      </c>
      <c r="B794" s="711" t="s">
        <v>3099</v>
      </c>
      <c r="C794" s="711" t="s">
        <v>3072</v>
      </c>
      <c r="D794" s="711" t="s">
        <v>2362</v>
      </c>
      <c r="E794" s="711" t="s">
        <v>2693</v>
      </c>
      <c r="F794" s="711">
        <v>4</v>
      </c>
      <c r="G794" s="711">
        <v>3</v>
      </c>
      <c r="H794" s="711">
        <v>31</v>
      </c>
      <c r="I794" s="711">
        <v>1</v>
      </c>
      <c r="J794" s="711">
        <v>31</v>
      </c>
      <c r="K794" s="711">
        <v>5</v>
      </c>
      <c r="L794" s="711">
        <v>4</v>
      </c>
      <c r="M794" s="711" t="s">
        <v>3481</v>
      </c>
    </row>
    <row r="795" spans="1:13">
      <c r="A795" s="711" t="s">
        <v>2704</v>
      </c>
      <c r="B795" s="711" t="s">
        <v>2362</v>
      </c>
      <c r="C795" s="711" t="s">
        <v>2763</v>
      </c>
      <c r="D795" s="711"/>
      <c r="E795" s="711"/>
      <c r="F795" s="711">
        <v>31</v>
      </c>
      <c r="G795" s="711">
        <v>1</v>
      </c>
      <c r="H795" s="711">
        <v>31</v>
      </c>
      <c r="I795" s="711"/>
      <c r="J795" s="711"/>
      <c r="K795" s="711">
        <v>3</v>
      </c>
      <c r="L795" s="711">
        <v>31</v>
      </c>
      <c r="M795" s="711" t="s">
        <v>3408</v>
      </c>
    </row>
    <row r="796" spans="1:13">
      <c r="A796" s="711" t="s">
        <v>2362</v>
      </c>
      <c r="B796" s="711" t="s">
        <v>3099</v>
      </c>
      <c r="C796" s="711" t="s">
        <v>2464</v>
      </c>
      <c r="D796" s="711" t="s">
        <v>2411</v>
      </c>
      <c r="E796" s="711"/>
      <c r="F796" s="711">
        <v>1</v>
      </c>
      <c r="G796" s="711">
        <v>3</v>
      </c>
      <c r="H796" s="711">
        <v>25</v>
      </c>
      <c r="I796" s="711">
        <v>8</v>
      </c>
      <c r="J796" s="711"/>
      <c r="K796" s="711">
        <v>4</v>
      </c>
      <c r="L796" s="711">
        <v>1</v>
      </c>
      <c r="M796" s="711" t="s">
        <v>3313</v>
      </c>
    </row>
    <row r="797" spans="1:13">
      <c r="A797" s="711" t="s">
        <v>2362</v>
      </c>
      <c r="B797" s="711" t="s">
        <v>2377</v>
      </c>
      <c r="C797" s="711"/>
      <c r="D797" s="711"/>
      <c r="E797" s="711"/>
      <c r="F797" s="711">
        <v>1</v>
      </c>
      <c r="G797" s="711">
        <v>2</v>
      </c>
      <c r="H797" s="711"/>
      <c r="I797" s="711"/>
      <c r="J797" s="711"/>
      <c r="K797" s="711">
        <v>2</v>
      </c>
      <c r="L797" s="711">
        <v>1</v>
      </c>
      <c r="M797" s="711" t="s">
        <v>30</v>
      </c>
    </row>
    <row r="798" spans="1:13">
      <c r="A798" s="711" t="s">
        <v>2362</v>
      </c>
      <c r="B798" s="711" t="s">
        <v>2409</v>
      </c>
      <c r="C798" s="711"/>
      <c r="D798" s="711"/>
      <c r="E798" s="711"/>
      <c r="F798" s="711">
        <v>1</v>
      </c>
      <c r="G798" s="711">
        <v>7</v>
      </c>
      <c r="H798" s="711"/>
      <c r="I798" s="711"/>
      <c r="J798" s="711"/>
      <c r="K798" s="711">
        <v>2</v>
      </c>
      <c r="L798" s="711">
        <v>1</v>
      </c>
      <c r="M798" s="711" t="s">
        <v>45</v>
      </c>
    </row>
    <row r="799" spans="1:13">
      <c r="A799" s="711" t="s">
        <v>1118</v>
      </c>
      <c r="B799" s="711"/>
      <c r="C799" s="711"/>
      <c r="D799" s="711"/>
      <c r="E799" s="711"/>
      <c r="F799" s="711">
        <v>32</v>
      </c>
      <c r="G799" s="711"/>
      <c r="H799" s="711"/>
      <c r="I799" s="711"/>
      <c r="J799" s="711"/>
      <c r="K799" s="711">
        <v>1</v>
      </c>
      <c r="L799" s="711">
        <v>32</v>
      </c>
      <c r="M799" s="711" t="s">
        <v>3204</v>
      </c>
    </row>
    <row r="800" spans="1:13">
      <c r="A800" s="711" t="s">
        <v>2377</v>
      </c>
      <c r="B800" s="711"/>
      <c r="C800" s="711"/>
      <c r="D800" s="711"/>
      <c r="E800" s="711"/>
      <c r="F800" s="711">
        <v>2</v>
      </c>
      <c r="G800" s="711"/>
      <c r="H800" s="711"/>
      <c r="I800" s="711"/>
      <c r="J800" s="711"/>
      <c r="K800" s="711">
        <v>1</v>
      </c>
      <c r="L800" s="711">
        <v>2</v>
      </c>
      <c r="M800" s="711" t="s">
        <v>47</v>
      </c>
    </row>
    <row r="801" spans="1:13">
      <c r="A801" s="711" t="s">
        <v>3099</v>
      </c>
      <c r="B801" s="711" t="s">
        <v>2362</v>
      </c>
      <c r="C801" s="711" t="s">
        <v>2409</v>
      </c>
      <c r="D801" s="711" t="s">
        <v>2667</v>
      </c>
      <c r="E801" s="711"/>
      <c r="F801" s="711">
        <v>3</v>
      </c>
      <c r="G801" s="711">
        <v>1</v>
      </c>
      <c r="H801" s="711">
        <v>7</v>
      </c>
      <c r="I801" s="711">
        <v>31</v>
      </c>
      <c r="J801" s="711"/>
      <c r="K801" s="711">
        <v>4</v>
      </c>
      <c r="L801" s="711">
        <v>3</v>
      </c>
      <c r="M801" s="711" t="s">
        <v>3314</v>
      </c>
    </row>
    <row r="802" spans="1:13">
      <c r="A802" s="711" t="s">
        <v>1118</v>
      </c>
      <c r="B802" s="711"/>
      <c r="C802" s="711"/>
      <c r="D802" s="711"/>
      <c r="E802" s="711"/>
      <c r="F802" s="711">
        <v>32</v>
      </c>
      <c r="G802" s="711"/>
      <c r="H802" s="711"/>
      <c r="I802" s="711"/>
      <c r="J802" s="711"/>
      <c r="K802" s="711">
        <v>1</v>
      </c>
      <c r="L802" s="711">
        <v>32</v>
      </c>
      <c r="M802" s="711" t="s">
        <v>3204</v>
      </c>
    </row>
    <row r="803" spans="1:13">
      <c r="A803" s="711" t="s">
        <v>2377</v>
      </c>
      <c r="B803" s="711" t="s">
        <v>3101</v>
      </c>
      <c r="C803" s="711" t="s">
        <v>2409</v>
      </c>
      <c r="D803" s="711"/>
      <c r="E803" s="711"/>
      <c r="F803" s="711">
        <v>2</v>
      </c>
      <c r="G803" s="711">
        <v>6</v>
      </c>
      <c r="H803" s="711">
        <v>7</v>
      </c>
      <c r="I803" s="711"/>
      <c r="J803" s="711"/>
      <c r="K803" s="711">
        <v>3</v>
      </c>
      <c r="L803" s="711">
        <v>2</v>
      </c>
      <c r="M803" s="711" t="s">
        <v>3315</v>
      </c>
    </row>
    <row r="804" spans="1:13">
      <c r="A804" s="711" t="s">
        <v>2393</v>
      </c>
      <c r="B804" s="711"/>
      <c r="C804" s="711"/>
      <c r="D804" s="711"/>
      <c r="E804" s="711"/>
      <c r="F804" s="711">
        <v>4</v>
      </c>
      <c r="G804" s="711"/>
      <c r="H804" s="711"/>
      <c r="I804" s="711"/>
      <c r="J804" s="711"/>
      <c r="K804" s="711">
        <v>1</v>
      </c>
      <c r="L804" s="711">
        <v>4</v>
      </c>
      <c r="M804" s="711" t="s">
        <v>39</v>
      </c>
    </row>
    <row r="805" spans="1:13">
      <c r="A805" s="711" t="s">
        <v>2362</v>
      </c>
      <c r="B805" s="711"/>
      <c r="C805" s="711"/>
      <c r="D805" s="711"/>
      <c r="E805" s="711"/>
      <c r="F805" s="711">
        <v>1</v>
      </c>
      <c r="G805" s="711"/>
      <c r="H805" s="711"/>
      <c r="I805" s="711"/>
      <c r="J805" s="711"/>
      <c r="K805" s="711">
        <v>1</v>
      </c>
      <c r="L805" s="711">
        <v>1</v>
      </c>
      <c r="M805" s="711" t="s">
        <v>26</v>
      </c>
    </row>
    <row r="806" spans="1:13">
      <c r="A806" s="711" t="s">
        <v>2511</v>
      </c>
      <c r="B806" s="711"/>
      <c r="C806" s="711"/>
      <c r="D806" s="711"/>
      <c r="E806" s="711"/>
      <c r="F806" s="711">
        <v>31</v>
      </c>
      <c r="G806" s="711"/>
      <c r="H806" s="711"/>
      <c r="I806" s="711"/>
      <c r="J806" s="711"/>
      <c r="K806" s="711">
        <v>1</v>
      </c>
      <c r="L806" s="711">
        <v>31</v>
      </c>
      <c r="M806" s="711" t="s">
        <v>41</v>
      </c>
    </row>
    <row r="807" spans="1:13">
      <c r="A807" s="711" t="s">
        <v>3099</v>
      </c>
      <c r="B807" s="711" t="s">
        <v>3100</v>
      </c>
      <c r="C807" s="711"/>
      <c r="D807" s="711"/>
      <c r="E807" s="711"/>
      <c r="F807" s="711">
        <v>3</v>
      </c>
      <c r="G807" s="711">
        <v>5</v>
      </c>
      <c r="H807" s="711"/>
      <c r="I807" s="711"/>
      <c r="J807" s="711"/>
      <c r="K807" s="711">
        <v>2</v>
      </c>
      <c r="L807" s="711">
        <v>3</v>
      </c>
      <c r="M807" s="711" t="s">
        <v>2314</v>
      </c>
    </row>
    <row r="808" spans="1:13">
      <c r="A808" s="711" t="s">
        <v>2377</v>
      </c>
      <c r="B808" s="711"/>
      <c r="C808" s="711"/>
      <c r="D808" s="711"/>
      <c r="E808" s="711"/>
      <c r="F808" s="711">
        <v>2</v>
      </c>
      <c r="G808" s="711"/>
      <c r="H808" s="711"/>
      <c r="I808" s="711"/>
      <c r="J808" s="711"/>
      <c r="K808" s="711">
        <v>1</v>
      </c>
      <c r="L808" s="711">
        <v>2</v>
      </c>
      <c r="M808" s="711" t="s">
        <v>47</v>
      </c>
    </row>
    <row r="809" spans="1:13">
      <c r="A809" s="711" t="s">
        <v>3099</v>
      </c>
      <c r="B809" s="711"/>
      <c r="C809" s="711"/>
      <c r="D809" s="711"/>
      <c r="E809" s="711"/>
      <c r="F809" s="711">
        <v>3</v>
      </c>
      <c r="G809" s="711"/>
      <c r="H809" s="711"/>
      <c r="I809" s="711"/>
      <c r="J809" s="711"/>
      <c r="K809" s="711">
        <v>1</v>
      </c>
      <c r="L809" s="711">
        <v>3</v>
      </c>
      <c r="M809" s="711" t="s">
        <v>48</v>
      </c>
    </row>
    <row r="810" spans="1:13">
      <c r="A810" s="711" t="s">
        <v>2763</v>
      </c>
      <c r="B810" s="711"/>
      <c r="C810" s="711"/>
      <c r="D810" s="711"/>
      <c r="E810" s="711"/>
      <c r="F810" s="711">
        <v>31</v>
      </c>
      <c r="G810" s="711"/>
      <c r="H810" s="711"/>
      <c r="I810" s="711"/>
      <c r="J810" s="711"/>
      <c r="K810" s="711">
        <v>1</v>
      </c>
      <c r="L810" s="711">
        <v>31</v>
      </c>
      <c r="M810" s="711" t="s">
        <v>41</v>
      </c>
    </row>
    <row r="811" spans="1:13">
      <c r="A811" s="711" t="s">
        <v>2377</v>
      </c>
      <c r="B811" s="711" t="s">
        <v>2511</v>
      </c>
      <c r="C811" s="711" t="s">
        <v>2393</v>
      </c>
      <c r="D811" s="711"/>
      <c r="E811" s="711"/>
      <c r="F811" s="711">
        <v>2</v>
      </c>
      <c r="G811" s="711">
        <v>31</v>
      </c>
      <c r="H811" s="711">
        <v>4</v>
      </c>
      <c r="I811" s="711"/>
      <c r="J811" s="711"/>
      <c r="K811" s="711">
        <v>3</v>
      </c>
      <c r="L811" s="711">
        <v>2</v>
      </c>
      <c r="M811" s="711" t="s">
        <v>3316</v>
      </c>
    </row>
    <row r="812" spans="1:13">
      <c r="A812" s="711" t="s">
        <v>3005</v>
      </c>
      <c r="B812" s="711"/>
      <c r="C812" s="711"/>
      <c r="D812" s="711"/>
      <c r="E812" s="711"/>
      <c r="F812" s="711">
        <v>31</v>
      </c>
      <c r="G812" s="711"/>
      <c r="H812" s="711"/>
      <c r="I812" s="711"/>
      <c r="J812" s="711"/>
      <c r="K812" s="711">
        <v>1</v>
      </c>
      <c r="L812" s="711">
        <v>31</v>
      </c>
      <c r="M812" s="711" t="s">
        <v>41</v>
      </c>
    </row>
    <row r="813" spans="1:13">
      <c r="A813" s="711" t="s">
        <v>2519</v>
      </c>
      <c r="B813" s="711"/>
      <c r="C813" s="711"/>
      <c r="D813" s="711"/>
      <c r="E813" s="711"/>
      <c r="F813" s="711">
        <v>31</v>
      </c>
      <c r="G813" s="711"/>
      <c r="H813" s="711"/>
      <c r="I813" s="711"/>
      <c r="J813" s="711"/>
      <c r="K813" s="711">
        <v>1</v>
      </c>
      <c r="L813" s="711">
        <v>31</v>
      </c>
      <c r="M813" s="711" t="s">
        <v>41</v>
      </c>
    </row>
    <row r="814" spans="1:13">
      <c r="A814" s="711" t="s">
        <v>2393</v>
      </c>
      <c r="B814" s="711" t="s">
        <v>2362</v>
      </c>
      <c r="C814" s="711" t="s">
        <v>2409</v>
      </c>
      <c r="D814" s="711" t="s">
        <v>3099</v>
      </c>
      <c r="E814" s="711" t="s">
        <v>2377</v>
      </c>
      <c r="F814" s="711">
        <v>4</v>
      </c>
      <c r="G814" s="711">
        <v>1</v>
      </c>
      <c r="H814" s="711">
        <v>7</v>
      </c>
      <c r="I814" s="711">
        <v>3</v>
      </c>
      <c r="J814" s="711">
        <v>2</v>
      </c>
      <c r="K814" s="711">
        <v>5</v>
      </c>
      <c r="L814" s="711">
        <v>4</v>
      </c>
      <c r="M814" s="711" t="s">
        <v>3482</v>
      </c>
    </row>
    <row r="815" spans="1:13">
      <c r="A815" s="711" t="s">
        <v>2703</v>
      </c>
      <c r="B815" s="711" t="s">
        <v>2597</v>
      </c>
      <c r="C815" s="711" t="s">
        <v>3073</v>
      </c>
      <c r="D815" s="711" t="s">
        <v>3093</v>
      </c>
      <c r="E815" s="711"/>
      <c r="F815" s="711">
        <v>31</v>
      </c>
      <c r="G815" s="711">
        <v>31</v>
      </c>
      <c r="H815" s="711">
        <v>31</v>
      </c>
      <c r="I815" s="711">
        <v>31</v>
      </c>
      <c r="J815" s="711"/>
      <c r="K815" s="711">
        <v>4</v>
      </c>
      <c r="L815" s="711">
        <v>31</v>
      </c>
      <c r="M815" s="711" t="s">
        <v>41</v>
      </c>
    </row>
    <row r="816" spans="1:13">
      <c r="A816" s="711" t="s">
        <v>3099</v>
      </c>
      <c r="B816" s="711"/>
      <c r="C816" s="711"/>
      <c r="D816" s="711"/>
      <c r="E816" s="711"/>
      <c r="F816" s="711">
        <v>3</v>
      </c>
      <c r="G816" s="711"/>
      <c r="H816" s="711"/>
      <c r="I816" s="711"/>
      <c r="J816" s="711"/>
      <c r="K816" s="711">
        <v>1</v>
      </c>
      <c r="L816" s="711">
        <v>3</v>
      </c>
      <c r="M816" s="711" t="s">
        <v>48</v>
      </c>
    </row>
    <row r="817" spans="1:13">
      <c r="A817" s="711" t="s">
        <v>3099</v>
      </c>
      <c r="B817" s="711" t="s">
        <v>2362</v>
      </c>
      <c r="C817" s="711" t="s">
        <v>3100</v>
      </c>
      <c r="D817" s="711" t="s">
        <v>2420</v>
      </c>
      <c r="E817" s="711" t="s">
        <v>2377</v>
      </c>
      <c r="F817" s="711">
        <v>3</v>
      </c>
      <c r="G817" s="711">
        <v>1</v>
      </c>
      <c r="H817" s="711">
        <v>5</v>
      </c>
      <c r="I817" s="711">
        <v>9</v>
      </c>
      <c r="J817" s="711">
        <v>2</v>
      </c>
      <c r="K817" s="711">
        <v>5</v>
      </c>
      <c r="L817" s="711">
        <v>3</v>
      </c>
      <c r="M817" s="711" t="s">
        <v>3483</v>
      </c>
    </row>
    <row r="818" spans="1:13">
      <c r="A818" s="711" t="s">
        <v>2378</v>
      </c>
      <c r="B818" s="711" t="s">
        <v>2483</v>
      </c>
      <c r="C818" s="711" t="s">
        <v>2362</v>
      </c>
      <c r="D818" s="711" t="s">
        <v>2968</v>
      </c>
      <c r="E818" s="711"/>
      <c r="F818" s="711">
        <v>2</v>
      </c>
      <c r="G818" s="711">
        <v>31</v>
      </c>
      <c r="H818" s="711">
        <v>1</v>
      </c>
      <c r="I818" s="711">
        <v>31</v>
      </c>
      <c r="J818" s="711"/>
      <c r="K818" s="711">
        <v>4</v>
      </c>
      <c r="L818" s="711">
        <v>2</v>
      </c>
      <c r="M818" s="711" t="s">
        <v>3259</v>
      </c>
    </row>
    <row r="819" spans="1:13">
      <c r="A819" s="711" t="s">
        <v>2362</v>
      </c>
      <c r="B819" s="711"/>
      <c r="C819" s="711"/>
      <c r="D819" s="711"/>
      <c r="E819" s="711"/>
      <c r="F819" s="711">
        <v>1</v>
      </c>
      <c r="G819" s="711"/>
      <c r="H819" s="711"/>
      <c r="I819" s="711"/>
      <c r="J819" s="711"/>
      <c r="K819" s="711">
        <v>1</v>
      </c>
      <c r="L819" s="711">
        <v>1</v>
      </c>
      <c r="M819" s="711" t="s">
        <v>26</v>
      </c>
    </row>
    <row r="820" spans="1:13">
      <c r="A820" s="711" t="s">
        <v>2393</v>
      </c>
      <c r="B820" s="711" t="s">
        <v>2362</v>
      </c>
      <c r="C820" s="711" t="s">
        <v>3099</v>
      </c>
      <c r="D820" s="711" t="s">
        <v>2377</v>
      </c>
      <c r="E820" s="711" t="s">
        <v>2409</v>
      </c>
      <c r="F820" s="711">
        <v>4</v>
      </c>
      <c r="G820" s="711">
        <v>1</v>
      </c>
      <c r="H820" s="711">
        <v>3</v>
      </c>
      <c r="I820" s="711">
        <v>2</v>
      </c>
      <c r="J820" s="711">
        <v>7</v>
      </c>
      <c r="K820" s="711">
        <v>5</v>
      </c>
      <c r="L820" s="711">
        <v>4</v>
      </c>
      <c r="M820" s="711" t="s">
        <v>3465</v>
      </c>
    </row>
    <row r="821" spans="1:13">
      <c r="A821" s="711" t="s">
        <v>2362</v>
      </c>
      <c r="B821" s="711" t="s">
        <v>2377</v>
      </c>
      <c r="C821" s="711"/>
      <c r="D821" s="711"/>
      <c r="E821" s="711"/>
      <c r="F821" s="711">
        <v>1</v>
      </c>
      <c r="G821" s="711">
        <v>2</v>
      </c>
      <c r="H821" s="711"/>
      <c r="I821" s="711"/>
      <c r="J821" s="711"/>
      <c r="K821" s="711">
        <v>2</v>
      </c>
      <c r="L821" s="711">
        <v>1</v>
      </c>
      <c r="M821" s="711" t="s">
        <v>30</v>
      </c>
    </row>
    <row r="822" spans="1:13">
      <c r="A822" s="711" t="s">
        <v>3099</v>
      </c>
      <c r="B822" s="711" t="s">
        <v>3100</v>
      </c>
      <c r="C822" s="711" t="s">
        <v>2453</v>
      </c>
      <c r="D822" s="711"/>
      <c r="E822" s="711"/>
      <c r="F822" s="711">
        <v>3</v>
      </c>
      <c r="G822" s="711">
        <v>5</v>
      </c>
      <c r="H822" s="711">
        <v>20</v>
      </c>
      <c r="I822" s="711"/>
      <c r="J822" s="711"/>
      <c r="K822" s="711">
        <v>3</v>
      </c>
      <c r="L822" s="711">
        <v>3</v>
      </c>
      <c r="M822" s="711" t="s">
        <v>3317</v>
      </c>
    </row>
    <row r="823" spans="1:13">
      <c r="A823" s="711" t="s">
        <v>2393</v>
      </c>
      <c r="B823" s="711"/>
      <c r="C823" s="711"/>
      <c r="D823" s="711"/>
      <c r="E823" s="711"/>
      <c r="F823" s="711">
        <v>4</v>
      </c>
      <c r="G823" s="711"/>
      <c r="H823" s="711"/>
      <c r="I823" s="711"/>
      <c r="J823" s="711"/>
      <c r="K823" s="711">
        <v>1</v>
      </c>
      <c r="L823" s="711">
        <v>4</v>
      </c>
      <c r="M823" s="711" t="s">
        <v>39</v>
      </c>
    </row>
    <row r="824" spans="1:13">
      <c r="A824" s="711" t="s">
        <v>2411</v>
      </c>
      <c r="B824" s="711" t="s">
        <v>2481</v>
      </c>
      <c r="C824" s="711"/>
      <c r="D824" s="711"/>
      <c r="E824" s="711"/>
      <c r="F824" s="711">
        <v>8</v>
      </c>
      <c r="G824" s="711">
        <v>31</v>
      </c>
      <c r="H824" s="711"/>
      <c r="I824" s="711"/>
      <c r="J824" s="711"/>
      <c r="K824" s="711">
        <v>2</v>
      </c>
      <c r="L824" s="711">
        <v>8</v>
      </c>
      <c r="M824" s="711" t="s">
        <v>3318</v>
      </c>
    </row>
    <row r="825" spans="1:13">
      <c r="A825" s="711" t="s">
        <v>3099</v>
      </c>
      <c r="B825" s="711" t="s">
        <v>2362</v>
      </c>
      <c r="C825" s="711"/>
      <c r="D825" s="711"/>
      <c r="E825" s="711"/>
      <c r="F825" s="711">
        <v>3</v>
      </c>
      <c r="G825" s="711">
        <v>1</v>
      </c>
      <c r="H825" s="711"/>
      <c r="I825" s="711"/>
      <c r="J825" s="711"/>
      <c r="K825" s="711">
        <v>2</v>
      </c>
      <c r="L825" s="711">
        <v>3</v>
      </c>
      <c r="M825" s="711" t="s">
        <v>3197</v>
      </c>
    </row>
    <row r="826" spans="1:13">
      <c r="A826" s="711" t="s">
        <v>3006</v>
      </c>
      <c r="B826" s="711" t="s">
        <v>3099</v>
      </c>
      <c r="C826" s="711"/>
      <c r="D826" s="711"/>
      <c r="E826" s="711"/>
      <c r="F826" s="711">
        <v>31</v>
      </c>
      <c r="G826" s="711">
        <v>3</v>
      </c>
      <c r="H826" s="711"/>
      <c r="I826" s="711"/>
      <c r="J826" s="711"/>
      <c r="K826" s="711">
        <v>2</v>
      </c>
      <c r="L826" s="711">
        <v>31</v>
      </c>
      <c r="M826" s="711" t="s">
        <v>3229</v>
      </c>
    </row>
    <row r="827" spans="1:13">
      <c r="A827" s="711" t="s">
        <v>2362</v>
      </c>
      <c r="B827" s="711"/>
      <c r="C827" s="711"/>
      <c r="D827" s="711"/>
      <c r="E827" s="711"/>
      <c r="F827" s="711">
        <v>1</v>
      </c>
      <c r="G827" s="711"/>
      <c r="H827" s="711"/>
      <c r="I827" s="711"/>
      <c r="J827" s="711"/>
      <c r="K827" s="711">
        <v>1</v>
      </c>
      <c r="L827" s="711">
        <v>1</v>
      </c>
      <c r="M827" s="711" t="s">
        <v>26</v>
      </c>
    </row>
    <row r="828" spans="1:13">
      <c r="A828" s="711" t="s">
        <v>2362</v>
      </c>
      <c r="B828" s="711"/>
      <c r="C828" s="711"/>
      <c r="D828" s="711"/>
      <c r="E828" s="711"/>
      <c r="F828" s="711">
        <v>1</v>
      </c>
      <c r="G828" s="711"/>
      <c r="H828" s="711"/>
      <c r="I828" s="711"/>
      <c r="J828" s="711"/>
      <c r="K828" s="711">
        <v>1</v>
      </c>
      <c r="L828" s="711">
        <v>1</v>
      </c>
      <c r="M828" s="711" t="s">
        <v>26</v>
      </c>
    </row>
    <row r="829" spans="1:13">
      <c r="A829" s="711" t="s">
        <v>2377</v>
      </c>
      <c r="B829" s="711" t="s">
        <v>3099</v>
      </c>
      <c r="C829" s="711"/>
      <c r="D829" s="711"/>
      <c r="E829" s="711"/>
      <c r="F829" s="711">
        <v>2</v>
      </c>
      <c r="G829" s="711">
        <v>3</v>
      </c>
      <c r="H829" s="711"/>
      <c r="I829" s="711"/>
      <c r="J829" s="711"/>
      <c r="K829" s="711">
        <v>2</v>
      </c>
      <c r="L829" s="711">
        <v>2</v>
      </c>
      <c r="M829" s="711" t="s">
        <v>893</v>
      </c>
    </row>
    <row r="830" spans="1:13">
      <c r="A830" s="711" t="s">
        <v>2362</v>
      </c>
      <c r="B830" s="711" t="s">
        <v>2377</v>
      </c>
      <c r="C830" s="711" t="s">
        <v>2511</v>
      </c>
      <c r="D830" s="711"/>
      <c r="E830" s="711"/>
      <c r="F830" s="711">
        <v>1</v>
      </c>
      <c r="G830" s="711">
        <v>2</v>
      </c>
      <c r="H830" s="711">
        <v>31</v>
      </c>
      <c r="I830" s="711"/>
      <c r="J830" s="711"/>
      <c r="K830" s="711">
        <v>3</v>
      </c>
      <c r="L830" s="711">
        <v>1</v>
      </c>
      <c r="M830" s="711" t="s">
        <v>3208</v>
      </c>
    </row>
    <row r="831" spans="1:13">
      <c r="A831" s="711" t="s">
        <v>3100</v>
      </c>
      <c r="B831" s="711"/>
      <c r="C831" s="711"/>
      <c r="D831" s="711"/>
      <c r="E831" s="711"/>
      <c r="F831" s="711">
        <v>5</v>
      </c>
      <c r="G831" s="711"/>
      <c r="H831" s="711"/>
      <c r="I831" s="711"/>
      <c r="J831" s="711"/>
      <c r="K831" s="711">
        <v>1</v>
      </c>
      <c r="L831" s="711">
        <v>5</v>
      </c>
      <c r="M831" s="711" t="s">
        <v>36</v>
      </c>
    </row>
    <row r="832" spans="1:13">
      <c r="A832" s="711" t="s">
        <v>2362</v>
      </c>
      <c r="B832" s="711"/>
      <c r="C832" s="711"/>
      <c r="D832" s="711"/>
      <c r="E832" s="711"/>
      <c r="F832" s="711">
        <v>1</v>
      </c>
      <c r="G832" s="711"/>
      <c r="H832" s="711"/>
      <c r="I832" s="711"/>
      <c r="J832" s="711"/>
      <c r="K832" s="711">
        <v>1</v>
      </c>
      <c r="L832" s="711">
        <v>1</v>
      </c>
      <c r="M832" s="711" t="s">
        <v>26</v>
      </c>
    </row>
    <row r="833" spans="1:13">
      <c r="A833" s="711" t="s">
        <v>3099</v>
      </c>
      <c r="B833" s="711" t="s">
        <v>2362</v>
      </c>
      <c r="C833" s="711" t="s">
        <v>2377</v>
      </c>
      <c r="D833" s="711"/>
      <c r="E833" s="711"/>
      <c r="F833" s="711">
        <v>3</v>
      </c>
      <c r="G833" s="711">
        <v>1</v>
      </c>
      <c r="H833" s="711">
        <v>2</v>
      </c>
      <c r="I833" s="711"/>
      <c r="J833" s="711"/>
      <c r="K833" s="711">
        <v>3</v>
      </c>
      <c r="L833" s="711">
        <v>3</v>
      </c>
      <c r="M833" s="711" t="s">
        <v>3184</v>
      </c>
    </row>
    <row r="834" spans="1:13">
      <c r="A834" s="711" t="s">
        <v>2393</v>
      </c>
      <c r="B834" s="711"/>
      <c r="C834" s="711"/>
      <c r="D834" s="711"/>
      <c r="E834" s="711"/>
      <c r="F834" s="711">
        <v>4</v>
      </c>
      <c r="G834" s="711"/>
      <c r="H834" s="711"/>
      <c r="I834" s="711"/>
      <c r="J834" s="711"/>
      <c r="K834" s="711">
        <v>1</v>
      </c>
      <c r="L834" s="711">
        <v>4</v>
      </c>
      <c r="M834" s="711" t="s">
        <v>39</v>
      </c>
    </row>
    <row r="835" spans="1:13">
      <c r="A835" s="711" t="s">
        <v>3100</v>
      </c>
      <c r="B835" s="711" t="s">
        <v>2411</v>
      </c>
      <c r="C835" s="711" t="s">
        <v>2453</v>
      </c>
      <c r="D835" s="711"/>
      <c r="E835" s="711"/>
      <c r="F835" s="711">
        <v>5</v>
      </c>
      <c r="G835" s="711">
        <v>8</v>
      </c>
      <c r="H835" s="711">
        <v>20</v>
      </c>
      <c r="I835" s="711"/>
      <c r="J835" s="711"/>
      <c r="K835" s="711">
        <v>3</v>
      </c>
      <c r="L835" s="711">
        <v>5</v>
      </c>
      <c r="M835" s="711" t="s">
        <v>3319</v>
      </c>
    </row>
    <row r="836" spans="1:13">
      <c r="A836" s="711" t="s">
        <v>2362</v>
      </c>
      <c r="B836" s="711"/>
      <c r="C836" s="711"/>
      <c r="D836" s="711"/>
      <c r="E836" s="711"/>
      <c r="F836" s="711">
        <v>1</v>
      </c>
      <c r="G836" s="711"/>
      <c r="H836" s="711"/>
      <c r="I836" s="711"/>
      <c r="J836" s="711"/>
      <c r="K836" s="711">
        <v>1</v>
      </c>
      <c r="L836" s="711">
        <v>1</v>
      </c>
      <c r="M836" s="711" t="s">
        <v>26</v>
      </c>
    </row>
    <row r="837" spans="1:13">
      <c r="A837" s="711" t="s">
        <v>2393</v>
      </c>
      <c r="B837" s="711"/>
      <c r="C837" s="711"/>
      <c r="D837" s="711"/>
      <c r="E837" s="711"/>
      <c r="F837" s="711">
        <v>4</v>
      </c>
      <c r="G837" s="711"/>
      <c r="H837" s="711"/>
      <c r="I837" s="711"/>
      <c r="J837" s="711"/>
      <c r="K837" s="711">
        <v>1</v>
      </c>
      <c r="L837" s="711">
        <v>4</v>
      </c>
      <c r="M837" s="711" t="s">
        <v>39</v>
      </c>
    </row>
    <row r="838" spans="1:13">
      <c r="A838" s="711" t="s">
        <v>2362</v>
      </c>
      <c r="B838" s="711"/>
      <c r="C838" s="711"/>
      <c r="D838" s="711"/>
      <c r="E838" s="711"/>
      <c r="F838" s="711">
        <v>1</v>
      </c>
      <c r="G838" s="711"/>
      <c r="H838" s="711"/>
      <c r="I838" s="711"/>
      <c r="J838" s="711"/>
      <c r="K838" s="711">
        <v>1</v>
      </c>
      <c r="L838" s="711">
        <v>1</v>
      </c>
      <c r="M838" s="711" t="s">
        <v>26</v>
      </c>
    </row>
    <row r="839" spans="1:13">
      <c r="A839" s="711" t="s">
        <v>2961</v>
      </c>
      <c r="B839" s="711" t="s">
        <v>2965</v>
      </c>
      <c r="C839" s="711" t="s">
        <v>3074</v>
      </c>
      <c r="D839" s="711" t="s">
        <v>2953</v>
      </c>
      <c r="E839" s="711" t="s">
        <v>3113</v>
      </c>
      <c r="F839" s="711">
        <v>31</v>
      </c>
      <c r="G839" s="711">
        <v>31</v>
      </c>
      <c r="H839" s="711">
        <v>31</v>
      </c>
      <c r="I839" s="711">
        <v>31</v>
      </c>
      <c r="J839" s="711">
        <v>31</v>
      </c>
      <c r="K839" s="711">
        <v>5</v>
      </c>
      <c r="L839" s="711">
        <v>31</v>
      </c>
      <c r="M839" s="711" t="s">
        <v>41</v>
      </c>
    </row>
    <row r="840" spans="1:13">
      <c r="A840" s="711" t="s">
        <v>3099</v>
      </c>
      <c r="B840" s="711" t="s">
        <v>2362</v>
      </c>
      <c r="C840" s="711" t="s">
        <v>2393</v>
      </c>
      <c r="D840" s="711" t="s">
        <v>2377</v>
      </c>
      <c r="E840" s="711" t="s">
        <v>2409</v>
      </c>
      <c r="F840" s="711">
        <v>3</v>
      </c>
      <c r="G840" s="711">
        <v>1</v>
      </c>
      <c r="H840" s="711">
        <v>4</v>
      </c>
      <c r="I840" s="711">
        <v>2</v>
      </c>
      <c r="J840" s="711">
        <v>7</v>
      </c>
      <c r="K840" s="711">
        <v>5</v>
      </c>
      <c r="L840" s="711">
        <v>3</v>
      </c>
      <c r="M840" s="711" t="s">
        <v>3484</v>
      </c>
    </row>
    <row r="841" spans="1:13">
      <c r="A841" s="711" t="s">
        <v>3099</v>
      </c>
      <c r="B841" s="711"/>
      <c r="C841" s="711"/>
      <c r="D841" s="711"/>
      <c r="E841" s="711"/>
      <c r="F841" s="711">
        <v>3</v>
      </c>
      <c r="G841" s="711"/>
      <c r="H841" s="711"/>
      <c r="I841" s="711"/>
      <c r="J841" s="711"/>
      <c r="K841" s="711">
        <v>1</v>
      </c>
      <c r="L841" s="711">
        <v>3</v>
      </c>
      <c r="M841" s="711" t="s">
        <v>48</v>
      </c>
    </row>
    <row r="842" spans="1:13">
      <c r="A842" s="711" t="s">
        <v>2362</v>
      </c>
      <c r="B842" s="711" t="s">
        <v>2420</v>
      </c>
      <c r="C842" s="711" t="s">
        <v>2393</v>
      </c>
      <c r="D842" s="711" t="s">
        <v>3100</v>
      </c>
      <c r="E842" s="711"/>
      <c r="F842" s="711">
        <v>1</v>
      </c>
      <c r="G842" s="711">
        <v>9</v>
      </c>
      <c r="H842" s="711">
        <v>4</v>
      </c>
      <c r="I842" s="711">
        <v>5</v>
      </c>
      <c r="J842" s="711"/>
      <c r="K842" s="711">
        <v>4</v>
      </c>
      <c r="L842" s="711">
        <v>1</v>
      </c>
      <c r="M842" s="711" t="s">
        <v>3320</v>
      </c>
    </row>
    <row r="843" spans="1:13">
      <c r="A843" s="711" t="s">
        <v>2511</v>
      </c>
      <c r="B843" s="711"/>
      <c r="C843" s="711"/>
      <c r="D843" s="711"/>
      <c r="E843" s="711"/>
      <c r="F843" s="711">
        <v>31</v>
      </c>
      <c r="G843" s="711"/>
      <c r="H843" s="711"/>
      <c r="I843" s="711"/>
      <c r="J843" s="711"/>
      <c r="K843" s="711">
        <v>1</v>
      </c>
      <c r="L843" s="711">
        <v>31</v>
      </c>
      <c r="M843" s="711" t="s">
        <v>41</v>
      </c>
    </row>
    <row r="844" spans="1:13">
      <c r="A844" s="711" t="s">
        <v>2394</v>
      </c>
      <c r="B844" s="711"/>
      <c r="C844" s="711"/>
      <c r="D844" s="711"/>
      <c r="E844" s="711"/>
      <c r="F844" s="711">
        <v>4</v>
      </c>
      <c r="G844" s="711"/>
      <c r="H844" s="711"/>
      <c r="I844" s="711"/>
      <c r="J844" s="711"/>
      <c r="K844" s="711">
        <v>1</v>
      </c>
      <c r="L844" s="711">
        <v>4</v>
      </c>
      <c r="M844" s="711" t="s">
        <v>39</v>
      </c>
    </row>
    <row r="845" spans="1:13">
      <c r="A845" s="711" t="s">
        <v>3099</v>
      </c>
      <c r="B845" s="711"/>
      <c r="C845" s="711"/>
      <c r="D845" s="711"/>
      <c r="E845" s="711"/>
      <c r="F845" s="711">
        <v>3</v>
      </c>
      <c r="G845" s="711"/>
      <c r="H845" s="711"/>
      <c r="I845" s="711"/>
      <c r="J845" s="711"/>
      <c r="K845" s="711">
        <v>1</v>
      </c>
      <c r="L845" s="711">
        <v>3</v>
      </c>
      <c r="M845" s="711" t="s">
        <v>48</v>
      </c>
    </row>
    <row r="846" spans="1:13">
      <c r="A846" s="711" t="s">
        <v>3007</v>
      </c>
      <c r="B846" s="711" t="s">
        <v>2393</v>
      </c>
      <c r="C846" s="711" t="s">
        <v>2362</v>
      </c>
      <c r="D846" s="711" t="s">
        <v>3101</v>
      </c>
      <c r="E846" s="711" t="s">
        <v>2409</v>
      </c>
      <c r="F846" s="711">
        <v>31</v>
      </c>
      <c r="G846" s="711">
        <v>4</v>
      </c>
      <c r="H846" s="711">
        <v>1</v>
      </c>
      <c r="I846" s="711">
        <v>6</v>
      </c>
      <c r="J846" s="711">
        <v>7</v>
      </c>
      <c r="K846" s="711">
        <v>5</v>
      </c>
      <c r="L846" s="711">
        <v>31</v>
      </c>
      <c r="M846" s="711" t="s">
        <v>3485</v>
      </c>
    </row>
    <row r="847" spans="1:13">
      <c r="A847" s="711" t="s">
        <v>2393</v>
      </c>
      <c r="B847" s="711"/>
      <c r="C847" s="711"/>
      <c r="D847" s="711"/>
      <c r="E847" s="711"/>
      <c r="F847" s="711">
        <v>4</v>
      </c>
      <c r="G847" s="711"/>
      <c r="H847" s="711"/>
      <c r="I847" s="711"/>
      <c r="J847" s="711"/>
      <c r="K847" s="711">
        <v>1</v>
      </c>
      <c r="L847" s="711">
        <v>4</v>
      </c>
      <c r="M847" s="711" t="s">
        <v>39</v>
      </c>
    </row>
    <row r="848" spans="1:13">
      <c r="A848" s="711" t="s">
        <v>2393</v>
      </c>
      <c r="B848" s="711" t="s">
        <v>2362</v>
      </c>
      <c r="C848" s="711" t="s">
        <v>3099</v>
      </c>
      <c r="D848" s="711" t="s">
        <v>2378</v>
      </c>
      <c r="E848" s="711" t="s">
        <v>2420</v>
      </c>
      <c r="F848" s="711">
        <v>4</v>
      </c>
      <c r="G848" s="711">
        <v>1</v>
      </c>
      <c r="H848" s="711">
        <v>3</v>
      </c>
      <c r="I848" s="711">
        <v>2</v>
      </c>
      <c r="J848" s="711">
        <v>9</v>
      </c>
      <c r="K848" s="711">
        <v>5</v>
      </c>
      <c r="L848" s="711">
        <v>4</v>
      </c>
      <c r="M848" s="711" t="s">
        <v>3486</v>
      </c>
    </row>
    <row r="849" spans="1:13">
      <c r="A849" s="711" t="s">
        <v>3100</v>
      </c>
      <c r="B849" s="711" t="s">
        <v>2411</v>
      </c>
      <c r="C849" s="711"/>
      <c r="D849" s="711"/>
      <c r="E849" s="711"/>
      <c r="F849" s="711">
        <v>5</v>
      </c>
      <c r="G849" s="711">
        <v>8</v>
      </c>
      <c r="H849" s="711"/>
      <c r="I849" s="711"/>
      <c r="J849" s="711"/>
      <c r="K849" s="711">
        <v>2</v>
      </c>
      <c r="L849" s="711">
        <v>5</v>
      </c>
      <c r="M849" s="711" t="s">
        <v>967</v>
      </c>
    </row>
    <row r="850" spans="1:13">
      <c r="A850" s="711" t="s">
        <v>3008</v>
      </c>
      <c r="B850" s="711" t="s">
        <v>3100</v>
      </c>
      <c r="C850" s="711" t="s">
        <v>2443</v>
      </c>
      <c r="D850" s="711"/>
      <c r="E850" s="711"/>
      <c r="F850" s="711">
        <v>31</v>
      </c>
      <c r="G850" s="711">
        <v>5</v>
      </c>
      <c r="H850" s="711">
        <v>15</v>
      </c>
      <c r="I850" s="711"/>
      <c r="J850" s="711"/>
      <c r="K850" s="711">
        <v>3</v>
      </c>
      <c r="L850" s="711">
        <v>31</v>
      </c>
      <c r="M850" s="711" t="s">
        <v>3321</v>
      </c>
    </row>
    <row r="851" spans="1:13">
      <c r="A851" s="711" t="s">
        <v>2394</v>
      </c>
      <c r="B851" s="711"/>
      <c r="C851" s="711"/>
      <c r="D851" s="711"/>
      <c r="E851" s="711"/>
      <c r="F851" s="711">
        <v>4</v>
      </c>
      <c r="G851" s="711"/>
      <c r="H851" s="711"/>
      <c r="I851" s="711"/>
      <c r="J851" s="711"/>
      <c r="K851" s="711">
        <v>1</v>
      </c>
      <c r="L851" s="711">
        <v>4</v>
      </c>
      <c r="M851" s="711" t="s">
        <v>39</v>
      </c>
    </row>
    <row r="852" spans="1:13">
      <c r="A852" s="711" t="s">
        <v>2377</v>
      </c>
      <c r="B852" s="711" t="s">
        <v>2464</v>
      </c>
      <c r="C852" s="711" t="s">
        <v>3099</v>
      </c>
      <c r="D852" s="711" t="s">
        <v>2551</v>
      </c>
      <c r="E852" s="711"/>
      <c r="F852" s="711">
        <v>2</v>
      </c>
      <c r="G852" s="711">
        <v>25</v>
      </c>
      <c r="H852" s="711">
        <v>3</v>
      </c>
      <c r="I852" s="711">
        <v>31</v>
      </c>
      <c r="J852" s="711"/>
      <c r="K852" s="711">
        <v>4</v>
      </c>
      <c r="L852" s="711">
        <v>2</v>
      </c>
      <c r="M852" s="711" t="s">
        <v>3322</v>
      </c>
    </row>
    <row r="853" spans="1:13">
      <c r="A853" s="711" t="s">
        <v>2511</v>
      </c>
      <c r="B853" s="711" t="s">
        <v>3042</v>
      </c>
      <c r="C853" s="711"/>
      <c r="D853" s="711"/>
      <c r="E853" s="711"/>
      <c r="F853" s="711">
        <v>31</v>
      </c>
      <c r="G853" s="711">
        <v>31</v>
      </c>
      <c r="H853" s="711"/>
      <c r="I853" s="711"/>
      <c r="J853" s="711"/>
      <c r="K853" s="711">
        <v>2</v>
      </c>
      <c r="L853" s="711">
        <v>31</v>
      </c>
      <c r="M853" s="711" t="s">
        <v>41</v>
      </c>
    </row>
    <row r="854" spans="1:13">
      <c r="A854" s="711" t="s">
        <v>2377</v>
      </c>
      <c r="B854" s="711" t="s">
        <v>3099</v>
      </c>
      <c r="C854" s="711" t="s">
        <v>2362</v>
      </c>
      <c r="D854" s="711" t="s">
        <v>2393</v>
      </c>
      <c r="E854" s="711" t="s">
        <v>3114</v>
      </c>
      <c r="F854" s="711">
        <v>2</v>
      </c>
      <c r="G854" s="711">
        <v>3</v>
      </c>
      <c r="H854" s="711">
        <v>1</v>
      </c>
      <c r="I854" s="711">
        <v>4</v>
      </c>
      <c r="J854" s="711">
        <v>31</v>
      </c>
      <c r="K854" s="711">
        <v>5</v>
      </c>
      <c r="L854" s="711">
        <v>2</v>
      </c>
      <c r="M854" s="711" t="s">
        <v>3487</v>
      </c>
    </row>
    <row r="855" spans="1:13">
      <c r="A855" s="711" t="s">
        <v>2420</v>
      </c>
      <c r="B855" s="711" t="s">
        <v>3043</v>
      </c>
      <c r="C855" s="711" t="s">
        <v>3100</v>
      </c>
      <c r="D855" s="711"/>
      <c r="E855" s="711"/>
      <c r="F855" s="711">
        <v>9</v>
      </c>
      <c r="G855" s="711">
        <v>31</v>
      </c>
      <c r="H855" s="711">
        <v>5</v>
      </c>
      <c r="I855" s="711"/>
      <c r="J855" s="711"/>
      <c r="K855" s="711">
        <v>3</v>
      </c>
      <c r="L855" s="711">
        <v>9</v>
      </c>
      <c r="M855" s="711" t="s">
        <v>3323</v>
      </c>
    </row>
    <row r="856" spans="1:13">
      <c r="A856" s="711" t="s">
        <v>2362</v>
      </c>
      <c r="B856" s="711"/>
      <c r="C856" s="711"/>
      <c r="D856" s="711"/>
      <c r="E856" s="711"/>
      <c r="F856" s="711">
        <v>1</v>
      </c>
      <c r="G856" s="711"/>
      <c r="H856" s="711"/>
      <c r="I856" s="711"/>
      <c r="J856" s="711"/>
      <c r="K856" s="711">
        <v>1</v>
      </c>
      <c r="L856" s="711">
        <v>1</v>
      </c>
      <c r="M856" s="711" t="s">
        <v>26</v>
      </c>
    </row>
    <row r="857" spans="1:13">
      <c r="A857" s="711" t="s">
        <v>3099</v>
      </c>
      <c r="B857" s="711" t="s">
        <v>2377</v>
      </c>
      <c r="C857" s="711" t="s">
        <v>2362</v>
      </c>
      <c r="D857" s="711" t="s">
        <v>2393</v>
      </c>
      <c r="E857" s="711" t="s">
        <v>2409</v>
      </c>
      <c r="F857" s="711">
        <v>3</v>
      </c>
      <c r="G857" s="711">
        <v>2</v>
      </c>
      <c r="H857" s="711">
        <v>1</v>
      </c>
      <c r="I857" s="711">
        <v>4</v>
      </c>
      <c r="J857" s="711">
        <v>7</v>
      </c>
      <c r="K857" s="711">
        <v>5</v>
      </c>
      <c r="L857" s="711">
        <v>3</v>
      </c>
      <c r="M857" s="711" t="s">
        <v>3488</v>
      </c>
    </row>
    <row r="858" spans="1:13">
      <c r="A858" s="711" t="s">
        <v>3100</v>
      </c>
      <c r="B858" s="711" t="s">
        <v>2420</v>
      </c>
      <c r="C858" s="711" t="s">
        <v>3075</v>
      </c>
      <c r="D858" s="711"/>
      <c r="E858" s="711"/>
      <c r="F858" s="711">
        <v>5</v>
      </c>
      <c r="G858" s="711">
        <v>9</v>
      </c>
      <c r="H858" s="711">
        <v>31</v>
      </c>
      <c r="I858" s="711"/>
      <c r="J858" s="711"/>
      <c r="K858" s="711">
        <v>3</v>
      </c>
      <c r="L858" s="711">
        <v>5</v>
      </c>
      <c r="M858" s="711" t="s">
        <v>3324</v>
      </c>
    </row>
    <row r="859" spans="1:13">
      <c r="A859" s="711" t="s">
        <v>2362</v>
      </c>
      <c r="B859" s="711" t="s">
        <v>2377</v>
      </c>
      <c r="C859" s="711" t="s">
        <v>2482</v>
      </c>
      <c r="D859" s="711"/>
      <c r="E859" s="711"/>
      <c r="F859" s="711">
        <v>1</v>
      </c>
      <c r="G859" s="711">
        <v>2</v>
      </c>
      <c r="H859" s="711">
        <v>31</v>
      </c>
      <c r="I859" s="711"/>
      <c r="J859" s="711"/>
      <c r="K859" s="711">
        <v>3</v>
      </c>
      <c r="L859" s="711">
        <v>1</v>
      </c>
      <c r="M859" s="711" t="s">
        <v>3208</v>
      </c>
    </row>
    <row r="860" spans="1:13">
      <c r="A860" s="711" t="s">
        <v>3009</v>
      </c>
      <c r="B860" s="711" t="s">
        <v>3100</v>
      </c>
      <c r="C860" s="711" t="s">
        <v>3076</v>
      </c>
      <c r="D860" s="711"/>
      <c r="E860" s="711"/>
      <c r="F860" s="711">
        <v>31</v>
      </c>
      <c r="G860" s="711">
        <v>5</v>
      </c>
      <c r="H860" s="711">
        <v>31</v>
      </c>
      <c r="I860" s="711"/>
      <c r="J860" s="711"/>
      <c r="K860" s="711">
        <v>3</v>
      </c>
      <c r="L860" s="711">
        <v>31</v>
      </c>
      <c r="M860" s="711" t="s">
        <v>3409</v>
      </c>
    </row>
    <row r="861" spans="1:13">
      <c r="A861" s="711" t="s">
        <v>2406</v>
      </c>
      <c r="B861" s="711" t="s">
        <v>3044</v>
      </c>
      <c r="C861" s="711" t="s">
        <v>3077</v>
      </c>
      <c r="D861" s="711"/>
      <c r="E861" s="711"/>
      <c r="F861" s="711">
        <v>5</v>
      </c>
      <c r="G861" s="711">
        <v>31</v>
      </c>
      <c r="H861" s="711">
        <v>31</v>
      </c>
      <c r="I861" s="711"/>
      <c r="J861" s="711"/>
      <c r="K861" s="711">
        <v>3</v>
      </c>
      <c r="L861" s="711">
        <v>5</v>
      </c>
      <c r="M861" s="711" t="s">
        <v>3410</v>
      </c>
    </row>
    <row r="862" spans="1:13">
      <c r="A862" s="711" t="s">
        <v>2443</v>
      </c>
      <c r="B862" s="711" t="s">
        <v>2406</v>
      </c>
      <c r="C862" s="711" t="s">
        <v>3078</v>
      </c>
      <c r="D862" s="711"/>
      <c r="E862" s="711"/>
      <c r="F862" s="711">
        <v>15</v>
      </c>
      <c r="G862" s="711">
        <v>5</v>
      </c>
      <c r="H862" s="711">
        <v>31</v>
      </c>
      <c r="I862" s="711"/>
      <c r="J862" s="711"/>
      <c r="K862" s="711">
        <v>3</v>
      </c>
      <c r="L862" s="711">
        <v>15</v>
      </c>
      <c r="M862" s="711" t="s">
        <v>3325</v>
      </c>
    </row>
    <row r="863" spans="1:13">
      <c r="A863" s="711" t="s">
        <v>2440</v>
      </c>
      <c r="B863" s="711" t="s">
        <v>2435</v>
      </c>
      <c r="C863" s="711"/>
      <c r="D863" s="711"/>
      <c r="E863" s="711"/>
      <c r="F863" s="711">
        <v>14</v>
      </c>
      <c r="G863" s="711">
        <v>11</v>
      </c>
      <c r="H863" s="711"/>
      <c r="I863" s="711"/>
      <c r="J863" s="711"/>
      <c r="K863" s="711">
        <v>2</v>
      </c>
      <c r="L863" s="711">
        <v>14</v>
      </c>
      <c r="M863" s="711" t="s">
        <v>3326</v>
      </c>
    </row>
    <row r="864" spans="1:13">
      <c r="A864" s="711" t="s">
        <v>2362</v>
      </c>
      <c r="B864" s="711"/>
      <c r="C864" s="711"/>
      <c r="D864" s="711"/>
      <c r="E864" s="711"/>
      <c r="F864" s="711">
        <v>1</v>
      </c>
      <c r="G864" s="711"/>
      <c r="H864" s="711"/>
      <c r="I864" s="711"/>
      <c r="J864" s="711"/>
      <c r="K864" s="711">
        <v>1</v>
      </c>
      <c r="L864" s="711">
        <v>1</v>
      </c>
      <c r="M864" s="711" t="s">
        <v>26</v>
      </c>
    </row>
    <row r="865" spans="1:13">
      <c r="A865" s="711" t="s">
        <v>2377</v>
      </c>
      <c r="B865" s="711" t="s">
        <v>2411</v>
      </c>
      <c r="C865" s="711" t="s">
        <v>2362</v>
      </c>
      <c r="D865" s="711" t="s">
        <v>3099</v>
      </c>
      <c r="E865" s="711"/>
      <c r="F865" s="711">
        <v>2</v>
      </c>
      <c r="G865" s="711">
        <v>8</v>
      </c>
      <c r="H865" s="711">
        <v>1</v>
      </c>
      <c r="I865" s="711">
        <v>3</v>
      </c>
      <c r="J865" s="711"/>
      <c r="K865" s="711">
        <v>4</v>
      </c>
      <c r="L865" s="711">
        <v>2</v>
      </c>
      <c r="M865" s="711" t="s">
        <v>3327</v>
      </c>
    </row>
    <row r="866" spans="1:13">
      <c r="A866" s="711" t="s">
        <v>3010</v>
      </c>
      <c r="B866" s="711"/>
      <c r="C866" s="711"/>
      <c r="D866" s="711"/>
      <c r="E866" s="711"/>
      <c r="F866" s="711">
        <v>31</v>
      </c>
      <c r="G866" s="711"/>
      <c r="H866" s="711"/>
      <c r="I866" s="711"/>
      <c r="J866" s="711"/>
      <c r="K866" s="711">
        <v>1</v>
      </c>
      <c r="L866" s="711">
        <v>31</v>
      </c>
      <c r="M866" s="711" t="s">
        <v>41</v>
      </c>
    </row>
    <row r="867" spans="1:13">
      <c r="A867" s="711" t="s">
        <v>3099</v>
      </c>
      <c r="B867" s="711"/>
      <c r="C867" s="711"/>
      <c r="D867" s="711"/>
      <c r="E867" s="711"/>
      <c r="F867" s="711">
        <v>3</v>
      </c>
      <c r="G867" s="711"/>
      <c r="H867" s="711"/>
      <c r="I867" s="711"/>
      <c r="J867" s="711"/>
      <c r="K867" s="711">
        <v>1</v>
      </c>
      <c r="L867" s="711">
        <v>3</v>
      </c>
      <c r="M867" s="711" t="s">
        <v>48</v>
      </c>
    </row>
    <row r="868" spans="1:13">
      <c r="A868" s="711" t="s">
        <v>2362</v>
      </c>
      <c r="B868" s="711"/>
      <c r="C868" s="711"/>
      <c r="D868" s="711"/>
      <c r="E868" s="711"/>
      <c r="F868" s="711">
        <v>1</v>
      </c>
      <c r="G868" s="711"/>
      <c r="H868" s="711"/>
      <c r="I868" s="711"/>
      <c r="J868" s="711"/>
      <c r="K868" s="711">
        <v>1</v>
      </c>
      <c r="L868" s="711">
        <v>1</v>
      </c>
      <c r="M868" s="711" t="s">
        <v>26</v>
      </c>
    </row>
    <row r="869" spans="1:13">
      <c r="A869" s="711" t="s">
        <v>3121</v>
      </c>
      <c r="B869" s="711" t="s">
        <v>3127</v>
      </c>
      <c r="C869" s="711" t="s">
        <v>3124</v>
      </c>
      <c r="D869" s="711" t="s">
        <v>2872</v>
      </c>
      <c r="E869" s="711"/>
      <c r="F869" s="711">
        <v>1</v>
      </c>
      <c r="G869" s="711">
        <v>4</v>
      </c>
      <c r="H869" s="711">
        <v>3</v>
      </c>
      <c r="I869" s="711">
        <v>31</v>
      </c>
      <c r="J869" s="711"/>
      <c r="K869" s="711">
        <v>4</v>
      </c>
      <c r="L869" s="711">
        <v>1</v>
      </c>
      <c r="M869" s="711" t="s">
        <v>3328</v>
      </c>
    </row>
    <row r="870" spans="1:13">
      <c r="A870" s="711" t="s">
        <v>2362</v>
      </c>
      <c r="B870" s="711" t="s">
        <v>3099</v>
      </c>
      <c r="C870" s="711" t="s">
        <v>2420</v>
      </c>
      <c r="D870" s="711" t="s">
        <v>2411</v>
      </c>
      <c r="E870" s="711" t="s">
        <v>2377</v>
      </c>
      <c r="F870" s="711">
        <v>1</v>
      </c>
      <c r="G870" s="711">
        <v>3</v>
      </c>
      <c r="H870" s="711">
        <v>9</v>
      </c>
      <c r="I870" s="711">
        <v>8</v>
      </c>
      <c r="J870" s="711">
        <v>2</v>
      </c>
      <c r="K870" s="711">
        <v>5</v>
      </c>
      <c r="L870" s="711">
        <v>1</v>
      </c>
      <c r="M870" s="711" t="s">
        <v>3489</v>
      </c>
    </row>
    <row r="871" spans="1:13">
      <c r="A871" s="711" t="s">
        <v>2377</v>
      </c>
      <c r="B871" s="711"/>
      <c r="C871" s="711"/>
      <c r="D871" s="711"/>
      <c r="E871" s="711"/>
      <c r="F871" s="711">
        <v>2</v>
      </c>
      <c r="G871" s="711"/>
      <c r="H871" s="711"/>
      <c r="I871" s="711"/>
      <c r="J871" s="711"/>
      <c r="K871" s="711">
        <v>1</v>
      </c>
      <c r="L871" s="711">
        <v>2</v>
      </c>
      <c r="M871" s="711" t="s">
        <v>47</v>
      </c>
    </row>
    <row r="872" spans="1:13">
      <c r="A872" s="711" t="s">
        <v>2377</v>
      </c>
      <c r="B872" s="711"/>
      <c r="C872" s="711"/>
      <c r="D872" s="711"/>
      <c r="E872" s="711"/>
      <c r="F872" s="711">
        <v>2</v>
      </c>
      <c r="G872" s="711"/>
      <c r="H872" s="711"/>
      <c r="I872" s="711"/>
      <c r="J872" s="711"/>
      <c r="K872" s="711">
        <v>1</v>
      </c>
      <c r="L872" s="711">
        <v>2</v>
      </c>
      <c r="M872" s="711" t="s">
        <v>47</v>
      </c>
    </row>
    <row r="873" spans="1:13">
      <c r="A873" s="711" t="s">
        <v>3099</v>
      </c>
      <c r="B873" s="711"/>
      <c r="C873" s="711"/>
      <c r="D873" s="711"/>
      <c r="E873" s="711"/>
      <c r="F873" s="711">
        <v>3</v>
      </c>
      <c r="G873" s="711"/>
      <c r="H873" s="711"/>
      <c r="I873" s="711"/>
      <c r="J873" s="711"/>
      <c r="K873" s="711">
        <v>1</v>
      </c>
      <c r="L873" s="711">
        <v>3</v>
      </c>
      <c r="M873" s="711" t="s">
        <v>48</v>
      </c>
    </row>
    <row r="874" spans="1:13">
      <c r="A874" s="711" t="s">
        <v>2377</v>
      </c>
      <c r="B874" s="711" t="s">
        <v>2721</v>
      </c>
      <c r="C874" s="711"/>
      <c r="D874" s="711"/>
      <c r="E874" s="711"/>
      <c r="F874" s="711">
        <v>2</v>
      </c>
      <c r="G874" s="711">
        <v>31</v>
      </c>
      <c r="H874" s="711"/>
      <c r="I874" s="711"/>
      <c r="J874" s="711"/>
      <c r="K874" s="711">
        <v>2</v>
      </c>
      <c r="L874" s="711">
        <v>2</v>
      </c>
      <c r="M874" s="711" t="s">
        <v>3187</v>
      </c>
    </row>
    <row r="875" spans="1:13">
      <c r="A875" s="711" t="s">
        <v>2393</v>
      </c>
      <c r="B875" s="711" t="s">
        <v>2362</v>
      </c>
      <c r="C875" s="711" t="s">
        <v>3100</v>
      </c>
      <c r="D875" s="711"/>
      <c r="E875" s="711"/>
      <c r="F875" s="711">
        <v>4</v>
      </c>
      <c r="G875" s="711">
        <v>1</v>
      </c>
      <c r="H875" s="711">
        <v>5</v>
      </c>
      <c r="I875" s="711"/>
      <c r="J875" s="711"/>
      <c r="K875" s="711">
        <v>3</v>
      </c>
      <c r="L875" s="711">
        <v>4</v>
      </c>
      <c r="M875" s="711" t="s">
        <v>3329</v>
      </c>
    </row>
    <row r="876" spans="1:13">
      <c r="A876" s="711" t="s">
        <v>2392</v>
      </c>
      <c r="B876" s="711" t="s">
        <v>2377</v>
      </c>
      <c r="C876" s="711" t="s">
        <v>2393</v>
      </c>
      <c r="D876" s="711"/>
      <c r="E876" s="711"/>
      <c r="F876" s="711">
        <v>3</v>
      </c>
      <c r="G876" s="711">
        <v>2</v>
      </c>
      <c r="H876" s="711">
        <v>4</v>
      </c>
      <c r="I876" s="711"/>
      <c r="J876" s="711"/>
      <c r="K876" s="711">
        <v>3</v>
      </c>
      <c r="L876" s="711">
        <v>3</v>
      </c>
      <c r="M876" s="711" t="s">
        <v>3330</v>
      </c>
    </row>
    <row r="877" spans="1:13">
      <c r="A877" s="711" t="s">
        <v>2393</v>
      </c>
      <c r="B877" s="711"/>
      <c r="C877" s="711"/>
      <c r="D877" s="711"/>
      <c r="E877" s="711"/>
      <c r="F877" s="711">
        <v>4</v>
      </c>
      <c r="G877" s="711"/>
      <c r="H877" s="711"/>
      <c r="I877" s="711"/>
      <c r="J877" s="711"/>
      <c r="K877" s="711">
        <v>1</v>
      </c>
      <c r="L877" s="711">
        <v>4</v>
      </c>
      <c r="M877" s="711" t="s">
        <v>39</v>
      </c>
    </row>
    <row r="878" spans="1:13">
      <c r="A878" s="711" t="s">
        <v>3101</v>
      </c>
      <c r="B878" s="711" t="s">
        <v>2362</v>
      </c>
      <c r="C878" s="711"/>
      <c r="D878" s="711"/>
      <c r="E878" s="711"/>
      <c r="F878" s="711">
        <v>6</v>
      </c>
      <c r="G878" s="711">
        <v>1</v>
      </c>
      <c r="H878" s="711"/>
      <c r="I878" s="711"/>
      <c r="J878" s="711"/>
      <c r="K878" s="711">
        <v>2</v>
      </c>
      <c r="L878" s="711">
        <v>6</v>
      </c>
      <c r="M878" s="711" t="s">
        <v>3186</v>
      </c>
    </row>
    <row r="879" spans="1:13">
      <c r="A879" s="711" t="s">
        <v>2362</v>
      </c>
      <c r="B879" s="711"/>
      <c r="C879" s="711"/>
      <c r="D879" s="711"/>
      <c r="E879" s="711"/>
      <c r="F879" s="711">
        <v>1</v>
      </c>
      <c r="G879" s="711"/>
      <c r="H879" s="711"/>
      <c r="I879" s="711"/>
      <c r="J879" s="711"/>
      <c r="K879" s="711">
        <v>1</v>
      </c>
      <c r="L879" s="711">
        <v>1</v>
      </c>
      <c r="M879" s="711" t="s">
        <v>26</v>
      </c>
    </row>
    <row r="880" spans="1:13">
      <c r="A880" s="711" t="s">
        <v>2377</v>
      </c>
      <c r="B880" s="711"/>
      <c r="C880" s="711"/>
      <c r="D880" s="711"/>
      <c r="E880" s="711"/>
      <c r="F880" s="711">
        <v>2</v>
      </c>
      <c r="G880" s="711"/>
      <c r="H880" s="711"/>
      <c r="I880" s="711"/>
      <c r="J880" s="711"/>
      <c r="K880" s="711">
        <v>1</v>
      </c>
      <c r="L880" s="711">
        <v>2</v>
      </c>
      <c r="M880" s="711" t="s">
        <v>47</v>
      </c>
    </row>
    <row r="881" spans="1:13">
      <c r="A881" s="711" t="s">
        <v>2952</v>
      </c>
      <c r="B881" s="711" t="s">
        <v>3045</v>
      </c>
      <c r="C881" s="711"/>
      <c r="D881" s="711"/>
      <c r="E881" s="711"/>
      <c r="F881" s="711">
        <v>31</v>
      </c>
      <c r="G881" s="711">
        <v>31</v>
      </c>
      <c r="H881" s="711"/>
      <c r="I881" s="711"/>
      <c r="J881" s="711"/>
      <c r="K881" s="711">
        <v>2</v>
      </c>
      <c r="L881" s="711">
        <v>31</v>
      </c>
      <c r="M881" s="711" t="s">
        <v>41</v>
      </c>
    </row>
    <row r="882" spans="1:13">
      <c r="A882" s="711" t="s">
        <v>2393</v>
      </c>
      <c r="B882" s="711" t="s">
        <v>3099</v>
      </c>
      <c r="C882" s="711"/>
      <c r="D882" s="711"/>
      <c r="E882" s="711"/>
      <c r="F882" s="711">
        <v>4</v>
      </c>
      <c r="G882" s="711">
        <v>3</v>
      </c>
      <c r="H882" s="711"/>
      <c r="I882" s="711"/>
      <c r="J882" s="711"/>
      <c r="K882" s="711">
        <v>2</v>
      </c>
      <c r="L882" s="711">
        <v>4</v>
      </c>
      <c r="M882" s="711" t="s">
        <v>3233</v>
      </c>
    </row>
    <row r="883" spans="1:13">
      <c r="A883" s="711" t="s">
        <v>2375</v>
      </c>
      <c r="B883" s="711"/>
      <c r="C883" s="711"/>
      <c r="D883" s="711"/>
      <c r="E883" s="711"/>
      <c r="F883" s="711">
        <v>1</v>
      </c>
      <c r="G883" s="711"/>
      <c r="H883" s="711"/>
      <c r="I883" s="711"/>
      <c r="J883" s="711"/>
      <c r="K883" s="711">
        <v>1</v>
      </c>
      <c r="L883" s="711">
        <v>1</v>
      </c>
      <c r="M883" s="711" t="s">
        <v>26</v>
      </c>
    </row>
    <row r="884" spans="1:13">
      <c r="A884" s="711" t="s">
        <v>2393</v>
      </c>
      <c r="B884" s="711"/>
      <c r="C884" s="711"/>
      <c r="D884" s="711"/>
      <c r="E884" s="711"/>
      <c r="F884" s="711">
        <v>4</v>
      </c>
      <c r="G884" s="711"/>
      <c r="H884" s="711"/>
      <c r="I884" s="711"/>
      <c r="J884" s="711"/>
      <c r="K884" s="711">
        <v>1</v>
      </c>
      <c r="L884" s="711">
        <v>4</v>
      </c>
      <c r="M884" s="711" t="s">
        <v>39</v>
      </c>
    </row>
    <row r="885" spans="1:13">
      <c r="A885" s="711" t="s">
        <v>2952</v>
      </c>
      <c r="B885" s="711"/>
      <c r="C885" s="711"/>
      <c r="D885" s="711"/>
      <c r="E885" s="711"/>
      <c r="F885" s="711">
        <v>31</v>
      </c>
      <c r="G885" s="711"/>
      <c r="H885" s="711"/>
      <c r="I885" s="711"/>
      <c r="J885" s="711"/>
      <c r="K885" s="711">
        <v>1</v>
      </c>
      <c r="L885" s="711">
        <v>31</v>
      </c>
      <c r="M885" s="711" t="s">
        <v>41</v>
      </c>
    </row>
    <row r="886" spans="1:13">
      <c r="A886" s="711" t="s">
        <v>2362</v>
      </c>
      <c r="B886" s="711"/>
      <c r="C886" s="711"/>
      <c r="D886" s="711"/>
      <c r="E886" s="711"/>
      <c r="F886" s="711">
        <v>1</v>
      </c>
      <c r="G886" s="711"/>
      <c r="H886" s="711"/>
      <c r="I886" s="711"/>
      <c r="J886" s="711"/>
      <c r="K886" s="711">
        <v>1</v>
      </c>
      <c r="L886" s="711">
        <v>1</v>
      </c>
      <c r="M886" s="711" t="s">
        <v>26</v>
      </c>
    </row>
    <row r="887" spans="1:13">
      <c r="A887" s="711" t="s">
        <v>2362</v>
      </c>
      <c r="B887" s="711"/>
      <c r="C887" s="711"/>
      <c r="D887" s="711"/>
      <c r="E887" s="711"/>
      <c r="F887" s="711">
        <v>1</v>
      </c>
      <c r="G887" s="711"/>
      <c r="H887" s="711"/>
      <c r="I887" s="711"/>
      <c r="J887" s="711"/>
      <c r="K887" s="711">
        <v>1</v>
      </c>
      <c r="L887" s="711">
        <v>1</v>
      </c>
      <c r="M887" s="711" t="s">
        <v>26</v>
      </c>
    </row>
    <row r="888" spans="1:13">
      <c r="A888" s="711" t="s">
        <v>2420</v>
      </c>
      <c r="B888" s="711"/>
      <c r="C888" s="711"/>
      <c r="D888" s="711"/>
      <c r="E888" s="711"/>
      <c r="F888" s="711">
        <v>9</v>
      </c>
      <c r="G888" s="711"/>
      <c r="H888" s="711"/>
      <c r="I888" s="711"/>
      <c r="J888" s="711"/>
      <c r="K888" s="711">
        <v>1</v>
      </c>
      <c r="L888" s="711">
        <v>9</v>
      </c>
      <c r="M888" s="711" t="s">
        <v>27</v>
      </c>
    </row>
    <row r="889" spans="1:13">
      <c r="A889" s="711" t="s">
        <v>3099</v>
      </c>
      <c r="B889" s="711"/>
      <c r="C889" s="711"/>
      <c r="D889" s="711"/>
      <c r="E889" s="711"/>
      <c r="F889" s="711">
        <v>3</v>
      </c>
      <c r="G889" s="711"/>
      <c r="H889" s="711"/>
      <c r="I889" s="711"/>
      <c r="J889" s="711"/>
      <c r="K889" s="711">
        <v>1</v>
      </c>
      <c r="L889" s="711">
        <v>3</v>
      </c>
      <c r="M889" s="711" t="s">
        <v>48</v>
      </c>
    </row>
    <row r="890" spans="1:13">
      <c r="A890" s="711" t="s">
        <v>2362</v>
      </c>
      <c r="B890" s="711" t="s">
        <v>2420</v>
      </c>
      <c r="C890" s="711" t="s">
        <v>2464</v>
      </c>
      <c r="D890" s="711"/>
      <c r="E890" s="711"/>
      <c r="F890" s="711">
        <v>1</v>
      </c>
      <c r="G890" s="711">
        <v>9</v>
      </c>
      <c r="H890" s="711">
        <v>25</v>
      </c>
      <c r="I890" s="711"/>
      <c r="J890" s="711"/>
      <c r="K890" s="711">
        <v>3</v>
      </c>
      <c r="L890" s="711">
        <v>1</v>
      </c>
      <c r="M890" s="711" t="s">
        <v>3331</v>
      </c>
    </row>
    <row r="891" spans="1:13">
      <c r="A891" s="711" t="s">
        <v>3099</v>
      </c>
      <c r="B891" s="711" t="s">
        <v>2954</v>
      </c>
      <c r="C891" s="711" t="s">
        <v>2957</v>
      </c>
      <c r="D891" s="711"/>
      <c r="E891" s="711"/>
      <c r="F891" s="711">
        <v>3</v>
      </c>
      <c r="G891" s="711">
        <v>31</v>
      </c>
      <c r="H891" s="711">
        <v>31</v>
      </c>
      <c r="I891" s="711"/>
      <c r="J891" s="711"/>
      <c r="K891" s="711">
        <v>3</v>
      </c>
      <c r="L891" s="711">
        <v>3</v>
      </c>
      <c r="M891" s="711" t="s">
        <v>3238</v>
      </c>
    </row>
    <row r="892" spans="1:13">
      <c r="A892" s="711" t="s">
        <v>2362</v>
      </c>
      <c r="B892" s="711" t="s">
        <v>3046</v>
      </c>
      <c r="C892" s="711"/>
      <c r="D892" s="711"/>
      <c r="E892" s="711"/>
      <c r="F892" s="711">
        <v>1</v>
      </c>
      <c r="G892" s="711">
        <v>31</v>
      </c>
      <c r="H892" s="711"/>
      <c r="I892" s="711"/>
      <c r="J892" s="711"/>
      <c r="K892" s="711">
        <v>2</v>
      </c>
      <c r="L892" s="711">
        <v>1</v>
      </c>
      <c r="M892" s="711" t="s">
        <v>3151</v>
      </c>
    </row>
    <row r="893" spans="1:13">
      <c r="A893" s="711" t="s">
        <v>2393</v>
      </c>
      <c r="B893" s="711" t="s">
        <v>2362</v>
      </c>
      <c r="C893" s="711" t="s">
        <v>2377</v>
      </c>
      <c r="D893" s="711"/>
      <c r="E893" s="711"/>
      <c r="F893" s="711">
        <v>4</v>
      </c>
      <c r="G893" s="711">
        <v>1</v>
      </c>
      <c r="H893" s="711">
        <v>2</v>
      </c>
      <c r="I893" s="711"/>
      <c r="J893" s="711"/>
      <c r="K893" s="711">
        <v>3</v>
      </c>
      <c r="L893" s="711">
        <v>4</v>
      </c>
      <c r="M893" s="711" t="s">
        <v>3332</v>
      </c>
    </row>
    <row r="894" spans="1:13">
      <c r="A894" s="711" t="s">
        <v>2362</v>
      </c>
      <c r="B894" s="711"/>
      <c r="C894" s="711"/>
      <c r="D894" s="711"/>
      <c r="E894" s="711"/>
      <c r="F894" s="711">
        <v>1</v>
      </c>
      <c r="G894" s="711"/>
      <c r="H894" s="711"/>
      <c r="I894" s="711"/>
      <c r="J894" s="711"/>
      <c r="K894" s="711">
        <v>1</v>
      </c>
      <c r="L894" s="711">
        <v>1</v>
      </c>
      <c r="M894" s="711" t="s">
        <v>26</v>
      </c>
    </row>
    <row r="895" spans="1:13">
      <c r="A895" s="711" t="s">
        <v>3101</v>
      </c>
      <c r="B895" s="711" t="s">
        <v>3099</v>
      </c>
      <c r="C895" s="711" t="s">
        <v>2362</v>
      </c>
      <c r="D895" s="711" t="s">
        <v>2377</v>
      </c>
      <c r="E895" s="711"/>
      <c r="F895" s="711">
        <v>6</v>
      </c>
      <c r="G895" s="711">
        <v>3</v>
      </c>
      <c r="H895" s="711">
        <v>1</v>
      </c>
      <c r="I895" s="711">
        <v>2</v>
      </c>
      <c r="J895" s="711"/>
      <c r="K895" s="711">
        <v>4</v>
      </c>
      <c r="L895" s="711">
        <v>6</v>
      </c>
      <c r="M895" s="711" t="s">
        <v>3333</v>
      </c>
    </row>
    <row r="896" spans="1:13">
      <c r="A896" s="711" t="s">
        <v>3099</v>
      </c>
      <c r="B896" s="711" t="s">
        <v>2362</v>
      </c>
      <c r="C896" s="711" t="s">
        <v>2377</v>
      </c>
      <c r="D896" s="711" t="s">
        <v>2394</v>
      </c>
      <c r="E896" s="711" t="s">
        <v>3100</v>
      </c>
      <c r="F896" s="711">
        <v>3</v>
      </c>
      <c r="G896" s="711">
        <v>1</v>
      </c>
      <c r="H896" s="711">
        <v>2</v>
      </c>
      <c r="I896" s="711">
        <v>4</v>
      </c>
      <c r="J896" s="711">
        <v>5</v>
      </c>
      <c r="K896" s="711">
        <v>5</v>
      </c>
      <c r="L896" s="711">
        <v>3</v>
      </c>
      <c r="M896" s="711" t="s">
        <v>3490</v>
      </c>
    </row>
    <row r="897" spans="1:13">
      <c r="A897" s="711" t="s">
        <v>2953</v>
      </c>
      <c r="B897" s="711" t="s">
        <v>2965</v>
      </c>
      <c r="C897" s="711" t="s">
        <v>2951</v>
      </c>
      <c r="D897" s="711"/>
      <c r="E897" s="711"/>
      <c r="F897" s="711">
        <v>31</v>
      </c>
      <c r="G897" s="711">
        <v>31</v>
      </c>
      <c r="H897" s="711">
        <v>31</v>
      </c>
      <c r="I897" s="711"/>
      <c r="J897" s="711"/>
      <c r="K897" s="711">
        <v>3</v>
      </c>
      <c r="L897" s="711">
        <v>31</v>
      </c>
      <c r="M897" s="711" t="s">
        <v>41</v>
      </c>
    </row>
    <row r="898" spans="1:13">
      <c r="A898" s="711" t="s">
        <v>2362</v>
      </c>
      <c r="B898" s="711" t="s">
        <v>3099</v>
      </c>
      <c r="C898" s="711" t="s">
        <v>2377</v>
      </c>
      <c r="D898" s="711"/>
      <c r="E898" s="711"/>
      <c r="F898" s="711">
        <v>1</v>
      </c>
      <c r="G898" s="711">
        <v>3</v>
      </c>
      <c r="H898" s="711">
        <v>2</v>
      </c>
      <c r="I898" s="711"/>
      <c r="J898" s="711"/>
      <c r="K898" s="711">
        <v>3</v>
      </c>
      <c r="L898" s="711">
        <v>1</v>
      </c>
      <c r="M898" s="711" t="s">
        <v>3264</v>
      </c>
    </row>
    <row r="899" spans="1:13">
      <c r="A899" s="711" t="s">
        <v>2362</v>
      </c>
      <c r="B899" s="711" t="s">
        <v>2409</v>
      </c>
      <c r="C899" s="711"/>
      <c r="D899" s="711"/>
      <c r="E899" s="711"/>
      <c r="F899" s="711">
        <v>1</v>
      </c>
      <c r="G899" s="711">
        <v>7</v>
      </c>
      <c r="H899" s="711"/>
      <c r="I899" s="711"/>
      <c r="J899" s="711"/>
      <c r="K899" s="711">
        <v>2</v>
      </c>
      <c r="L899" s="711">
        <v>1</v>
      </c>
      <c r="M899" s="711" t="s">
        <v>45</v>
      </c>
    </row>
    <row r="900" spans="1:13">
      <c r="A900" s="711" t="s">
        <v>2411</v>
      </c>
      <c r="B900" s="711" t="s">
        <v>2393</v>
      </c>
      <c r="C900" s="711"/>
      <c r="D900" s="711"/>
      <c r="E900" s="711"/>
      <c r="F900" s="711">
        <v>8</v>
      </c>
      <c r="G900" s="711">
        <v>4</v>
      </c>
      <c r="H900" s="711"/>
      <c r="I900" s="711"/>
      <c r="J900" s="711"/>
      <c r="K900" s="711">
        <v>2</v>
      </c>
      <c r="L900" s="711">
        <v>8</v>
      </c>
      <c r="M900" s="711" t="s">
        <v>3334</v>
      </c>
    </row>
    <row r="901" spans="1:13">
      <c r="A901" s="711" t="s">
        <v>2362</v>
      </c>
      <c r="B901" s="711"/>
      <c r="C901" s="711"/>
      <c r="D901" s="711"/>
      <c r="E901" s="711"/>
      <c r="F901" s="711">
        <v>1</v>
      </c>
      <c r="G901" s="711"/>
      <c r="H901" s="711"/>
      <c r="I901" s="711"/>
      <c r="J901" s="711"/>
      <c r="K901" s="711">
        <v>1</v>
      </c>
      <c r="L901" s="711">
        <v>1</v>
      </c>
      <c r="M901" s="711" t="s">
        <v>26</v>
      </c>
    </row>
    <row r="902" spans="1:13">
      <c r="A902" s="711" t="s">
        <v>2362</v>
      </c>
      <c r="B902" s="711"/>
      <c r="C902" s="711"/>
      <c r="D902" s="711"/>
      <c r="E902" s="711"/>
      <c r="F902" s="711">
        <v>1</v>
      </c>
      <c r="G902" s="711"/>
      <c r="H902" s="711"/>
      <c r="I902" s="711"/>
      <c r="J902" s="711"/>
      <c r="K902" s="711">
        <v>1</v>
      </c>
      <c r="L902" s="711">
        <v>1</v>
      </c>
      <c r="M902" s="711" t="s">
        <v>26</v>
      </c>
    </row>
    <row r="903" spans="1:13">
      <c r="A903" s="711" t="s">
        <v>2394</v>
      </c>
      <c r="B903" s="711" t="s">
        <v>2409</v>
      </c>
      <c r="C903" s="711"/>
      <c r="D903" s="711"/>
      <c r="E903" s="711"/>
      <c r="F903" s="711">
        <v>4</v>
      </c>
      <c r="G903" s="711">
        <v>7</v>
      </c>
      <c r="H903" s="711"/>
      <c r="I903" s="711"/>
      <c r="J903" s="711"/>
      <c r="K903" s="711">
        <v>2</v>
      </c>
      <c r="L903" s="711">
        <v>4</v>
      </c>
      <c r="M903" s="711" t="s">
        <v>3289</v>
      </c>
    </row>
    <row r="904" spans="1:13">
      <c r="A904" s="711" t="s">
        <v>2362</v>
      </c>
      <c r="B904" s="711" t="s">
        <v>3099</v>
      </c>
      <c r="C904" s="711" t="s">
        <v>2393</v>
      </c>
      <c r="D904" s="711" t="s">
        <v>2585</v>
      </c>
      <c r="E904" s="711"/>
      <c r="F904" s="711">
        <v>1</v>
      </c>
      <c r="G904" s="711">
        <v>3</v>
      </c>
      <c r="H904" s="711">
        <v>4</v>
      </c>
      <c r="I904" s="711">
        <v>31</v>
      </c>
      <c r="J904" s="711"/>
      <c r="K904" s="711">
        <v>4</v>
      </c>
      <c r="L904" s="711">
        <v>1</v>
      </c>
      <c r="M904" s="711" t="s">
        <v>3335</v>
      </c>
    </row>
    <row r="905" spans="1:13">
      <c r="A905" s="711" t="s">
        <v>3099</v>
      </c>
      <c r="B905" s="711" t="s">
        <v>2362</v>
      </c>
      <c r="C905" s="711" t="s">
        <v>2377</v>
      </c>
      <c r="D905" s="711" t="s">
        <v>2393</v>
      </c>
      <c r="E905" s="711"/>
      <c r="F905" s="711">
        <v>3</v>
      </c>
      <c r="G905" s="711">
        <v>1</v>
      </c>
      <c r="H905" s="711">
        <v>2</v>
      </c>
      <c r="I905" s="711">
        <v>4</v>
      </c>
      <c r="J905" s="711"/>
      <c r="K905" s="711">
        <v>4</v>
      </c>
      <c r="L905" s="711">
        <v>3</v>
      </c>
      <c r="M905" s="711" t="s">
        <v>3269</v>
      </c>
    </row>
    <row r="906" spans="1:13">
      <c r="A906" s="711" t="s">
        <v>2393</v>
      </c>
      <c r="B906" s="711" t="s">
        <v>3100</v>
      </c>
      <c r="C906" s="711" t="s">
        <v>2362</v>
      </c>
      <c r="D906" s="711"/>
      <c r="E906" s="711"/>
      <c r="F906" s="711">
        <v>4</v>
      </c>
      <c r="G906" s="711">
        <v>5</v>
      </c>
      <c r="H906" s="711">
        <v>1</v>
      </c>
      <c r="I906" s="711"/>
      <c r="J906" s="711"/>
      <c r="K906" s="711">
        <v>3</v>
      </c>
      <c r="L906" s="711">
        <v>4</v>
      </c>
      <c r="M906" s="711" t="s">
        <v>3336</v>
      </c>
    </row>
    <row r="907" spans="1:13">
      <c r="A907" s="711" t="s">
        <v>2362</v>
      </c>
      <c r="B907" s="711" t="s">
        <v>2356</v>
      </c>
      <c r="C907" s="711"/>
      <c r="D907" s="711"/>
      <c r="E907" s="711"/>
      <c r="F907" s="711">
        <v>1</v>
      </c>
      <c r="G907" s="711">
        <v>31</v>
      </c>
      <c r="H907" s="711"/>
      <c r="I907" s="711"/>
      <c r="J907" s="711"/>
      <c r="K907" s="711">
        <v>2</v>
      </c>
      <c r="L907" s="711">
        <v>1</v>
      </c>
      <c r="M907" s="711" t="s">
        <v>3151</v>
      </c>
    </row>
    <row r="908" spans="1:13">
      <c r="A908" s="711" t="s">
        <v>2823</v>
      </c>
      <c r="B908" s="711"/>
      <c r="C908" s="711"/>
      <c r="D908" s="711"/>
      <c r="E908" s="711"/>
      <c r="F908" s="711">
        <v>31</v>
      </c>
      <c r="G908" s="711"/>
      <c r="H908" s="711"/>
      <c r="I908" s="711"/>
      <c r="J908" s="711"/>
      <c r="K908" s="711">
        <v>1</v>
      </c>
      <c r="L908" s="711">
        <v>31</v>
      </c>
      <c r="M908" s="711" t="s">
        <v>41</v>
      </c>
    </row>
    <row r="909" spans="1:13">
      <c r="A909" s="711" t="s">
        <v>2629</v>
      </c>
      <c r="B909" s="711"/>
      <c r="C909" s="711"/>
      <c r="D909" s="711"/>
      <c r="E909" s="711"/>
      <c r="F909" s="711">
        <v>31</v>
      </c>
      <c r="G909" s="711"/>
      <c r="H909" s="711"/>
      <c r="I909" s="711"/>
      <c r="J909" s="711"/>
      <c r="K909" s="711">
        <v>1</v>
      </c>
      <c r="L909" s="711">
        <v>31</v>
      </c>
      <c r="M909" s="711" t="s">
        <v>41</v>
      </c>
    </row>
    <row r="910" spans="1:13">
      <c r="A910" s="711" t="s">
        <v>3099</v>
      </c>
      <c r="B910" s="711" t="s">
        <v>2362</v>
      </c>
      <c r="C910" s="711" t="s">
        <v>2377</v>
      </c>
      <c r="D910" s="711"/>
      <c r="E910" s="711"/>
      <c r="F910" s="711">
        <v>3</v>
      </c>
      <c r="G910" s="711">
        <v>1</v>
      </c>
      <c r="H910" s="711">
        <v>2</v>
      </c>
      <c r="I910" s="711"/>
      <c r="J910" s="711"/>
      <c r="K910" s="711">
        <v>3</v>
      </c>
      <c r="L910" s="711">
        <v>3</v>
      </c>
      <c r="M910" s="711" t="s">
        <v>3184</v>
      </c>
    </row>
    <row r="911" spans="1:13">
      <c r="A911" s="711" t="s">
        <v>2393</v>
      </c>
      <c r="B911" s="711"/>
      <c r="C911" s="711"/>
      <c r="D911" s="711"/>
      <c r="E911" s="711"/>
      <c r="F911" s="711">
        <v>4</v>
      </c>
      <c r="G911" s="711"/>
      <c r="H911" s="711"/>
      <c r="I911" s="711"/>
      <c r="J911" s="711"/>
      <c r="K911" s="711">
        <v>1</v>
      </c>
      <c r="L911" s="711">
        <v>4</v>
      </c>
      <c r="M911" s="711" t="s">
        <v>39</v>
      </c>
    </row>
    <row r="912" spans="1:13">
      <c r="A912" s="711" t="s">
        <v>3099</v>
      </c>
      <c r="B912" s="711" t="s">
        <v>2362</v>
      </c>
      <c r="C912" s="711" t="s">
        <v>2377</v>
      </c>
      <c r="D912" s="711"/>
      <c r="E912" s="711"/>
      <c r="F912" s="711">
        <v>3</v>
      </c>
      <c r="G912" s="711">
        <v>1</v>
      </c>
      <c r="H912" s="711">
        <v>2</v>
      </c>
      <c r="I912" s="711"/>
      <c r="J912" s="711"/>
      <c r="K912" s="711">
        <v>3</v>
      </c>
      <c r="L912" s="711">
        <v>3</v>
      </c>
      <c r="M912" s="711" t="s">
        <v>3184</v>
      </c>
    </row>
    <row r="913" spans="1:13">
      <c r="A913" s="711" t="s">
        <v>2377</v>
      </c>
      <c r="B913" s="711"/>
      <c r="C913" s="711"/>
      <c r="D913" s="711"/>
      <c r="E913" s="711"/>
      <c r="F913" s="711">
        <v>2</v>
      </c>
      <c r="G913" s="711"/>
      <c r="H913" s="711"/>
      <c r="I913" s="711"/>
      <c r="J913" s="711"/>
      <c r="K913" s="711">
        <v>1</v>
      </c>
      <c r="L913" s="711">
        <v>2</v>
      </c>
      <c r="M913" s="711" t="s">
        <v>47</v>
      </c>
    </row>
    <row r="914" spans="1:13">
      <c r="A914" s="711" t="s">
        <v>2362</v>
      </c>
      <c r="B914" s="711"/>
      <c r="C914" s="711"/>
      <c r="D914" s="711"/>
      <c r="E914" s="711"/>
      <c r="F914" s="711">
        <v>1</v>
      </c>
      <c r="G914" s="711"/>
      <c r="H914" s="711"/>
      <c r="I914" s="711"/>
      <c r="J914" s="711"/>
      <c r="K914" s="711">
        <v>1</v>
      </c>
      <c r="L914" s="711">
        <v>1</v>
      </c>
      <c r="M914" s="711" t="s">
        <v>26</v>
      </c>
    </row>
    <row r="915" spans="1:13">
      <c r="A915" s="711" t="s">
        <v>2393</v>
      </c>
      <c r="B915" s="711" t="s">
        <v>3099</v>
      </c>
      <c r="C915" s="711" t="s">
        <v>2409</v>
      </c>
      <c r="D915" s="711"/>
      <c r="E915" s="711"/>
      <c r="F915" s="711">
        <v>4</v>
      </c>
      <c r="G915" s="711">
        <v>3</v>
      </c>
      <c r="H915" s="711">
        <v>7</v>
      </c>
      <c r="I915" s="711"/>
      <c r="J915" s="711"/>
      <c r="K915" s="711">
        <v>3</v>
      </c>
      <c r="L915" s="711">
        <v>4</v>
      </c>
      <c r="M915" s="711" t="s">
        <v>3337</v>
      </c>
    </row>
    <row r="916" spans="1:13">
      <c r="A916" s="711" t="s">
        <v>2362</v>
      </c>
      <c r="B916" s="711"/>
      <c r="C916" s="711"/>
      <c r="D916" s="711"/>
      <c r="E916" s="711"/>
      <c r="F916" s="711">
        <v>1</v>
      </c>
      <c r="G916" s="711"/>
      <c r="H916" s="711"/>
      <c r="I916" s="711"/>
      <c r="J916" s="711"/>
      <c r="K916" s="711">
        <v>1</v>
      </c>
      <c r="L916" s="711">
        <v>1</v>
      </c>
      <c r="M916" s="711" t="s">
        <v>26</v>
      </c>
    </row>
    <row r="917" spans="1:13">
      <c r="A917" s="711" t="s">
        <v>2411</v>
      </c>
      <c r="B917" s="711"/>
      <c r="C917" s="711"/>
      <c r="D917" s="711"/>
      <c r="E917" s="711"/>
      <c r="F917" s="711">
        <v>8</v>
      </c>
      <c r="G917" s="711"/>
      <c r="H917" s="711"/>
      <c r="I917" s="711"/>
      <c r="J917" s="711"/>
      <c r="K917" s="711">
        <v>1</v>
      </c>
      <c r="L917" s="711">
        <v>8</v>
      </c>
      <c r="M917" s="711" t="s">
        <v>51</v>
      </c>
    </row>
    <row r="918" spans="1:13">
      <c r="A918" s="711" t="s">
        <v>2362</v>
      </c>
      <c r="B918" s="711"/>
      <c r="C918" s="711"/>
      <c r="D918" s="711"/>
      <c r="E918" s="711"/>
      <c r="F918" s="711">
        <v>1</v>
      </c>
      <c r="G918" s="711"/>
      <c r="H918" s="711"/>
      <c r="I918" s="711"/>
      <c r="J918" s="711"/>
      <c r="K918" s="711">
        <v>1</v>
      </c>
      <c r="L918" s="711">
        <v>1</v>
      </c>
      <c r="M918" s="711" t="s">
        <v>26</v>
      </c>
    </row>
    <row r="919" spans="1:13">
      <c r="A919" s="711" t="s">
        <v>3099</v>
      </c>
      <c r="B919" s="711" t="s">
        <v>2377</v>
      </c>
      <c r="C919" s="711"/>
      <c r="D919" s="711"/>
      <c r="E919" s="711"/>
      <c r="F919" s="711">
        <v>3</v>
      </c>
      <c r="G919" s="711">
        <v>2</v>
      </c>
      <c r="H919" s="711"/>
      <c r="I919" s="711"/>
      <c r="J919" s="711"/>
      <c r="K919" s="711">
        <v>2</v>
      </c>
      <c r="L919" s="711">
        <v>3</v>
      </c>
      <c r="M919" s="711" t="s">
        <v>3193</v>
      </c>
    </row>
    <row r="920" spans="1:13">
      <c r="A920" s="711" t="s">
        <v>2409</v>
      </c>
      <c r="B920" s="711"/>
      <c r="C920" s="711"/>
      <c r="D920" s="711"/>
      <c r="E920" s="711"/>
      <c r="F920" s="711">
        <v>7</v>
      </c>
      <c r="G920" s="711"/>
      <c r="H920" s="711"/>
      <c r="I920" s="711"/>
      <c r="J920" s="711"/>
      <c r="K920" s="711">
        <v>1</v>
      </c>
      <c r="L920" s="711">
        <v>7</v>
      </c>
      <c r="M920" s="711" t="s">
        <v>34</v>
      </c>
    </row>
    <row r="921" spans="1:13">
      <c r="A921" s="711" t="s">
        <v>3011</v>
      </c>
      <c r="B921" s="711" t="s">
        <v>3047</v>
      </c>
      <c r="C921" s="711" t="s">
        <v>3079</v>
      </c>
      <c r="D921" s="711" t="s">
        <v>3094</v>
      </c>
      <c r="E921" s="711" t="s">
        <v>3115</v>
      </c>
      <c r="F921" s="711">
        <v>31</v>
      </c>
      <c r="G921" s="711">
        <v>31</v>
      </c>
      <c r="H921" s="711">
        <v>31</v>
      </c>
      <c r="I921" s="711">
        <v>31</v>
      </c>
      <c r="J921" s="711">
        <v>31</v>
      </c>
      <c r="K921" s="711">
        <v>5</v>
      </c>
      <c r="L921" s="711">
        <v>31</v>
      </c>
      <c r="M921" s="711" t="s">
        <v>41</v>
      </c>
    </row>
    <row r="922" spans="1:13">
      <c r="A922" s="711" t="s">
        <v>2362</v>
      </c>
      <c r="B922" s="711"/>
      <c r="C922" s="711"/>
      <c r="D922" s="711"/>
      <c r="E922" s="711"/>
      <c r="F922" s="711">
        <v>1</v>
      </c>
      <c r="G922" s="711"/>
      <c r="H922" s="711"/>
      <c r="I922" s="711"/>
      <c r="J922" s="711"/>
      <c r="K922" s="711">
        <v>1</v>
      </c>
      <c r="L922" s="711">
        <v>1</v>
      </c>
      <c r="M922" s="711" t="s">
        <v>26</v>
      </c>
    </row>
    <row r="923" spans="1:13">
      <c r="A923" s="711" t="s">
        <v>2440</v>
      </c>
      <c r="B923" s="711" t="s">
        <v>2362</v>
      </c>
      <c r="C923" s="711"/>
      <c r="D923" s="711"/>
      <c r="E923" s="711"/>
      <c r="F923" s="711">
        <v>14</v>
      </c>
      <c r="G923" s="711">
        <v>1</v>
      </c>
      <c r="H923" s="711"/>
      <c r="I923" s="711"/>
      <c r="J923" s="711"/>
      <c r="K923" s="711">
        <v>2</v>
      </c>
      <c r="L923" s="711">
        <v>14</v>
      </c>
      <c r="M923" s="711" t="s">
        <v>3338</v>
      </c>
    </row>
    <row r="924" spans="1:13">
      <c r="A924" s="711" t="s">
        <v>3099</v>
      </c>
      <c r="B924" s="711"/>
      <c r="C924" s="711"/>
      <c r="D924" s="711"/>
      <c r="E924" s="711"/>
      <c r="F924" s="711">
        <v>3</v>
      </c>
      <c r="G924" s="711"/>
      <c r="H924" s="711"/>
      <c r="I924" s="711"/>
      <c r="J924" s="711"/>
      <c r="K924" s="711">
        <v>1</v>
      </c>
      <c r="L924" s="711">
        <v>3</v>
      </c>
      <c r="M924" s="711" t="s">
        <v>48</v>
      </c>
    </row>
    <row r="925" spans="1:13">
      <c r="A925" s="711" t="s">
        <v>2393</v>
      </c>
      <c r="B925" s="711"/>
      <c r="C925" s="711"/>
      <c r="D925" s="711"/>
      <c r="E925" s="711"/>
      <c r="F925" s="711">
        <v>4</v>
      </c>
      <c r="G925" s="711"/>
      <c r="H925" s="711"/>
      <c r="I925" s="711"/>
      <c r="J925" s="711"/>
      <c r="K925" s="711">
        <v>1</v>
      </c>
      <c r="L925" s="711">
        <v>4</v>
      </c>
      <c r="M925" s="711" t="s">
        <v>39</v>
      </c>
    </row>
    <row r="926" spans="1:13">
      <c r="A926" s="711" t="s">
        <v>3099</v>
      </c>
      <c r="B926" s="711"/>
      <c r="C926" s="711"/>
      <c r="D926" s="711"/>
      <c r="E926" s="711"/>
      <c r="F926" s="711">
        <v>3</v>
      </c>
      <c r="G926" s="711"/>
      <c r="H926" s="711"/>
      <c r="I926" s="711"/>
      <c r="J926" s="711"/>
      <c r="K926" s="711">
        <v>1</v>
      </c>
      <c r="L926" s="711">
        <v>3</v>
      </c>
      <c r="M926" s="711" t="s">
        <v>48</v>
      </c>
    </row>
    <row r="927" spans="1:13">
      <c r="A927" s="711" t="s">
        <v>2362</v>
      </c>
      <c r="B927" s="711"/>
      <c r="C927" s="711"/>
      <c r="D927" s="711"/>
      <c r="E927" s="711"/>
      <c r="F927" s="711">
        <v>1</v>
      </c>
      <c r="G927" s="711"/>
      <c r="H927" s="711"/>
      <c r="I927" s="711"/>
      <c r="J927" s="711"/>
      <c r="K927" s="711">
        <v>1</v>
      </c>
      <c r="L927" s="711">
        <v>1</v>
      </c>
      <c r="M927" s="711" t="s">
        <v>26</v>
      </c>
    </row>
    <row r="928" spans="1:13">
      <c r="A928" s="711" t="s">
        <v>2393</v>
      </c>
      <c r="B928" s="711"/>
      <c r="C928" s="711"/>
      <c r="D928" s="711"/>
      <c r="E928" s="711"/>
      <c r="F928" s="711">
        <v>4</v>
      </c>
      <c r="G928" s="711"/>
      <c r="H928" s="711"/>
      <c r="I928" s="711"/>
      <c r="J928" s="711"/>
      <c r="K928" s="711">
        <v>1</v>
      </c>
      <c r="L928" s="711">
        <v>4</v>
      </c>
      <c r="M928" s="711" t="s">
        <v>39</v>
      </c>
    </row>
    <row r="929" spans="1:13">
      <c r="A929" s="711" t="s">
        <v>3099</v>
      </c>
      <c r="B929" s="711" t="s">
        <v>2393</v>
      </c>
      <c r="C929" s="711"/>
      <c r="D929" s="711"/>
      <c r="E929" s="711"/>
      <c r="F929" s="711">
        <v>3</v>
      </c>
      <c r="G929" s="711">
        <v>4</v>
      </c>
      <c r="H929" s="711"/>
      <c r="I929" s="711"/>
      <c r="J929" s="711"/>
      <c r="K929" s="711">
        <v>2</v>
      </c>
      <c r="L929" s="711">
        <v>3</v>
      </c>
      <c r="M929" s="711" t="s">
        <v>983</v>
      </c>
    </row>
    <row r="930" spans="1:13">
      <c r="A930" s="711" t="s">
        <v>3100</v>
      </c>
      <c r="B930" s="711" t="s">
        <v>2377</v>
      </c>
      <c r="C930" s="711" t="s">
        <v>2362</v>
      </c>
      <c r="D930" s="711" t="s">
        <v>2409</v>
      </c>
      <c r="E930" s="711" t="s">
        <v>144</v>
      </c>
      <c r="F930" s="711">
        <v>5</v>
      </c>
      <c r="G930" s="711">
        <v>2</v>
      </c>
      <c r="H930" s="711">
        <v>1</v>
      </c>
      <c r="I930" s="711">
        <v>7</v>
      </c>
      <c r="J930" s="711">
        <v>31</v>
      </c>
      <c r="K930" s="711">
        <v>5</v>
      </c>
      <c r="L930" s="711">
        <v>5</v>
      </c>
      <c r="M930" s="711" t="s">
        <v>3491</v>
      </c>
    </row>
    <row r="931" spans="1:13">
      <c r="A931" s="711" t="s">
        <v>2362</v>
      </c>
      <c r="B931" s="711" t="s">
        <v>3048</v>
      </c>
      <c r="C931" s="711" t="s">
        <v>3080</v>
      </c>
      <c r="D931" s="711"/>
      <c r="E931" s="711"/>
      <c r="F931" s="711">
        <v>1</v>
      </c>
      <c r="G931" s="711">
        <v>31</v>
      </c>
      <c r="H931" s="711">
        <v>31</v>
      </c>
      <c r="I931" s="711"/>
      <c r="J931" s="711"/>
      <c r="K931" s="711">
        <v>3</v>
      </c>
      <c r="L931" s="711">
        <v>1</v>
      </c>
      <c r="M931" s="711" t="s">
        <v>3151</v>
      </c>
    </row>
    <row r="932" spans="1:13">
      <c r="A932" s="711" t="s">
        <v>2393</v>
      </c>
      <c r="B932" s="711" t="s">
        <v>2362</v>
      </c>
      <c r="C932" s="711"/>
      <c r="D932" s="711"/>
      <c r="E932" s="711"/>
      <c r="F932" s="711">
        <v>4</v>
      </c>
      <c r="G932" s="711">
        <v>1</v>
      </c>
      <c r="H932" s="711"/>
      <c r="I932" s="711"/>
      <c r="J932" s="711"/>
      <c r="K932" s="711">
        <v>2</v>
      </c>
      <c r="L932" s="711">
        <v>4</v>
      </c>
      <c r="M932" s="711" t="s">
        <v>3195</v>
      </c>
    </row>
    <row r="933" spans="1:13">
      <c r="A933" s="711" t="s">
        <v>2362</v>
      </c>
      <c r="B933" s="711"/>
      <c r="C933" s="711"/>
      <c r="D933" s="711"/>
      <c r="E933" s="711"/>
      <c r="F933" s="711">
        <v>1</v>
      </c>
      <c r="G933" s="711"/>
      <c r="H933" s="711"/>
      <c r="I933" s="711"/>
      <c r="J933" s="711"/>
      <c r="K933" s="711">
        <v>1</v>
      </c>
      <c r="L933" s="711">
        <v>1</v>
      </c>
      <c r="M933" s="711" t="s">
        <v>26</v>
      </c>
    </row>
    <row r="934" spans="1:13">
      <c r="A934" s="711" t="s">
        <v>2362</v>
      </c>
      <c r="B934" s="711"/>
      <c r="C934" s="711"/>
      <c r="D934" s="711"/>
      <c r="E934" s="711"/>
      <c r="F934" s="711">
        <v>1</v>
      </c>
      <c r="G934" s="711"/>
      <c r="H934" s="711"/>
      <c r="I934" s="711"/>
      <c r="J934" s="711"/>
      <c r="K934" s="711">
        <v>1</v>
      </c>
      <c r="L934" s="711">
        <v>1</v>
      </c>
      <c r="M934" s="711" t="s">
        <v>26</v>
      </c>
    </row>
    <row r="935" spans="1:13">
      <c r="A935" s="711" t="s">
        <v>2362</v>
      </c>
      <c r="B935" s="711"/>
      <c r="C935" s="711"/>
      <c r="D935" s="711"/>
      <c r="E935" s="711"/>
      <c r="F935" s="711">
        <v>1</v>
      </c>
      <c r="G935" s="711"/>
      <c r="H935" s="711"/>
      <c r="I935" s="711"/>
      <c r="J935" s="711"/>
      <c r="K935" s="711">
        <v>1</v>
      </c>
      <c r="L935" s="711">
        <v>1</v>
      </c>
      <c r="M935" s="711" t="s">
        <v>26</v>
      </c>
    </row>
    <row r="936" spans="1:13">
      <c r="A936" s="711" t="s">
        <v>2393</v>
      </c>
      <c r="B936" s="711"/>
      <c r="C936" s="711"/>
      <c r="D936" s="711"/>
      <c r="E936" s="711"/>
      <c r="F936" s="711">
        <v>4</v>
      </c>
      <c r="G936" s="711"/>
      <c r="H936" s="711"/>
      <c r="I936" s="711"/>
      <c r="J936" s="711"/>
      <c r="K936" s="711">
        <v>1</v>
      </c>
      <c r="L936" s="711">
        <v>4</v>
      </c>
      <c r="M936" s="711" t="s">
        <v>39</v>
      </c>
    </row>
    <row r="937" spans="1:13">
      <c r="A937" s="711" t="s">
        <v>2409</v>
      </c>
      <c r="B937" s="711"/>
      <c r="C937" s="711"/>
      <c r="D937" s="711"/>
      <c r="E937" s="711"/>
      <c r="F937" s="711">
        <v>7</v>
      </c>
      <c r="G937" s="711"/>
      <c r="H937" s="711"/>
      <c r="I937" s="711"/>
      <c r="J937" s="711"/>
      <c r="K937" s="711">
        <v>1</v>
      </c>
      <c r="L937" s="711">
        <v>7</v>
      </c>
      <c r="M937" s="711" t="s">
        <v>34</v>
      </c>
    </row>
    <row r="938" spans="1:13">
      <c r="A938" s="711" t="s">
        <v>2362</v>
      </c>
      <c r="B938" s="711"/>
      <c r="C938" s="711"/>
      <c r="D938" s="711"/>
      <c r="E938" s="711"/>
      <c r="F938" s="711">
        <v>1</v>
      </c>
      <c r="G938" s="711"/>
      <c r="H938" s="711"/>
      <c r="I938" s="711"/>
      <c r="J938" s="711"/>
      <c r="K938" s="711">
        <v>1</v>
      </c>
      <c r="L938" s="711">
        <v>1</v>
      </c>
      <c r="M938" s="711" t="s">
        <v>26</v>
      </c>
    </row>
    <row r="939" spans="1:13">
      <c r="A939" s="711" t="s">
        <v>2423</v>
      </c>
      <c r="B939" s="711" t="s">
        <v>2464</v>
      </c>
      <c r="C939" s="711" t="s">
        <v>2411</v>
      </c>
      <c r="D939" s="711"/>
      <c r="E939" s="711"/>
      <c r="F939" s="711">
        <v>9</v>
      </c>
      <c r="G939" s="711">
        <v>25</v>
      </c>
      <c r="H939" s="711">
        <v>8</v>
      </c>
      <c r="I939" s="711"/>
      <c r="J939" s="711"/>
      <c r="K939" s="711">
        <v>3</v>
      </c>
      <c r="L939" s="711">
        <v>9</v>
      </c>
      <c r="M939" s="711" t="s">
        <v>3339</v>
      </c>
    </row>
    <row r="940" spans="1:13">
      <c r="A940" s="711" t="s">
        <v>3099</v>
      </c>
      <c r="B940" s="711"/>
      <c r="C940" s="711"/>
      <c r="D940" s="711"/>
      <c r="E940" s="711"/>
      <c r="F940" s="711">
        <v>3</v>
      </c>
      <c r="G940" s="711"/>
      <c r="H940" s="711"/>
      <c r="I940" s="711"/>
      <c r="J940" s="711"/>
      <c r="K940" s="711">
        <v>1</v>
      </c>
      <c r="L940" s="711">
        <v>3</v>
      </c>
      <c r="M940" s="711" t="s">
        <v>48</v>
      </c>
    </row>
    <row r="941" spans="1:13">
      <c r="A941" s="711" t="s">
        <v>2434</v>
      </c>
      <c r="B941" s="711"/>
      <c r="C941" s="711"/>
      <c r="D941" s="711"/>
      <c r="E941" s="711"/>
      <c r="F941" s="711">
        <v>11</v>
      </c>
      <c r="G941" s="711"/>
      <c r="H941" s="711"/>
      <c r="I941" s="711"/>
      <c r="J941" s="711"/>
      <c r="K941" s="711">
        <v>1</v>
      </c>
      <c r="L941" s="711">
        <v>11</v>
      </c>
      <c r="M941" s="711" t="s">
        <v>38</v>
      </c>
    </row>
    <row r="942" spans="1:13">
      <c r="A942" s="711" t="s">
        <v>2362</v>
      </c>
      <c r="B942" s="711" t="s">
        <v>2377</v>
      </c>
      <c r="C942" s="711" t="s">
        <v>3099</v>
      </c>
      <c r="D942" s="711" t="s">
        <v>3101</v>
      </c>
      <c r="E942" s="711" t="s">
        <v>2393</v>
      </c>
      <c r="F942" s="711">
        <v>1</v>
      </c>
      <c r="G942" s="711">
        <v>2</v>
      </c>
      <c r="H942" s="711">
        <v>3</v>
      </c>
      <c r="I942" s="711">
        <v>6</v>
      </c>
      <c r="J942" s="711">
        <v>4</v>
      </c>
      <c r="K942" s="711">
        <v>5</v>
      </c>
      <c r="L942" s="711">
        <v>1</v>
      </c>
      <c r="M942" s="711" t="s">
        <v>3492</v>
      </c>
    </row>
    <row r="943" spans="1:13">
      <c r="A943" s="711" t="s">
        <v>2362</v>
      </c>
      <c r="B943" s="711"/>
      <c r="C943" s="711"/>
      <c r="D943" s="711"/>
      <c r="E943" s="711"/>
      <c r="F943" s="711">
        <v>1</v>
      </c>
      <c r="G943" s="711"/>
      <c r="H943" s="711"/>
      <c r="I943" s="711"/>
      <c r="J943" s="711"/>
      <c r="K943" s="711">
        <v>1</v>
      </c>
      <c r="L943" s="711">
        <v>1</v>
      </c>
      <c r="M943" s="711" t="s">
        <v>26</v>
      </c>
    </row>
    <row r="944" spans="1:13">
      <c r="A944" s="711" t="s">
        <v>3099</v>
      </c>
      <c r="B944" s="711" t="s">
        <v>3049</v>
      </c>
      <c r="C944" s="711" t="s">
        <v>3102</v>
      </c>
      <c r="D944" s="711"/>
      <c r="E944" s="711"/>
      <c r="F944" s="711">
        <v>3</v>
      </c>
      <c r="G944" s="711">
        <v>31</v>
      </c>
      <c r="H944" s="711">
        <v>10</v>
      </c>
      <c r="I944" s="711"/>
      <c r="J944" s="711"/>
      <c r="K944" s="711">
        <v>3</v>
      </c>
      <c r="L944" s="711">
        <v>3</v>
      </c>
      <c r="M944" s="711" t="s">
        <v>3340</v>
      </c>
    </row>
    <row r="945" spans="1:13">
      <c r="A945" s="711" t="s">
        <v>2362</v>
      </c>
      <c r="B945" s="711" t="s">
        <v>2377</v>
      </c>
      <c r="C945" s="711"/>
      <c r="D945" s="711"/>
      <c r="E945" s="711"/>
      <c r="F945" s="711">
        <v>1</v>
      </c>
      <c r="G945" s="711">
        <v>2</v>
      </c>
      <c r="H945" s="711"/>
      <c r="I945" s="711"/>
      <c r="J945" s="711"/>
      <c r="K945" s="711">
        <v>2</v>
      </c>
      <c r="L945" s="711">
        <v>1</v>
      </c>
      <c r="M945" s="711" t="s">
        <v>30</v>
      </c>
    </row>
    <row r="946" spans="1:13">
      <c r="A946" s="711" t="s">
        <v>2511</v>
      </c>
      <c r="B946" s="711" t="s">
        <v>2511</v>
      </c>
      <c r="C946" s="711"/>
      <c r="D946" s="711"/>
      <c r="E946" s="711"/>
      <c r="F946" s="711">
        <v>31</v>
      </c>
      <c r="G946" s="711">
        <v>31</v>
      </c>
      <c r="H946" s="711"/>
      <c r="I946" s="711"/>
      <c r="J946" s="711"/>
      <c r="K946" s="711">
        <v>2</v>
      </c>
      <c r="L946" s="711">
        <v>31</v>
      </c>
      <c r="M946" s="711" t="s">
        <v>41</v>
      </c>
    </row>
    <row r="947" spans="1:13">
      <c r="A947" s="711" t="s">
        <v>2362</v>
      </c>
      <c r="B947" s="711"/>
      <c r="C947" s="711"/>
      <c r="D947" s="711"/>
      <c r="E947" s="711"/>
      <c r="F947" s="711">
        <v>1</v>
      </c>
      <c r="G947" s="711"/>
      <c r="H947" s="711"/>
      <c r="I947" s="711"/>
      <c r="J947" s="711"/>
      <c r="K947" s="711">
        <v>1</v>
      </c>
      <c r="L947" s="711">
        <v>1</v>
      </c>
      <c r="M947" s="711" t="s">
        <v>26</v>
      </c>
    </row>
    <row r="948" spans="1:13">
      <c r="A948" s="711" t="s">
        <v>2362</v>
      </c>
      <c r="B948" s="711" t="s">
        <v>2393</v>
      </c>
      <c r="C948" s="711" t="s">
        <v>2420</v>
      </c>
      <c r="D948" s="711"/>
      <c r="E948" s="711"/>
      <c r="F948" s="711">
        <v>1</v>
      </c>
      <c r="G948" s="711">
        <v>4</v>
      </c>
      <c r="H948" s="711">
        <v>9</v>
      </c>
      <c r="I948" s="711"/>
      <c r="J948" s="711"/>
      <c r="K948" s="711">
        <v>3</v>
      </c>
      <c r="L948" s="711">
        <v>1</v>
      </c>
      <c r="M948" s="711" t="s">
        <v>952</v>
      </c>
    </row>
    <row r="949" spans="1:13">
      <c r="A949" s="711" t="s">
        <v>3012</v>
      </c>
      <c r="B949" s="711"/>
      <c r="C949" s="711"/>
      <c r="D949" s="711"/>
      <c r="E949" s="711"/>
      <c r="F949" s="711">
        <v>31</v>
      </c>
      <c r="G949" s="711"/>
      <c r="H949" s="711"/>
      <c r="I949" s="711"/>
      <c r="J949" s="711"/>
      <c r="K949" s="711">
        <v>1</v>
      </c>
      <c r="L949" s="711">
        <v>31</v>
      </c>
      <c r="M949" s="711" t="s">
        <v>41</v>
      </c>
    </row>
    <row r="950" spans="1:13">
      <c r="A950" s="711" t="s">
        <v>2362</v>
      </c>
      <c r="B950" s="711" t="s">
        <v>3099</v>
      </c>
      <c r="C950" s="711" t="s">
        <v>2393</v>
      </c>
      <c r="D950" s="711" t="s">
        <v>2377</v>
      </c>
      <c r="E950" s="711"/>
      <c r="F950" s="711">
        <v>1</v>
      </c>
      <c r="G950" s="711">
        <v>3</v>
      </c>
      <c r="H950" s="711">
        <v>4</v>
      </c>
      <c r="I950" s="711">
        <v>2</v>
      </c>
      <c r="J950" s="711"/>
      <c r="K950" s="711">
        <v>4</v>
      </c>
      <c r="L950" s="711">
        <v>1</v>
      </c>
      <c r="M950" s="711" t="s">
        <v>3265</v>
      </c>
    </row>
    <row r="951" spans="1:13">
      <c r="A951" s="711" t="s">
        <v>2377</v>
      </c>
      <c r="B951" s="711"/>
      <c r="C951" s="711"/>
      <c r="D951" s="711"/>
      <c r="E951" s="711"/>
      <c r="F951" s="711">
        <v>2</v>
      </c>
      <c r="G951" s="711"/>
      <c r="H951" s="711"/>
      <c r="I951" s="711"/>
      <c r="J951" s="711"/>
      <c r="K951" s="711">
        <v>1</v>
      </c>
      <c r="L951" s="711">
        <v>2</v>
      </c>
      <c r="M951" s="711" t="s">
        <v>47</v>
      </c>
    </row>
    <row r="952" spans="1:13">
      <c r="A952" s="711" t="s">
        <v>3099</v>
      </c>
      <c r="B952" s="711" t="s">
        <v>2362</v>
      </c>
      <c r="C952" s="711" t="s">
        <v>2393</v>
      </c>
      <c r="D952" s="711"/>
      <c r="E952" s="711"/>
      <c r="F952" s="711">
        <v>3</v>
      </c>
      <c r="G952" s="711">
        <v>1</v>
      </c>
      <c r="H952" s="711">
        <v>4</v>
      </c>
      <c r="I952" s="711"/>
      <c r="J952" s="711"/>
      <c r="K952" s="711">
        <v>3</v>
      </c>
      <c r="L952" s="711">
        <v>3</v>
      </c>
      <c r="M952" s="711" t="s">
        <v>3341</v>
      </c>
    </row>
    <row r="953" spans="1:13">
      <c r="A953" s="711" t="s">
        <v>2362</v>
      </c>
      <c r="B953" s="711" t="s">
        <v>3099</v>
      </c>
      <c r="C953" s="711" t="s">
        <v>2377</v>
      </c>
      <c r="D953" s="711" t="s">
        <v>2393</v>
      </c>
      <c r="E953" s="711"/>
      <c r="F953" s="711">
        <v>1</v>
      </c>
      <c r="G953" s="711">
        <v>3</v>
      </c>
      <c r="H953" s="711">
        <v>2</v>
      </c>
      <c r="I953" s="711">
        <v>4</v>
      </c>
      <c r="J953" s="711"/>
      <c r="K953" s="711">
        <v>4</v>
      </c>
      <c r="L953" s="711">
        <v>1</v>
      </c>
      <c r="M953" s="711" t="s">
        <v>3342</v>
      </c>
    </row>
    <row r="954" spans="1:13">
      <c r="A954" s="711" t="s">
        <v>2393</v>
      </c>
      <c r="B954" s="711" t="s">
        <v>2362</v>
      </c>
      <c r="C954" s="711"/>
      <c r="D954" s="711"/>
      <c r="E954" s="711"/>
      <c r="F954" s="711">
        <v>4</v>
      </c>
      <c r="G954" s="711">
        <v>1</v>
      </c>
      <c r="H954" s="711"/>
      <c r="I954" s="711"/>
      <c r="J954" s="711"/>
      <c r="K954" s="711">
        <v>2</v>
      </c>
      <c r="L954" s="711">
        <v>4</v>
      </c>
      <c r="M954" s="711" t="s">
        <v>3195</v>
      </c>
    </row>
    <row r="955" spans="1:13">
      <c r="A955" s="711" t="s">
        <v>3101</v>
      </c>
      <c r="B955" s="711" t="s">
        <v>3099</v>
      </c>
      <c r="C955" s="711" t="s">
        <v>2377</v>
      </c>
      <c r="D955" s="711" t="s">
        <v>2362</v>
      </c>
      <c r="E955" s="711" t="s">
        <v>2423</v>
      </c>
      <c r="F955" s="711">
        <v>6</v>
      </c>
      <c r="G955" s="711">
        <v>3</v>
      </c>
      <c r="H955" s="711">
        <v>2</v>
      </c>
      <c r="I955" s="711">
        <v>1</v>
      </c>
      <c r="J955" s="711">
        <v>9</v>
      </c>
      <c r="K955" s="711">
        <v>5</v>
      </c>
      <c r="L955" s="711">
        <v>6</v>
      </c>
      <c r="M955" s="711" t="s">
        <v>3493</v>
      </c>
    </row>
    <row r="956" spans="1:13">
      <c r="A956" s="711" t="s">
        <v>2394</v>
      </c>
      <c r="B956" s="711" t="s">
        <v>2362</v>
      </c>
      <c r="C956" s="711" t="s">
        <v>2377</v>
      </c>
      <c r="D956" s="711"/>
      <c r="E956" s="711"/>
      <c r="F956" s="711">
        <v>4</v>
      </c>
      <c r="G956" s="711">
        <v>1</v>
      </c>
      <c r="H956" s="711">
        <v>2</v>
      </c>
      <c r="I956" s="711"/>
      <c r="J956" s="711"/>
      <c r="K956" s="711">
        <v>3</v>
      </c>
      <c r="L956" s="711">
        <v>4</v>
      </c>
      <c r="M956" s="711" t="s">
        <v>3332</v>
      </c>
    </row>
    <row r="957" spans="1:13">
      <c r="A957" s="711" t="s">
        <v>2362</v>
      </c>
      <c r="B957" s="711" t="s">
        <v>3099</v>
      </c>
      <c r="C957" s="711" t="s">
        <v>2377</v>
      </c>
      <c r="D957" s="711"/>
      <c r="E957" s="711"/>
      <c r="F957" s="711">
        <v>1</v>
      </c>
      <c r="G957" s="711">
        <v>3</v>
      </c>
      <c r="H957" s="711">
        <v>2</v>
      </c>
      <c r="I957" s="711"/>
      <c r="J957" s="711"/>
      <c r="K957" s="711">
        <v>3</v>
      </c>
      <c r="L957" s="711">
        <v>1</v>
      </c>
      <c r="M957" s="711" t="s">
        <v>3264</v>
      </c>
    </row>
    <row r="958" spans="1:13">
      <c r="A958" s="711" t="s">
        <v>2362</v>
      </c>
      <c r="B958" s="711"/>
      <c r="C958" s="711"/>
      <c r="D958" s="711"/>
      <c r="E958" s="711"/>
      <c r="F958" s="711">
        <v>1</v>
      </c>
      <c r="G958" s="711"/>
      <c r="H958" s="711"/>
      <c r="I958" s="711"/>
      <c r="J958" s="711"/>
      <c r="K958" s="711">
        <v>1</v>
      </c>
      <c r="L958" s="711">
        <v>1</v>
      </c>
      <c r="M958" s="711" t="s">
        <v>26</v>
      </c>
    </row>
    <row r="959" spans="1:13">
      <c r="A959" s="711" t="s">
        <v>2362</v>
      </c>
      <c r="B959" s="711" t="s">
        <v>2393</v>
      </c>
      <c r="C959" s="711"/>
      <c r="D959" s="711"/>
      <c r="E959" s="711"/>
      <c r="F959" s="711">
        <v>1</v>
      </c>
      <c r="G959" s="711">
        <v>4</v>
      </c>
      <c r="H959" s="711"/>
      <c r="I959" s="711"/>
      <c r="J959" s="711"/>
      <c r="K959" s="711">
        <v>2</v>
      </c>
      <c r="L959" s="711">
        <v>1</v>
      </c>
      <c r="M959" s="711" t="s">
        <v>42</v>
      </c>
    </row>
    <row r="960" spans="1:13">
      <c r="A960" s="711" t="s">
        <v>2362</v>
      </c>
      <c r="B960" s="711" t="s">
        <v>3100</v>
      </c>
      <c r="C960" s="711" t="s">
        <v>2420</v>
      </c>
      <c r="D960" s="711" t="s">
        <v>3099</v>
      </c>
      <c r="E960" s="711" t="s">
        <v>2377</v>
      </c>
      <c r="F960" s="711">
        <v>1</v>
      </c>
      <c r="G960" s="711">
        <v>5</v>
      </c>
      <c r="H960" s="711">
        <v>9</v>
      </c>
      <c r="I960" s="711">
        <v>3</v>
      </c>
      <c r="J960" s="711">
        <v>2</v>
      </c>
      <c r="K960" s="711">
        <v>5</v>
      </c>
      <c r="L960" s="711">
        <v>1</v>
      </c>
      <c r="M960" s="711" t="s">
        <v>3494</v>
      </c>
    </row>
    <row r="961" spans="1:13">
      <c r="A961" s="711" t="s">
        <v>2597</v>
      </c>
      <c r="B961" s="711" t="s">
        <v>2377</v>
      </c>
      <c r="C961" s="711"/>
      <c r="D961" s="711"/>
      <c r="E961" s="711"/>
      <c r="F961" s="711">
        <v>31</v>
      </c>
      <c r="G961" s="711">
        <v>2</v>
      </c>
      <c r="H961" s="711"/>
      <c r="I961" s="711"/>
      <c r="J961" s="711"/>
      <c r="K961" s="711">
        <v>2</v>
      </c>
      <c r="L961" s="711">
        <v>31</v>
      </c>
      <c r="M961" s="711" t="s">
        <v>3249</v>
      </c>
    </row>
    <row r="962" spans="1:13">
      <c r="A962" s="711" t="s">
        <v>989</v>
      </c>
      <c r="B962" s="711"/>
      <c r="C962" s="711"/>
      <c r="D962" s="711"/>
      <c r="E962" s="711"/>
      <c r="F962" s="711">
        <v>31</v>
      </c>
      <c r="G962" s="711"/>
      <c r="H962" s="711"/>
      <c r="I962" s="711"/>
      <c r="J962" s="711"/>
      <c r="K962" s="711">
        <v>1</v>
      </c>
      <c r="L962" s="711">
        <v>31</v>
      </c>
      <c r="M962" s="711" t="s">
        <v>41</v>
      </c>
    </row>
    <row r="963" spans="1:13">
      <c r="A963" s="711" t="s">
        <v>2519</v>
      </c>
      <c r="B963" s="711"/>
      <c r="C963" s="711"/>
      <c r="D963" s="711"/>
      <c r="E963" s="711"/>
      <c r="F963" s="711">
        <v>31</v>
      </c>
      <c r="G963" s="711"/>
      <c r="H963" s="711"/>
      <c r="I963" s="711"/>
      <c r="J963" s="711"/>
      <c r="K963" s="711">
        <v>1</v>
      </c>
      <c r="L963" s="711">
        <v>31</v>
      </c>
      <c r="M963" s="711" t="s">
        <v>41</v>
      </c>
    </row>
    <row r="964" spans="1:13">
      <c r="A964" s="711" t="s">
        <v>2362</v>
      </c>
      <c r="B964" s="711" t="s">
        <v>2393</v>
      </c>
      <c r="C964" s="711"/>
      <c r="D964" s="711"/>
      <c r="E964" s="711"/>
      <c r="F964" s="711">
        <v>1</v>
      </c>
      <c r="G964" s="711">
        <v>4</v>
      </c>
      <c r="H964" s="711"/>
      <c r="I964" s="711"/>
      <c r="J964" s="711"/>
      <c r="K964" s="711">
        <v>2</v>
      </c>
      <c r="L964" s="711">
        <v>1</v>
      </c>
      <c r="M964" s="711" t="s">
        <v>42</v>
      </c>
    </row>
    <row r="965" spans="1:13">
      <c r="A965" s="711" t="s">
        <v>2393</v>
      </c>
      <c r="B965" s="711" t="s">
        <v>2409</v>
      </c>
      <c r="C965" s="711"/>
      <c r="D965" s="711"/>
      <c r="E965" s="711"/>
      <c r="F965" s="711">
        <v>4</v>
      </c>
      <c r="G965" s="711">
        <v>7</v>
      </c>
      <c r="H965" s="711"/>
      <c r="I965" s="711"/>
      <c r="J965" s="711"/>
      <c r="K965" s="711">
        <v>2</v>
      </c>
      <c r="L965" s="711">
        <v>4</v>
      </c>
      <c r="M965" s="711" t="s">
        <v>3289</v>
      </c>
    </row>
    <row r="966" spans="1:13">
      <c r="A966" s="711" t="s">
        <v>2411</v>
      </c>
      <c r="B966" s="711"/>
      <c r="C966" s="711"/>
      <c r="D966" s="711"/>
      <c r="E966" s="711"/>
      <c r="F966" s="711">
        <v>8</v>
      </c>
      <c r="G966" s="711"/>
      <c r="H966" s="711"/>
      <c r="I966" s="711"/>
      <c r="J966" s="711"/>
      <c r="K966" s="711">
        <v>1</v>
      </c>
      <c r="L966" s="711">
        <v>8</v>
      </c>
      <c r="M966" s="711" t="s">
        <v>51</v>
      </c>
    </row>
    <row r="967" spans="1:13">
      <c r="A967" s="711" t="s">
        <v>2394</v>
      </c>
      <c r="B967" s="711" t="s">
        <v>3050</v>
      </c>
      <c r="C967" s="711" t="s">
        <v>3081</v>
      </c>
      <c r="D967" s="711"/>
      <c r="E967" s="711"/>
      <c r="F967" s="711">
        <v>4</v>
      </c>
      <c r="G967" s="711">
        <v>31</v>
      </c>
      <c r="H967" s="711">
        <v>31</v>
      </c>
      <c r="I967" s="711"/>
      <c r="J967" s="711"/>
      <c r="K967" s="711">
        <v>3</v>
      </c>
      <c r="L967" s="711">
        <v>4</v>
      </c>
      <c r="M967" s="711" t="s">
        <v>3170</v>
      </c>
    </row>
    <row r="968" spans="1:13">
      <c r="A968" s="711" t="s">
        <v>2377</v>
      </c>
      <c r="B968" s="711" t="s">
        <v>2394</v>
      </c>
      <c r="C968" s="711"/>
      <c r="D968" s="711"/>
      <c r="E968" s="711"/>
      <c r="F968" s="711">
        <v>2</v>
      </c>
      <c r="G968" s="711">
        <v>4</v>
      </c>
      <c r="H968" s="711"/>
      <c r="I968" s="711"/>
      <c r="J968" s="711"/>
      <c r="K968" s="711">
        <v>2</v>
      </c>
      <c r="L968" s="711">
        <v>2</v>
      </c>
      <c r="M968" s="711" t="s">
        <v>53</v>
      </c>
    </row>
    <row r="969" spans="1:13">
      <c r="A969" s="711" t="s">
        <v>1040</v>
      </c>
      <c r="B969" s="711" t="s">
        <v>2409</v>
      </c>
      <c r="C969" s="711"/>
      <c r="D969" s="711"/>
      <c r="E969" s="711"/>
      <c r="F969" s="711">
        <v>31</v>
      </c>
      <c r="G969" s="711">
        <v>7</v>
      </c>
      <c r="H969" s="711"/>
      <c r="I969" s="711"/>
      <c r="J969" s="711"/>
      <c r="K969" s="711">
        <v>2</v>
      </c>
      <c r="L969" s="711">
        <v>31</v>
      </c>
      <c r="M969" s="711" t="s">
        <v>3343</v>
      </c>
    </row>
    <row r="970" spans="1:13">
      <c r="A970" s="711" t="s">
        <v>2434</v>
      </c>
      <c r="B970" s="711" t="s">
        <v>2394</v>
      </c>
      <c r="C970" s="711"/>
      <c r="D970" s="711"/>
      <c r="E970" s="711"/>
      <c r="F970" s="711">
        <v>11</v>
      </c>
      <c r="G970" s="711">
        <v>4</v>
      </c>
      <c r="H970" s="711"/>
      <c r="I970" s="711"/>
      <c r="J970" s="711"/>
      <c r="K970" s="711">
        <v>2</v>
      </c>
      <c r="L970" s="711">
        <v>11</v>
      </c>
      <c r="M970" s="711" t="s">
        <v>3181</v>
      </c>
    </row>
    <row r="971" spans="1:13">
      <c r="A971" s="711" t="s">
        <v>2409</v>
      </c>
      <c r="B971" s="711" t="s">
        <v>2434</v>
      </c>
      <c r="C971" s="711"/>
      <c r="D971" s="711"/>
      <c r="E971" s="711"/>
      <c r="F971" s="711">
        <v>7</v>
      </c>
      <c r="G971" s="711">
        <v>11</v>
      </c>
      <c r="H971" s="711"/>
      <c r="I971" s="711"/>
      <c r="J971" s="711"/>
      <c r="K971" s="711">
        <v>2</v>
      </c>
      <c r="L971" s="711">
        <v>7</v>
      </c>
      <c r="M971" s="711" t="s">
        <v>3344</v>
      </c>
    </row>
    <row r="972" spans="1:13">
      <c r="A972" s="711" t="s">
        <v>2362</v>
      </c>
      <c r="B972" s="711" t="s">
        <v>1040</v>
      </c>
      <c r="C972" s="711"/>
      <c r="D972" s="711"/>
      <c r="E972" s="711"/>
      <c r="F972" s="711">
        <v>1</v>
      </c>
      <c r="G972" s="711">
        <v>31</v>
      </c>
      <c r="H972" s="711"/>
      <c r="I972" s="711"/>
      <c r="J972" s="711"/>
      <c r="K972" s="711">
        <v>2</v>
      </c>
      <c r="L972" s="711">
        <v>1</v>
      </c>
      <c r="M972" s="711" t="s">
        <v>3151</v>
      </c>
    </row>
    <row r="973" spans="1:13">
      <c r="A973" s="711" t="s">
        <v>3102</v>
      </c>
      <c r="B973" s="711" t="s">
        <v>2448</v>
      </c>
      <c r="C973" s="711"/>
      <c r="D973" s="711"/>
      <c r="E973" s="711"/>
      <c r="F973" s="711">
        <v>10</v>
      </c>
      <c r="G973" s="711">
        <v>17</v>
      </c>
      <c r="H973" s="711"/>
      <c r="I973" s="711"/>
      <c r="J973" s="711"/>
      <c r="K973" s="711">
        <v>2</v>
      </c>
      <c r="L973" s="711">
        <v>10</v>
      </c>
      <c r="M973" s="711" t="s">
        <v>3345</v>
      </c>
    </row>
    <row r="974" spans="1:13">
      <c r="A974" s="711" t="s">
        <v>3099</v>
      </c>
      <c r="B974" s="711" t="s">
        <v>2450</v>
      </c>
      <c r="C974" s="711"/>
      <c r="D974" s="711"/>
      <c r="E974" s="711"/>
      <c r="F974" s="711">
        <v>3</v>
      </c>
      <c r="G974" s="711">
        <v>19</v>
      </c>
      <c r="H974" s="711"/>
      <c r="I974" s="711"/>
      <c r="J974" s="711"/>
      <c r="K974" s="711">
        <v>2</v>
      </c>
      <c r="L974" s="711">
        <v>3</v>
      </c>
      <c r="M974" s="711" t="s">
        <v>3346</v>
      </c>
    </row>
    <row r="975" spans="1:13">
      <c r="A975" s="711" t="s">
        <v>2362</v>
      </c>
      <c r="B975" s="711" t="s">
        <v>2377</v>
      </c>
      <c r="C975" s="711" t="s">
        <v>3101</v>
      </c>
      <c r="D975" s="711" t="s">
        <v>3099</v>
      </c>
      <c r="E975" s="711" t="s">
        <v>2420</v>
      </c>
      <c r="F975" s="711">
        <v>1</v>
      </c>
      <c r="G975" s="711">
        <v>2</v>
      </c>
      <c r="H975" s="711">
        <v>6</v>
      </c>
      <c r="I975" s="711">
        <v>3</v>
      </c>
      <c r="J975" s="711">
        <v>9</v>
      </c>
      <c r="K975" s="711">
        <v>5</v>
      </c>
      <c r="L975" s="711">
        <v>1</v>
      </c>
      <c r="M975" s="711" t="s">
        <v>3495</v>
      </c>
    </row>
    <row r="976" spans="1:13">
      <c r="A976" s="711" t="s">
        <v>2362</v>
      </c>
      <c r="B976" s="711" t="s">
        <v>2393</v>
      </c>
      <c r="C976" s="711"/>
      <c r="D976" s="711"/>
      <c r="E976" s="711"/>
      <c r="F976" s="711">
        <v>1</v>
      </c>
      <c r="G976" s="711">
        <v>4</v>
      </c>
      <c r="H976" s="711"/>
      <c r="I976" s="711"/>
      <c r="J976" s="711"/>
      <c r="K976" s="711">
        <v>2</v>
      </c>
      <c r="L976" s="711">
        <v>1</v>
      </c>
      <c r="M976" s="711" t="s">
        <v>42</v>
      </c>
    </row>
    <row r="977" spans="1:13">
      <c r="A977" s="711" t="s">
        <v>2420</v>
      </c>
      <c r="B977" s="711" t="s">
        <v>3099</v>
      </c>
      <c r="C977" s="711"/>
      <c r="D977" s="711"/>
      <c r="E977" s="711"/>
      <c r="F977" s="711">
        <v>9</v>
      </c>
      <c r="G977" s="711">
        <v>3</v>
      </c>
      <c r="H977" s="711"/>
      <c r="I977" s="711"/>
      <c r="J977" s="711"/>
      <c r="K977" s="711">
        <v>2</v>
      </c>
      <c r="L977" s="711">
        <v>9</v>
      </c>
      <c r="M977" s="711" t="s">
        <v>3347</v>
      </c>
    </row>
    <row r="978" spans="1:13">
      <c r="A978" s="711" t="s">
        <v>2409</v>
      </c>
      <c r="B978" s="711" t="s">
        <v>3102</v>
      </c>
      <c r="C978" s="711"/>
      <c r="D978" s="711"/>
      <c r="E978" s="711"/>
      <c r="F978" s="711">
        <v>7</v>
      </c>
      <c r="G978" s="711">
        <v>10</v>
      </c>
      <c r="H978" s="711"/>
      <c r="I978" s="711"/>
      <c r="J978" s="711"/>
      <c r="K978" s="711">
        <v>2</v>
      </c>
      <c r="L978" s="711">
        <v>7</v>
      </c>
      <c r="M978" s="711" t="s">
        <v>3348</v>
      </c>
    </row>
    <row r="979" spans="1:13">
      <c r="A979" s="711" t="s">
        <v>2464</v>
      </c>
      <c r="B979" s="711" t="s">
        <v>2664</v>
      </c>
      <c r="C979" s="711"/>
      <c r="D979" s="711"/>
      <c r="E979" s="711"/>
      <c r="F979" s="711">
        <v>25</v>
      </c>
      <c r="G979" s="711">
        <v>31</v>
      </c>
      <c r="H979" s="711"/>
      <c r="I979" s="711"/>
      <c r="J979" s="711"/>
      <c r="K979" s="711">
        <v>2</v>
      </c>
      <c r="L979" s="711">
        <v>25</v>
      </c>
      <c r="M979" s="711" t="s">
        <v>3349</v>
      </c>
    </row>
    <row r="980" spans="1:13">
      <c r="A980" s="711" t="s">
        <v>2409</v>
      </c>
      <c r="B980" s="711"/>
      <c r="C980" s="711"/>
      <c r="D980" s="711"/>
      <c r="E980" s="711"/>
      <c r="F980" s="711">
        <v>7</v>
      </c>
      <c r="G980" s="711"/>
      <c r="H980" s="711"/>
      <c r="I980" s="711"/>
      <c r="J980" s="711"/>
      <c r="K980" s="711">
        <v>1</v>
      </c>
      <c r="L980" s="711">
        <v>7</v>
      </c>
      <c r="M980" s="711" t="s">
        <v>34</v>
      </c>
    </row>
    <row r="981" spans="1:13">
      <c r="A981" s="711" t="s">
        <v>2409</v>
      </c>
      <c r="B981" s="711" t="s">
        <v>2446</v>
      </c>
      <c r="C981" s="711"/>
      <c r="D981" s="711"/>
      <c r="E981" s="711"/>
      <c r="F981" s="711">
        <v>7</v>
      </c>
      <c r="G981" s="711">
        <v>16</v>
      </c>
      <c r="H981" s="711"/>
      <c r="I981" s="711"/>
      <c r="J981" s="711"/>
      <c r="K981" s="711">
        <v>2</v>
      </c>
      <c r="L981" s="711">
        <v>7</v>
      </c>
      <c r="M981" s="711" t="s">
        <v>3350</v>
      </c>
    </row>
    <row r="982" spans="1:13">
      <c r="A982" s="711" t="s">
        <v>2438</v>
      </c>
      <c r="B982" s="711" t="s">
        <v>2393</v>
      </c>
      <c r="C982" s="711"/>
      <c r="D982" s="711"/>
      <c r="E982" s="711"/>
      <c r="F982" s="711">
        <v>13</v>
      </c>
      <c r="G982" s="711">
        <v>4</v>
      </c>
      <c r="H982" s="711"/>
      <c r="I982" s="711"/>
      <c r="J982" s="711"/>
      <c r="K982" s="711">
        <v>2</v>
      </c>
      <c r="L982" s="711">
        <v>13</v>
      </c>
      <c r="M982" s="711" t="s">
        <v>3351</v>
      </c>
    </row>
    <row r="983" spans="1:13">
      <c r="A983" s="711" t="s">
        <v>3102</v>
      </c>
      <c r="B983" s="711" t="s">
        <v>3099</v>
      </c>
      <c r="C983" s="711"/>
      <c r="D983" s="711"/>
      <c r="E983" s="711"/>
      <c r="F983" s="711">
        <v>10</v>
      </c>
      <c r="G983" s="711">
        <v>3</v>
      </c>
      <c r="H983" s="711"/>
      <c r="I983" s="711"/>
      <c r="J983" s="711"/>
      <c r="K983" s="711">
        <v>2</v>
      </c>
      <c r="L983" s="711">
        <v>10</v>
      </c>
      <c r="M983" s="711" t="s">
        <v>3352</v>
      </c>
    </row>
    <row r="984" spans="1:13">
      <c r="A984" s="711" t="s">
        <v>2377</v>
      </c>
      <c r="B984" s="711"/>
      <c r="C984" s="711"/>
      <c r="D984" s="711"/>
      <c r="E984" s="711"/>
      <c r="F984" s="711">
        <v>2</v>
      </c>
      <c r="G984" s="711"/>
      <c r="H984" s="711"/>
      <c r="I984" s="711"/>
      <c r="J984" s="711"/>
      <c r="K984" s="711">
        <v>1</v>
      </c>
      <c r="L984" s="711">
        <v>2</v>
      </c>
      <c r="M984" s="711" t="s">
        <v>47</v>
      </c>
    </row>
    <row r="985" spans="1:13">
      <c r="A985" s="711" t="s">
        <v>2409</v>
      </c>
      <c r="B985" s="711"/>
      <c r="C985" s="711"/>
      <c r="D985" s="711"/>
      <c r="E985" s="711"/>
      <c r="F985" s="711">
        <v>7</v>
      </c>
      <c r="G985" s="711"/>
      <c r="H985" s="711"/>
      <c r="I985" s="711"/>
      <c r="J985" s="711"/>
      <c r="K985" s="711">
        <v>1</v>
      </c>
      <c r="L985" s="711">
        <v>7</v>
      </c>
      <c r="M985" s="711" t="s">
        <v>34</v>
      </c>
    </row>
    <row r="986" spans="1:13">
      <c r="A986" s="711" t="s">
        <v>2393</v>
      </c>
      <c r="B986" s="711" t="s">
        <v>2377</v>
      </c>
      <c r="C986" s="711"/>
      <c r="D986" s="711"/>
      <c r="E986" s="711"/>
      <c r="F986" s="711">
        <v>4</v>
      </c>
      <c r="G986" s="711">
        <v>2</v>
      </c>
      <c r="H986" s="711"/>
      <c r="I986" s="711"/>
      <c r="J986" s="711"/>
      <c r="K986" s="711">
        <v>2</v>
      </c>
      <c r="L986" s="711">
        <v>4</v>
      </c>
      <c r="M986" s="711" t="s">
        <v>3177</v>
      </c>
    </row>
    <row r="987" spans="1:13">
      <c r="A987" s="711" t="s">
        <v>2409</v>
      </c>
      <c r="B987" s="711" t="s">
        <v>2377</v>
      </c>
      <c r="C987" s="711"/>
      <c r="D987" s="711"/>
      <c r="E987" s="711"/>
      <c r="F987" s="711">
        <v>7</v>
      </c>
      <c r="G987" s="711">
        <v>2</v>
      </c>
      <c r="H987" s="711"/>
      <c r="I987" s="711"/>
      <c r="J987" s="711"/>
      <c r="K987" s="711">
        <v>2</v>
      </c>
      <c r="L987" s="711">
        <v>7</v>
      </c>
      <c r="M987" s="711" t="s">
        <v>3192</v>
      </c>
    </row>
    <row r="988" spans="1:13">
      <c r="A988" s="711" t="s">
        <v>2393</v>
      </c>
      <c r="B988" s="711" t="s">
        <v>2377</v>
      </c>
      <c r="C988" s="711"/>
      <c r="D988" s="711"/>
      <c r="E988" s="711"/>
      <c r="F988" s="711">
        <v>4</v>
      </c>
      <c r="G988" s="711">
        <v>2</v>
      </c>
      <c r="H988" s="711"/>
      <c r="I988" s="711"/>
      <c r="J988" s="711"/>
      <c r="K988" s="711">
        <v>2</v>
      </c>
      <c r="L988" s="711">
        <v>4</v>
      </c>
      <c r="M988" s="711" t="s">
        <v>3177</v>
      </c>
    </row>
    <row r="989" spans="1:13">
      <c r="A989" s="711" t="s">
        <v>2409</v>
      </c>
      <c r="B989" s="711"/>
      <c r="C989" s="711"/>
      <c r="D989" s="711"/>
      <c r="E989" s="711"/>
      <c r="F989" s="711">
        <v>7</v>
      </c>
      <c r="G989" s="711"/>
      <c r="H989" s="711"/>
      <c r="I989" s="711"/>
      <c r="J989" s="711"/>
      <c r="K989" s="711">
        <v>1</v>
      </c>
      <c r="L989" s="711">
        <v>7</v>
      </c>
      <c r="M989" s="711" t="s">
        <v>34</v>
      </c>
    </row>
    <row r="990" spans="1:13">
      <c r="A990" s="711" t="s">
        <v>3013</v>
      </c>
      <c r="B990" s="711"/>
      <c r="C990" s="711"/>
      <c r="D990" s="711"/>
      <c r="E990" s="711"/>
      <c r="F990" s="711">
        <v>31</v>
      </c>
      <c r="G990" s="711"/>
      <c r="H990" s="711"/>
      <c r="I990" s="711"/>
      <c r="J990" s="711"/>
      <c r="K990" s="711">
        <v>1</v>
      </c>
      <c r="L990" s="711">
        <v>31</v>
      </c>
      <c r="M990" s="711" t="s">
        <v>41</v>
      </c>
    </row>
    <row r="991" spans="1:13">
      <c r="A991" s="711" t="s">
        <v>3099</v>
      </c>
      <c r="B991" s="711"/>
      <c r="C991" s="711"/>
      <c r="D991" s="711"/>
      <c r="E991" s="711"/>
      <c r="F991" s="711">
        <v>3</v>
      </c>
      <c r="G991" s="711"/>
      <c r="H991" s="711"/>
      <c r="I991" s="711"/>
      <c r="J991" s="711"/>
      <c r="K991" s="711">
        <v>1</v>
      </c>
      <c r="L991" s="711">
        <v>3</v>
      </c>
      <c r="M991" s="711" t="s">
        <v>48</v>
      </c>
    </row>
    <row r="992" spans="1:13">
      <c r="A992" s="711" t="s">
        <v>2409</v>
      </c>
      <c r="B992" s="711" t="s">
        <v>3099</v>
      </c>
      <c r="C992" s="711" t="s">
        <v>2362</v>
      </c>
      <c r="D992" s="711"/>
      <c r="E992" s="711"/>
      <c r="F992" s="711">
        <v>7</v>
      </c>
      <c r="G992" s="711">
        <v>3</v>
      </c>
      <c r="H992" s="711">
        <v>1</v>
      </c>
      <c r="I992" s="711"/>
      <c r="J992" s="711"/>
      <c r="K992" s="711">
        <v>3</v>
      </c>
      <c r="L992" s="711">
        <v>7</v>
      </c>
      <c r="M992" s="711" t="s">
        <v>3353</v>
      </c>
    </row>
    <row r="993" spans="1:13">
      <c r="A993" s="711" t="s">
        <v>2959</v>
      </c>
      <c r="B993" s="711"/>
      <c r="C993" s="711"/>
      <c r="D993" s="711"/>
      <c r="E993" s="711"/>
      <c r="F993" s="711">
        <v>31</v>
      </c>
      <c r="G993" s="711"/>
      <c r="H993" s="711"/>
      <c r="I993" s="711"/>
      <c r="J993" s="711"/>
      <c r="K993" s="711">
        <v>1</v>
      </c>
      <c r="L993" s="711">
        <v>31</v>
      </c>
      <c r="M993" s="711" t="s">
        <v>41</v>
      </c>
    </row>
    <row r="994" spans="1:13">
      <c r="A994" s="711" t="s">
        <v>3102</v>
      </c>
      <c r="B994" s="711"/>
      <c r="C994" s="711"/>
      <c r="D994" s="711"/>
      <c r="E994" s="711"/>
      <c r="F994" s="711">
        <v>10</v>
      </c>
      <c r="G994" s="711"/>
      <c r="H994" s="711"/>
      <c r="I994" s="711"/>
      <c r="J994" s="711"/>
      <c r="K994" s="711">
        <v>1</v>
      </c>
      <c r="L994" s="711">
        <v>10</v>
      </c>
      <c r="M994" s="711" t="s">
        <v>25</v>
      </c>
    </row>
    <row r="995" spans="1:13">
      <c r="A995" s="711" t="s">
        <v>3014</v>
      </c>
      <c r="B995" s="711" t="s">
        <v>3051</v>
      </c>
      <c r="C995" s="711"/>
      <c r="D995" s="711"/>
      <c r="E995" s="711"/>
      <c r="F995" s="711">
        <v>31</v>
      </c>
      <c r="G995" s="711">
        <v>31</v>
      </c>
      <c r="H995" s="711"/>
      <c r="I995" s="711"/>
      <c r="J995" s="711"/>
      <c r="K995" s="711">
        <v>2</v>
      </c>
      <c r="L995" s="711">
        <v>31</v>
      </c>
      <c r="M995" s="711" t="s">
        <v>41</v>
      </c>
    </row>
    <row r="996" spans="1:13">
      <c r="A996" s="711" t="s">
        <v>2362</v>
      </c>
      <c r="B996" s="711" t="s">
        <v>3100</v>
      </c>
      <c r="C996" s="711" t="s">
        <v>2393</v>
      </c>
      <c r="D996" s="711"/>
      <c r="E996" s="711"/>
      <c r="F996" s="711">
        <v>1</v>
      </c>
      <c r="G996" s="711">
        <v>5</v>
      </c>
      <c r="H996" s="711">
        <v>4</v>
      </c>
      <c r="I996" s="711"/>
      <c r="J996" s="711"/>
      <c r="K996" s="711">
        <v>3</v>
      </c>
      <c r="L996" s="711">
        <v>1</v>
      </c>
      <c r="M996" s="711" t="s">
        <v>3354</v>
      </c>
    </row>
    <row r="997" spans="1:13">
      <c r="A997" s="711" t="s">
        <v>2420</v>
      </c>
      <c r="B997" s="711" t="s">
        <v>2448</v>
      </c>
      <c r="C997" s="711" t="s">
        <v>3099</v>
      </c>
      <c r="D997" s="711"/>
      <c r="E997" s="711"/>
      <c r="F997" s="711">
        <v>9</v>
      </c>
      <c r="G997" s="711">
        <v>17</v>
      </c>
      <c r="H997" s="711">
        <v>3</v>
      </c>
      <c r="I997" s="711"/>
      <c r="J997" s="711"/>
      <c r="K997" s="711">
        <v>3</v>
      </c>
      <c r="L997" s="711">
        <v>9</v>
      </c>
      <c r="M997" s="711" t="s">
        <v>3355</v>
      </c>
    </row>
    <row r="998" spans="1:13">
      <c r="A998" s="711" t="s">
        <v>3101</v>
      </c>
      <c r="B998" s="711"/>
      <c r="C998" s="711"/>
      <c r="D998" s="711"/>
      <c r="E998" s="711"/>
      <c r="F998" s="711">
        <v>6</v>
      </c>
      <c r="G998" s="711"/>
      <c r="H998" s="711"/>
      <c r="I998" s="711"/>
      <c r="J998" s="711"/>
      <c r="K998" s="711">
        <v>1</v>
      </c>
      <c r="L998" s="711">
        <v>6</v>
      </c>
      <c r="M998" s="711" t="s">
        <v>909</v>
      </c>
    </row>
    <row r="999" spans="1:13">
      <c r="A999" s="711" t="s">
        <v>3099</v>
      </c>
      <c r="B999" s="711"/>
      <c r="C999" s="711"/>
      <c r="D999" s="711"/>
      <c r="E999" s="711"/>
      <c r="F999" s="711">
        <v>3</v>
      </c>
      <c r="G999" s="711"/>
      <c r="H999" s="711"/>
      <c r="I999" s="711"/>
      <c r="J999" s="711"/>
      <c r="K999" s="711">
        <v>1</v>
      </c>
      <c r="L999" s="711">
        <v>3</v>
      </c>
      <c r="M999" s="711" t="s">
        <v>48</v>
      </c>
    </row>
    <row r="1000" spans="1:13">
      <c r="A1000" s="711" t="s">
        <v>3099</v>
      </c>
      <c r="B1000" s="711" t="s">
        <v>2362</v>
      </c>
      <c r="C1000" s="711" t="s">
        <v>2409</v>
      </c>
      <c r="D1000" s="711"/>
      <c r="E1000" s="711"/>
      <c r="F1000" s="711">
        <v>3</v>
      </c>
      <c r="G1000" s="711">
        <v>1</v>
      </c>
      <c r="H1000" s="711">
        <v>7</v>
      </c>
      <c r="I1000" s="711"/>
      <c r="J1000" s="711"/>
      <c r="K1000" s="711">
        <v>3</v>
      </c>
      <c r="L1000" s="711">
        <v>3</v>
      </c>
      <c r="M1000" s="711" t="s">
        <v>3356</v>
      </c>
    </row>
    <row r="1001" spans="1:13">
      <c r="A1001" s="711" t="s">
        <v>2420</v>
      </c>
      <c r="B1001" s="711"/>
      <c r="C1001" s="711"/>
      <c r="D1001" s="711"/>
      <c r="E1001" s="711"/>
      <c r="F1001" s="711">
        <v>9</v>
      </c>
      <c r="G1001" s="711"/>
      <c r="H1001" s="711"/>
      <c r="I1001" s="711"/>
      <c r="J1001" s="711"/>
      <c r="K1001" s="711">
        <v>1</v>
      </c>
      <c r="L1001" s="711">
        <v>9</v>
      </c>
      <c r="M1001" s="711" t="s">
        <v>27</v>
      </c>
    </row>
    <row r="1002" spans="1:13">
      <c r="A1002" s="711" t="s">
        <v>2511</v>
      </c>
      <c r="B1002" s="711" t="s">
        <v>2511</v>
      </c>
      <c r="C1002" s="711"/>
      <c r="D1002" s="711"/>
      <c r="E1002" s="711"/>
      <c r="F1002" s="711">
        <v>31</v>
      </c>
      <c r="G1002" s="711">
        <v>31</v>
      </c>
      <c r="H1002" s="711"/>
      <c r="I1002" s="711"/>
      <c r="J1002" s="711"/>
      <c r="K1002" s="711">
        <v>2</v>
      </c>
      <c r="L1002" s="711">
        <v>31</v>
      </c>
      <c r="M1002" s="711" t="s">
        <v>41</v>
      </c>
    </row>
    <row r="1003" spans="1:13">
      <c r="A1003" s="711" t="s">
        <v>2393</v>
      </c>
      <c r="B1003" s="711"/>
      <c r="C1003" s="711"/>
      <c r="D1003" s="711"/>
      <c r="E1003" s="711"/>
      <c r="F1003" s="711">
        <v>4</v>
      </c>
      <c r="G1003" s="711"/>
      <c r="H1003" s="711"/>
      <c r="I1003" s="711"/>
      <c r="J1003" s="711"/>
      <c r="K1003" s="711">
        <v>1</v>
      </c>
      <c r="L1003" s="711">
        <v>4</v>
      </c>
      <c r="M1003" s="711" t="s">
        <v>39</v>
      </c>
    </row>
    <row r="1004" spans="1:13">
      <c r="A1004" s="711" t="s">
        <v>3099</v>
      </c>
      <c r="B1004" s="711" t="s">
        <v>2377</v>
      </c>
      <c r="C1004" s="711"/>
      <c r="D1004" s="711"/>
      <c r="E1004" s="711"/>
      <c r="F1004" s="711">
        <v>3</v>
      </c>
      <c r="G1004" s="711">
        <v>2</v>
      </c>
      <c r="H1004" s="711"/>
      <c r="I1004" s="711"/>
      <c r="J1004" s="711"/>
      <c r="K1004" s="711">
        <v>2</v>
      </c>
      <c r="L1004" s="711">
        <v>3</v>
      </c>
      <c r="M1004" s="711" t="s">
        <v>3193</v>
      </c>
    </row>
    <row r="1005" spans="1:13">
      <c r="A1005" s="711" t="s">
        <v>3015</v>
      </c>
      <c r="B1005" s="711" t="s">
        <v>1040</v>
      </c>
      <c r="C1005" s="711" t="s">
        <v>2377</v>
      </c>
      <c r="D1005" s="711"/>
      <c r="E1005" s="711"/>
      <c r="F1005" s="711">
        <v>31</v>
      </c>
      <c r="G1005" s="711">
        <v>31</v>
      </c>
      <c r="H1005" s="711">
        <v>2</v>
      </c>
      <c r="I1005" s="711"/>
      <c r="J1005" s="711"/>
      <c r="K1005" s="711">
        <v>3</v>
      </c>
      <c r="L1005" s="711">
        <v>31</v>
      </c>
      <c r="M1005" s="711" t="s">
        <v>3249</v>
      </c>
    </row>
    <row r="1006" spans="1:13">
      <c r="A1006" s="711" t="s">
        <v>2377</v>
      </c>
      <c r="B1006" s="711"/>
      <c r="C1006" s="711"/>
      <c r="D1006" s="711"/>
      <c r="E1006" s="711"/>
      <c r="F1006" s="711">
        <v>2</v>
      </c>
      <c r="G1006" s="711"/>
      <c r="H1006" s="711"/>
      <c r="I1006" s="711"/>
      <c r="J1006" s="711"/>
      <c r="K1006" s="711">
        <v>1</v>
      </c>
      <c r="L1006" s="711">
        <v>2</v>
      </c>
      <c r="M1006" s="711" t="s">
        <v>47</v>
      </c>
    </row>
    <row r="1007" spans="1:13">
      <c r="A1007" s="711" t="s">
        <v>2362</v>
      </c>
      <c r="B1007" s="711" t="s">
        <v>2377</v>
      </c>
      <c r="C1007" s="711" t="s">
        <v>3099</v>
      </c>
      <c r="D1007" s="711"/>
      <c r="E1007" s="711"/>
      <c r="F1007" s="711">
        <v>1</v>
      </c>
      <c r="G1007" s="711">
        <v>2</v>
      </c>
      <c r="H1007" s="711">
        <v>3</v>
      </c>
      <c r="I1007" s="711"/>
      <c r="J1007" s="711"/>
      <c r="K1007" s="711">
        <v>3</v>
      </c>
      <c r="L1007" s="711">
        <v>1</v>
      </c>
      <c r="M1007" s="711" t="s">
        <v>900</v>
      </c>
    </row>
    <row r="1008" spans="1:13">
      <c r="A1008" s="711" t="s">
        <v>3099</v>
      </c>
      <c r="B1008" s="711" t="s">
        <v>2362</v>
      </c>
      <c r="C1008" s="711"/>
      <c r="D1008" s="711"/>
      <c r="E1008" s="711"/>
      <c r="F1008" s="711">
        <v>3</v>
      </c>
      <c r="G1008" s="711">
        <v>1</v>
      </c>
      <c r="H1008" s="711"/>
      <c r="I1008" s="711"/>
      <c r="J1008" s="711"/>
      <c r="K1008" s="711">
        <v>2</v>
      </c>
      <c r="L1008" s="711">
        <v>3</v>
      </c>
      <c r="M1008" s="711" t="s">
        <v>3197</v>
      </c>
    </row>
    <row r="1009" spans="1:13">
      <c r="A1009" s="711" t="s">
        <v>2377</v>
      </c>
      <c r="B1009" s="711" t="s">
        <v>2409</v>
      </c>
      <c r="C1009" s="711" t="s">
        <v>3099</v>
      </c>
      <c r="D1009" s="711" t="s">
        <v>3103</v>
      </c>
      <c r="E1009" s="711"/>
      <c r="F1009" s="711">
        <v>2</v>
      </c>
      <c r="G1009" s="711">
        <v>7</v>
      </c>
      <c r="H1009" s="711">
        <v>3</v>
      </c>
      <c r="I1009" s="711">
        <v>12</v>
      </c>
      <c r="J1009" s="711"/>
      <c r="K1009" s="711">
        <v>4</v>
      </c>
      <c r="L1009" s="711">
        <v>2</v>
      </c>
      <c r="M1009" s="711" t="s">
        <v>3357</v>
      </c>
    </row>
    <row r="1010" spans="1:13">
      <c r="A1010" s="711" t="s">
        <v>2362</v>
      </c>
      <c r="B1010" s="711"/>
      <c r="C1010" s="711"/>
      <c r="D1010" s="711"/>
      <c r="E1010" s="711"/>
      <c r="F1010" s="711">
        <v>1</v>
      </c>
      <c r="G1010" s="711"/>
      <c r="H1010" s="711"/>
      <c r="I1010" s="711"/>
      <c r="J1010" s="711"/>
      <c r="K1010" s="711">
        <v>1</v>
      </c>
      <c r="L1010" s="711">
        <v>1</v>
      </c>
      <c r="M1010" s="711" t="s">
        <v>26</v>
      </c>
    </row>
    <row r="1011" spans="1:13">
      <c r="A1011" s="711" t="s">
        <v>2362</v>
      </c>
      <c r="B1011" s="711"/>
      <c r="C1011" s="711"/>
      <c r="D1011" s="711"/>
      <c r="E1011" s="711"/>
      <c r="F1011" s="711">
        <v>1</v>
      </c>
      <c r="G1011" s="711"/>
      <c r="H1011" s="711"/>
      <c r="I1011" s="711"/>
      <c r="J1011" s="711"/>
      <c r="K1011" s="711">
        <v>1</v>
      </c>
      <c r="L1011" s="711">
        <v>1</v>
      </c>
      <c r="M1011" s="711" t="s">
        <v>26</v>
      </c>
    </row>
    <row r="1012" spans="1:13">
      <c r="A1012" s="711" t="s">
        <v>3016</v>
      </c>
      <c r="B1012" s="711" t="s">
        <v>3052</v>
      </c>
      <c r="C1012" s="711"/>
      <c r="D1012" s="711"/>
      <c r="E1012" s="711"/>
      <c r="F1012" s="711">
        <v>31</v>
      </c>
      <c r="G1012" s="711">
        <v>31</v>
      </c>
      <c r="H1012" s="711"/>
      <c r="I1012" s="711"/>
      <c r="J1012" s="711"/>
      <c r="K1012" s="711">
        <v>2</v>
      </c>
      <c r="L1012" s="711">
        <v>31</v>
      </c>
      <c r="M1012" s="711" t="s">
        <v>41</v>
      </c>
    </row>
    <row r="1013" spans="1:13">
      <c r="A1013" s="711" t="s">
        <v>2362</v>
      </c>
      <c r="B1013" s="711" t="s">
        <v>2377</v>
      </c>
      <c r="C1013" s="711" t="s">
        <v>3099</v>
      </c>
      <c r="D1013" s="711"/>
      <c r="E1013" s="711"/>
      <c r="F1013" s="711">
        <v>1</v>
      </c>
      <c r="G1013" s="711">
        <v>2</v>
      </c>
      <c r="H1013" s="711">
        <v>3</v>
      </c>
      <c r="I1013" s="711"/>
      <c r="J1013" s="711"/>
      <c r="K1013" s="711">
        <v>3</v>
      </c>
      <c r="L1013" s="711">
        <v>1</v>
      </c>
      <c r="M1013" s="711" t="s">
        <v>900</v>
      </c>
    </row>
    <row r="1014" spans="1:13">
      <c r="A1014" s="711" t="s">
        <v>3099</v>
      </c>
      <c r="B1014" s="711"/>
      <c r="C1014" s="711"/>
      <c r="D1014" s="711"/>
      <c r="E1014" s="711"/>
      <c r="F1014" s="711">
        <v>3</v>
      </c>
      <c r="G1014" s="711"/>
      <c r="H1014" s="711"/>
      <c r="I1014" s="711"/>
      <c r="J1014" s="711"/>
      <c r="K1014" s="711">
        <v>1</v>
      </c>
      <c r="L1014" s="711">
        <v>3</v>
      </c>
      <c r="M1014" s="711" t="s">
        <v>48</v>
      </c>
    </row>
    <row r="1015" spans="1:13">
      <c r="A1015" s="711" t="s">
        <v>2362</v>
      </c>
      <c r="B1015" s="711" t="s">
        <v>3100</v>
      </c>
      <c r="C1015" s="711" t="s">
        <v>2420</v>
      </c>
      <c r="D1015" s="711" t="s">
        <v>2377</v>
      </c>
      <c r="E1015" s="711" t="s">
        <v>2409</v>
      </c>
      <c r="F1015" s="711">
        <v>1</v>
      </c>
      <c r="G1015" s="711">
        <v>5</v>
      </c>
      <c r="H1015" s="711">
        <v>9</v>
      </c>
      <c r="I1015" s="711">
        <v>2</v>
      </c>
      <c r="J1015" s="711">
        <v>7</v>
      </c>
      <c r="K1015" s="711">
        <v>5</v>
      </c>
      <c r="L1015" s="711">
        <v>1</v>
      </c>
      <c r="M1015" s="711" t="s">
        <v>3496</v>
      </c>
    </row>
    <row r="1016" spans="1:13">
      <c r="A1016" s="711" t="s">
        <v>2838</v>
      </c>
      <c r="B1016" s="711" t="s">
        <v>3099</v>
      </c>
      <c r="C1016" s="711"/>
      <c r="D1016" s="711"/>
      <c r="E1016" s="711"/>
      <c r="F1016" s="711">
        <v>31</v>
      </c>
      <c r="G1016" s="711">
        <v>3</v>
      </c>
      <c r="H1016" s="711"/>
      <c r="I1016" s="711"/>
      <c r="J1016" s="711"/>
      <c r="K1016" s="711">
        <v>2</v>
      </c>
      <c r="L1016" s="711">
        <v>31</v>
      </c>
      <c r="M1016" s="711" t="s">
        <v>3229</v>
      </c>
    </row>
    <row r="1017" spans="1:13">
      <c r="A1017" s="711" t="s">
        <v>2409</v>
      </c>
      <c r="B1017" s="711"/>
      <c r="C1017" s="711"/>
      <c r="D1017" s="711"/>
      <c r="E1017" s="711"/>
      <c r="F1017" s="711">
        <v>7</v>
      </c>
      <c r="G1017" s="711"/>
      <c r="H1017" s="711"/>
      <c r="I1017" s="711"/>
      <c r="J1017" s="711"/>
      <c r="K1017" s="711">
        <v>1</v>
      </c>
      <c r="L1017" s="711">
        <v>7</v>
      </c>
      <c r="M1017" s="711" t="s">
        <v>34</v>
      </c>
    </row>
    <row r="1018" spans="1:13">
      <c r="A1018" s="711" t="s">
        <v>2362</v>
      </c>
      <c r="B1018" s="711" t="s">
        <v>2393</v>
      </c>
      <c r="C1018" s="711"/>
      <c r="D1018" s="711"/>
      <c r="E1018" s="711"/>
      <c r="F1018" s="711">
        <v>1</v>
      </c>
      <c r="G1018" s="711">
        <v>4</v>
      </c>
      <c r="H1018" s="711"/>
      <c r="I1018" s="711"/>
      <c r="J1018" s="711"/>
      <c r="K1018" s="711">
        <v>2</v>
      </c>
      <c r="L1018" s="711">
        <v>1</v>
      </c>
      <c r="M1018" s="711" t="s">
        <v>42</v>
      </c>
    </row>
    <row r="1019" spans="1:13">
      <c r="A1019" s="711" t="s">
        <v>3099</v>
      </c>
      <c r="B1019" s="711"/>
      <c r="C1019" s="711"/>
      <c r="D1019" s="711"/>
      <c r="E1019" s="711"/>
      <c r="F1019" s="711">
        <v>3</v>
      </c>
      <c r="G1019" s="711"/>
      <c r="H1019" s="711"/>
      <c r="I1019" s="711"/>
      <c r="J1019" s="711"/>
      <c r="K1019" s="711">
        <v>1</v>
      </c>
      <c r="L1019" s="711">
        <v>3</v>
      </c>
      <c r="M1019" s="711" t="s">
        <v>48</v>
      </c>
    </row>
    <row r="1020" spans="1:13">
      <c r="A1020" s="711" t="s">
        <v>2362</v>
      </c>
      <c r="B1020" s="711" t="s">
        <v>2409</v>
      </c>
      <c r="C1020" s="711"/>
      <c r="D1020" s="711"/>
      <c r="E1020" s="711"/>
      <c r="F1020" s="711">
        <v>1</v>
      </c>
      <c r="G1020" s="711">
        <v>7</v>
      </c>
      <c r="H1020" s="711"/>
      <c r="I1020" s="711"/>
      <c r="J1020" s="711"/>
      <c r="K1020" s="711">
        <v>2</v>
      </c>
      <c r="L1020" s="711">
        <v>1</v>
      </c>
      <c r="M1020" s="711" t="s">
        <v>45</v>
      </c>
    </row>
    <row r="1021" spans="1:13">
      <c r="A1021" s="711" t="s">
        <v>2377</v>
      </c>
      <c r="B1021" s="711"/>
      <c r="C1021" s="711"/>
      <c r="D1021" s="711"/>
      <c r="E1021" s="711"/>
      <c r="F1021" s="711">
        <v>2</v>
      </c>
      <c r="G1021" s="711"/>
      <c r="H1021" s="711"/>
      <c r="I1021" s="711"/>
      <c r="J1021" s="711"/>
      <c r="K1021" s="711">
        <v>1</v>
      </c>
      <c r="L1021" s="711">
        <v>2</v>
      </c>
      <c r="M1021" s="711" t="s">
        <v>47</v>
      </c>
    </row>
    <row r="1022" spans="1:13">
      <c r="A1022" s="711" t="s">
        <v>2362</v>
      </c>
      <c r="B1022" s="711"/>
      <c r="C1022" s="711"/>
      <c r="D1022" s="711"/>
      <c r="E1022" s="711"/>
      <c r="F1022" s="711">
        <v>1</v>
      </c>
      <c r="G1022" s="711"/>
      <c r="H1022" s="711"/>
      <c r="I1022" s="711"/>
      <c r="J1022" s="711"/>
      <c r="K1022" s="711">
        <v>1</v>
      </c>
      <c r="L1022" s="711">
        <v>1</v>
      </c>
      <c r="M1022" s="711" t="s">
        <v>26</v>
      </c>
    </row>
    <row r="1023" spans="1:13">
      <c r="A1023" s="711" t="s">
        <v>3099</v>
      </c>
      <c r="B1023" s="711" t="s">
        <v>2362</v>
      </c>
      <c r="C1023" s="711" t="s">
        <v>2394</v>
      </c>
      <c r="D1023" s="711"/>
      <c r="E1023" s="711"/>
      <c r="F1023" s="711">
        <v>3</v>
      </c>
      <c r="G1023" s="711">
        <v>1</v>
      </c>
      <c r="H1023" s="711">
        <v>4</v>
      </c>
      <c r="I1023" s="711"/>
      <c r="J1023" s="711"/>
      <c r="K1023" s="711">
        <v>3</v>
      </c>
      <c r="L1023" s="711">
        <v>3</v>
      </c>
      <c r="M1023" s="711" t="s">
        <v>3341</v>
      </c>
    </row>
    <row r="1024" spans="1:13">
      <c r="A1024" s="711" t="s">
        <v>2362</v>
      </c>
      <c r="B1024" s="711" t="s">
        <v>3103</v>
      </c>
      <c r="C1024" s="711"/>
      <c r="D1024" s="711"/>
      <c r="E1024" s="711"/>
      <c r="F1024" s="711">
        <v>1</v>
      </c>
      <c r="G1024" s="711">
        <v>12</v>
      </c>
      <c r="H1024" s="711"/>
      <c r="I1024" s="711"/>
      <c r="J1024" s="711"/>
      <c r="K1024" s="711">
        <v>2</v>
      </c>
      <c r="L1024" s="711">
        <v>1</v>
      </c>
      <c r="M1024" s="711" t="s">
        <v>907</v>
      </c>
    </row>
    <row r="1025" spans="1:13">
      <c r="A1025" s="711" t="s">
        <v>2622</v>
      </c>
      <c r="B1025" s="711" t="s">
        <v>3099</v>
      </c>
      <c r="C1025" s="711"/>
      <c r="D1025" s="711"/>
      <c r="E1025" s="711"/>
      <c r="F1025" s="711">
        <v>31</v>
      </c>
      <c r="G1025" s="711">
        <v>3</v>
      </c>
      <c r="H1025" s="711"/>
      <c r="I1025" s="711"/>
      <c r="J1025" s="711"/>
      <c r="K1025" s="711">
        <v>2</v>
      </c>
      <c r="L1025" s="711">
        <v>31</v>
      </c>
      <c r="M1025" s="711" t="s">
        <v>3229</v>
      </c>
    </row>
    <row r="1026" spans="1:13">
      <c r="A1026" s="711" t="s">
        <v>2362</v>
      </c>
      <c r="B1026" s="711" t="s">
        <v>2393</v>
      </c>
      <c r="C1026" s="711"/>
      <c r="D1026" s="711"/>
      <c r="E1026" s="711"/>
      <c r="F1026" s="711">
        <v>1</v>
      </c>
      <c r="G1026" s="711">
        <v>4</v>
      </c>
      <c r="H1026" s="711"/>
      <c r="I1026" s="711"/>
      <c r="J1026" s="711"/>
      <c r="K1026" s="711">
        <v>2</v>
      </c>
      <c r="L1026" s="711">
        <v>1</v>
      </c>
      <c r="M1026" s="711" t="s">
        <v>42</v>
      </c>
    </row>
    <row r="1027" spans="1:13">
      <c r="A1027" s="711" t="s">
        <v>2393</v>
      </c>
      <c r="B1027" s="711"/>
      <c r="C1027" s="711"/>
      <c r="D1027" s="711"/>
      <c r="E1027" s="711"/>
      <c r="F1027" s="711">
        <v>4</v>
      </c>
      <c r="G1027" s="711"/>
      <c r="H1027" s="711"/>
      <c r="I1027" s="711"/>
      <c r="J1027" s="711"/>
      <c r="K1027" s="711">
        <v>1</v>
      </c>
      <c r="L1027" s="711">
        <v>4</v>
      </c>
      <c r="M1027" s="711" t="s">
        <v>39</v>
      </c>
    </row>
    <row r="1028" spans="1:13">
      <c r="A1028" s="711" t="s">
        <v>2420</v>
      </c>
      <c r="B1028" s="711" t="s">
        <v>2464</v>
      </c>
      <c r="C1028" s="711" t="s">
        <v>2673</v>
      </c>
      <c r="D1028" s="711" t="s">
        <v>2411</v>
      </c>
      <c r="E1028" s="711" t="s">
        <v>3116</v>
      </c>
      <c r="F1028" s="711">
        <v>9</v>
      </c>
      <c r="G1028" s="711">
        <v>25</v>
      </c>
      <c r="H1028" s="711">
        <v>31</v>
      </c>
      <c r="I1028" s="711">
        <v>8</v>
      </c>
      <c r="J1028" s="711">
        <v>31</v>
      </c>
      <c r="K1028" s="711">
        <v>5</v>
      </c>
      <c r="L1028" s="711">
        <v>9</v>
      </c>
      <c r="M1028" s="711" t="s">
        <v>3497</v>
      </c>
    </row>
    <row r="1029" spans="1:13">
      <c r="A1029" s="711" t="s">
        <v>2362</v>
      </c>
      <c r="B1029" s="711" t="s">
        <v>2393</v>
      </c>
      <c r="C1029" s="711" t="s">
        <v>3099</v>
      </c>
      <c r="D1029" s="711" t="s">
        <v>3101</v>
      </c>
      <c r="E1029" s="711" t="s">
        <v>2409</v>
      </c>
      <c r="F1029" s="711">
        <v>1</v>
      </c>
      <c r="G1029" s="711">
        <v>4</v>
      </c>
      <c r="H1029" s="711">
        <v>3</v>
      </c>
      <c r="I1029" s="711">
        <v>6</v>
      </c>
      <c r="J1029" s="711">
        <v>7</v>
      </c>
      <c r="K1029" s="711">
        <v>5</v>
      </c>
      <c r="L1029" s="711">
        <v>1</v>
      </c>
      <c r="M1029" s="711" t="s">
        <v>3498</v>
      </c>
    </row>
    <row r="1030" spans="1:13">
      <c r="A1030" s="711" t="s">
        <v>2862</v>
      </c>
      <c r="B1030" s="711" t="s">
        <v>2956</v>
      </c>
      <c r="C1030" s="711"/>
      <c r="D1030" s="711"/>
      <c r="E1030" s="711"/>
      <c r="F1030" s="711">
        <v>31</v>
      </c>
      <c r="G1030" s="711">
        <v>31</v>
      </c>
      <c r="H1030" s="711"/>
      <c r="I1030" s="711"/>
      <c r="J1030" s="711"/>
      <c r="K1030" s="711">
        <v>2</v>
      </c>
      <c r="L1030" s="711">
        <v>31</v>
      </c>
      <c r="M1030" s="711" t="s">
        <v>41</v>
      </c>
    </row>
    <row r="1031" spans="1:13">
      <c r="A1031" s="711" t="s">
        <v>9</v>
      </c>
      <c r="B1031" s="711"/>
      <c r="C1031" s="711"/>
      <c r="D1031" s="711"/>
      <c r="E1031" s="711"/>
      <c r="F1031" s="711">
        <v>31</v>
      </c>
      <c r="G1031" s="711"/>
      <c r="H1031" s="711"/>
      <c r="I1031" s="711"/>
      <c r="J1031" s="711"/>
      <c r="K1031" s="711">
        <v>1</v>
      </c>
      <c r="L1031" s="711">
        <v>31</v>
      </c>
      <c r="M1031" s="711" t="s">
        <v>41</v>
      </c>
    </row>
    <row r="1032" spans="1:13">
      <c r="A1032" s="711" t="s">
        <v>2393</v>
      </c>
      <c r="B1032" s="711"/>
      <c r="C1032" s="711"/>
      <c r="D1032" s="711"/>
      <c r="E1032" s="711"/>
      <c r="F1032" s="711">
        <v>4</v>
      </c>
      <c r="G1032" s="711"/>
      <c r="H1032" s="711"/>
      <c r="I1032" s="711"/>
      <c r="J1032" s="711"/>
      <c r="K1032" s="711">
        <v>1</v>
      </c>
      <c r="L1032" s="711">
        <v>4</v>
      </c>
      <c r="M1032" s="711" t="s">
        <v>39</v>
      </c>
    </row>
    <row r="1033" spans="1:13">
      <c r="A1033" s="711" t="s">
        <v>2409</v>
      </c>
      <c r="B1033" s="711"/>
      <c r="C1033" s="711"/>
      <c r="D1033" s="711"/>
      <c r="E1033" s="711"/>
      <c r="F1033" s="711">
        <v>7</v>
      </c>
      <c r="G1033" s="711"/>
      <c r="H1033" s="711"/>
      <c r="I1033" s="711"/>
      <c r="J1033" s="711"/>
      <c r="K1033" s="711">
        <v>1</v>
      </c>
      <c r="L1033" s="711">
        <v>7</v>
      </c>
      <c r="M1033" s="711" t="s">
        <v>34</v>
      </c>
    </row>
    <row r="1034" spans="1:13">
      <c r="A1034" s="711" t="s">
        <v>2354</v>
      </c>
      <c r="B1034" s="711" t="s">
        <v>10</v>
      </c>
      <c r="C1034" s="711" t="s">
        <v>16</v>
      </c>
      <c r="D1034" s="711" t="s">
        <v>3095</v>
      </c>
      <c r="E1034" s="711" t="s">
        <v>3117</v>
      </c>
      <c r="F1034" s="711">
        <v>31</v>
      </c>
      <c r="G1034" s="711">
        <v>31</v>
      </c>
      <c r="H1034" s="711">
        <v>31</v>
      </c>
      <c r="I1034" s="711">
        <v>31</v>
      </c>
      <c r="J1034" s="711">
        <v>31</v>
      </c>
      <c r="K1034" s="711">
        <v>5</v>
      </c>
      <c r="L1034" s="711">
        <v>31</v>
      </c>
      <c r="M1034" s="711" t="s">
        <v>41</v>
      </c>
    </row>
    <row r="1035" spans="1:13">
      <c r="A1035" s="711" t="s">
        <v>2362</v>
      </c>
      <c r="B1035" s="711" t="s">
        <v>2393</v>
      </c>
      <c r="C1035" s="711" t="s">
        <v>3099</v>
      </c>
      <c r="D1035" s="711" t="s">
        <v>2409</v>
      </c>
      <c r="E1035" s="711" t="s">
        <v>2377</v>
      </c>
      <c r="F1035" s="711">
        <v>1</v>
      </c>
      <c r="G1035" s="711">
        <v>4</v>
      </c>
      <c r="H1035" s="711">
        <v>3</v>
      </c>
      <c r="I1035" s="711">
        <v>7</v>
      </c>
      <c r="J1035" s="711">
        <v>2</v>
      </c>
      <c r="K1035" s="711">
        <v>5</v>
      </c>
      <c r="L1035" s="711">
        <v>1</v>
      </c>
      <c r="M1035" s="711" t="s">
        <v>3466</v>
      </c>
    </row>
    <row r="1036" spans="1:13">
      <c r="A1036" s="711" t="s">
        <v>2393</v>
      </c>
      <c r="B1036" s="711"/>
      <c r="C1036" s="711"/>
      <c r="D1036" s="711"/>
      <c r="E1036" s="711"/>
      <c r="F1036" s="711">
        <v>4</v>
      </c>
      <c r="G1036" s="711"/>
      <c r="H1036" s="711"/>
      <c r="I1036" s="711"/>
      <c r="J1036" s="711"/>
      <c r="K1036" s="711">
        <v>1</v>
      </c>
      <c r="L1036" s="711">
        <v>4</v>
      </c>
      <c r="M1036" s="711" t="s">
        <v>39</v>
      </c>
    </row>
    <row r="1037" spans="1:13">
      <c r="A1037" s="711" t="s">
        <v>2763</v>
      </c>
      <c r="B1037" s="711" t="s">
        <v>2420</v>
      </c>
      <c r="C1037" s="711" t="s">
        <v>3082</v>
      </c>
      <c r="D1037" s="711" t="s">
        <v>3096</v>
      </c>
      <c r="E1037" s="711"/>
      <c r="F1037" s="711">
        <v>31</v>
      </c>
      <c r="G1037" s="711">
        <v>9</v>
      </c>
      <c r="H1037" s="711">
        <v>31</v>
      </c>
      <c r="I1037" s="711">
        <v>31</v>
      </c>
      <c r="J1037" s="711"/>
      <c r="K1037" s="711">
        <v>4</v>
      </c>
      <c r="L1037" s="711">
        <v>31</v>
      </c>
      <c r="M1037" s="711" t="s">
        <v>3146</v>
      </c>
    </row>
    <row r="1038" spans="1:13">
      <c r="A1038" s="711" t="s">
        <v>3099</v>
      </c>
      <c r="B1038" s="711" t="s">
        <v>2362</v>
      </c>
      <c r="C1038" s="711" t="s">
        <v>2420</v>
      </c>
      <c r="D1038" s="711" t="s">
        <v>3100</v>
      </c>
      <c r="E1038" s="711" t="s">
        <v>2377</v>
      </c>
      <c r="F1038" s="711">
        <v>3</v>
      </c>
      <c r="G1038" s="711">
        <v>1</v>
      </c>
      <c r="H1038" s="711">
        <v>9</v>
      </c>
      <c r="I1038" s="711">
        <v>5</v>
      </c>
      <c r="J1038" s="711">
        <v>2</v>
      </c>
      <c r="K1038" s="711">
        <v>5</v>
      </c>
      <c r="L1038" s="711">
        <v>3</v>
      </c>
      <c r="M1038" s="711" t="s">
        <v>3499</v>
      </c>
    </row>
    <row r="1039" spans="1:13">
      <c r="A1039" s="711" t="s">
        <v>2362</v>
      </c>
      <c r="B1039" s="711"/>
      <c r="C1039" s="711"/>
      <c r="D1039" s="711"/>
      <c r="E1039" s="711"/>
      <c r="F1039" s="711">
        <v>1</v>
      </c>
      <c r="G1039" s="711"/>
      <c r="H1039" s="711"/>
      <c r="I1039" s="711"/>
      <c r="J1039" s="711"/>
      <c r="K1039" s="711">
        <v>1</v>
      </c>
      <c r="L1039" s="711">
        <v>1</v>
      </c>
      <c r="M1039" s="711" t="s">
        <v>26</v>
      </c>
    </row>
    <row r="1040" spans="1:13">
      <c r="A1040" s="711" t="s">
        <v>2409</v>
      </c>
      <c r="B1040" s="711"/>
      <c r="C1040" s="711"/>
      <c r="D1040" s="711"/>
      <c r="E1040" s="711"/>
      <c r="F1040" s="711">
        <v>7</v>
      </c>
      <c r="G1040" s="711"/>
      <c r="H1040" s="711"/>
      <c r="I1040" s="711"/>
      <c r="J1040" s="711"/>
      <c r="K1040" s="711">
        <v>1</v>
      </c>
      <c r="L1040" s="711">
        <v>7</v>
      </c>
      <c r="M1040" s="711" t="s">
        <v>34</v>
      </c>
    </row>
    <row r="1041" spans="1:13">
      <c r="A1041" s="711" t="s">
        <v>2411</v>
      </c>
      <c r="B1041" s="711"/>
      <c r="C1041" s="711"/>
      <c r="D1041" s="711"/>
      <c r="E1041" s="711"/>
      <c r="F1041" s="711">
        <v>8</v>
      </c>
      <c r="G1041" s="711"/>
      <c r="H1041" s="711"/>
      <c r="I1041" s="711"/>
      <c r="J1041" s="711"/>
      <c r="K1041" s="711">
        <v>1</v>
      </c>
      <c r="L1041" s="711">
        <v>8</v>
      </c>
      <c r="M1041" s="711" t="s">
        <v>51</v>
      </c>
    </row>
    <row r="1042" spans="1:13">
      <c r="A1042" s="711" t="s">
        <v>2362</v>
      </c>
      <c r="B1042" s="711" t="s">
        <v>2377</v>
      </c>
      <c r="C1042" s="711" t="s">
        <v>3099</v>
      </c>
      <c r="D1042" s="711"/>
      <c r="E1042" s="711"/>
      <c r="F1042" s="711">
        <v>1</v>
      </c>
      <c r="G1042" s="711">
        <v>2</v>
      </c>
      <c r="H1042" s="711">
        <v>3</v>
      </c>
      <c r="I1042" s="711"/>
      <c r="J1042" s="711"/>
      <c r="K1042" s="711">
        <v>3</v>
      </c>
      <c r="L1042" s="711">
        <v>1</v>
      </c>
      <c r="M1042" s="711" t="s">
        <v>900</v>
      </c>
    </row>
    <row r="1043" spans="1:13">
      <c r="A1043" s="711" t="s">
        <v>2409</v>
      </c>
      <c r="B1043" s="711"/>
      <c r="C1043" s="711"/>
      <c r="D1043" s="711"/>
      <c r="E1043" s="711"/>
      <c r="F1043" s="711">
        <v>7</v>
      </c>
      <c r="G1043" s="711"/>
      <c r="H1043" s="711"/>
      <c r="I1043" s="711"/>
      <c r="J1043" s="711"/>
      <c r="K1043" s="711">
        <v>1</v>
      </c>
      <c r="L1043" s="711">
        <v>7</v>
      </c>
      <c r="M1043" s="711" t="s">
        <v>34</v>
      </c>
    </row>
    <row r="1044" spans="1:13">
      <c r="A1044" s="711" t="s">
        <v>3099</v>
      </c>
      <c r="B1044" s="711" t="s">
        <v>3101</v>
      </c>
      <c r="C1044" s="711" t="s">
        <v>2377</v>
      </c>
      <c r="D1044" s="711"/>
      <c r="E1044" s="711"/>
      <c r="F1044" s="711">
        <v>3</v>
      </c>
      <c r="G1044" s="711">
        <v>6</v>
      </c>
      <c r="H1044" s="711">
        <v>2</v>
      </c>
      <c r="I1044" s="711"/>
      <c r="J1044" s="711"/>
      <c r="K1044" s="711">
        <v>3</v>
      </c>
      <c r="L1044" s="711">
        <v>3</v>
      </c>
      <c r="M1044" s="711" t="s">
        <v>3358</v>
      </c>
    </row>
    <row r="1045" spans="1:13">
      <c r="A1045" s="711" t="s">
        <v>2409</v>
      </c>
      <c r="B1045" s="711" t="s">
        <v>2393</v>
      </c>
      <c r="C1045" s="711"/>
      <c r="D1045" s="711"/>
      <c r="E1045" s="711"/>
      <c r="F1045" s="711">
        <v>7</v>
      </c>
      <c r="G1045" s="711">
        <v>4</v>
      </c>
      <c r="H1045" s="711"/>
      <c r="I1045" s="711"/>
      <c r="J1045" s="711"/>
      <c r="K1045" s="711">
        <v>2</v>
      </c>
      <c r="L1045" s="711">
        <v>7</v>
      </c>
      <c r="M1045" s="711" t="s">
        <v>3183</v>
      </c>
    </row>
    <row r="1046" spans="1:13">
      <c r="A1046" s="711" t="s">
        <v>3099</v>
      </c>
      <c r="B1046" s="711" t="s">
        <v>2411</v>
      </c>
      <c r="C1046" s="711"/>
      <c r="D1046" s="711"/>
      <c r="E1046" s="711"/>
      <c r="F1046" s="711">
        <v>3</v>
      </c>
      <c r="G1046" s="711">
        <v>8</v>
      </c>
      <c r="H1046" s="711"/>
      <c r="I1046" s="711"/>
      <c r="J1046" s="711"/>
      <c r="K1046" s="711">
        <v>2</v>
      </c>
      <c r="L1046" s="711">
        <v>3</v>
      </c>
      <c r="M1046" s="711" t="s">
        <v>971</v>
      </c>
    </row>
    <row r="1047" spans="1:13">
      <c r="A1047" s="711" t="s">
        <v>3099</v>
      </c>
      <c r="B1047" s="711"/>
      <c r="C1047" s="711" t="s">
        <v>3101</v>
      </c>
      <c r="D1047" s="711" t="s">
        <v>2362</v>
      </c>
      <c r="E1047" s="711" t="s">
        <v>2377</v>
      </c>
      <c r="F1047" s="711">
        <v>3</v>
      </c>
      <c r="G1047" s="711"/>
      <c r="H1047" s="711">
        <v>6</v>
      </c>
      <c r="I1047" s="711">
        <v>1</v>
      </c>
      <c r="J1047" s="711">
        <v>2</v>
      </c>
      <c r="K1047" s="711">
        <v>4</v>
      </c>
      <c r="L1047" s="711">
        <v>3</v>
      </c>
      <c r="M1047" s="711" t="s">
        <v>3500</v>
      </c>
    </row>
    <row r="1048" spans="1:13">
      <c r="A1048" s="711" t="s">
        <v>2362</v>
      </c>
      <c r="B1048" s="711" t="s">
        <v>2511</v>
      </c>
      <c r="C1048" s="711"/>
      <c r="D1048" s="711"/>
      <c r="E1048" s="711"/>
      <c r="F1048" s="711">
        <v>1</v>
      </c>
      <c r="G1048" s="711">
        <v>31</v>
      </c>
      <c r="H1048" s="711"/>
      <c r="I1048" s="711"/>
      <c r="J1048" s="711"/>
      <c r="K1048" s="711">
        <v>2</v>
      </c>
      <c r="L1048" s="711">
        <v>1</v>
      </c>
      <c r="M1048" s="711" t="s">
        <v>3151</v>
      </c>
    </row>
    <row r="1049" spans="1:13">
      <c r="A1049" s="711" t="s">
        <v>2393</v>
      </c>
      <c r="B1049" s="711"/>
      <c r="C1049" s="711"/>
      <c r="D1049" s="711"/>
      <c r="E1049" s="711"/>
      <c r="F1049" s="711">
        <v>4</v>
      </c>
      <c r="G1049" s="711"/>
      <c r="H1049" s="711"/>
      <c r="I1049" s="711"/>
      <c r="J1049" s="711"/>
      <c r="K1049" s="711">
        <v>1</v>
      </c>
      <c r="L1049" s="711">
        <v>4</v>
      </c>
      <c r="M1049" s="711" t="s">
        <v>39</v>
      </c>
    </row>
    <row r="1050" spans="1:13">
      <c r="A1050" s="711" t="s">
        <v>3099</v>
      </c>
      <c r="B1050" s="711" t="s">
        <v>2377</v>
      </c>
      <c r="C1050" s="711" t="s">
        <v>2362</v>
      </c>
      <c r="D1050" s="711" t="s">
        <v>2420</v>
      </c>
      <c r="E1050" s="711"/>
      <c r="F1050" s="711">
        <v>3</v>
      </c>
      <c r="G1050" s="711">
        <v>2</v>
      </c>
      <c r="H1050" s="711">
        <v>1</v>
      </c>
      <c r="I1050" s="711">
        <v>9</v>
      </c>
      <c r="J1050" s="711"/>
      <c r="K1050" s="711">
        <v>4</v>
      </c>
      <c r="L1050" s="711">
        <v>3</v>
      </c>
      <c r="M1050" s="711" t="s">
        <v>3359</v>
      </c>
    </row>
    <row r="1051" spans="1:13">
      <c r="A1051" s="711" t="s">
        <v>2377</v>
      </c>
      <c r="B1051" s="711" t="s">
        <v>3099</v>
      </c>
      <c r="C1051" s="711" t="s">
        <v>2409</v>
      </c>
      <c r="D1051" s="711" t="s">
        <v>2393</v>
      </c>
      <c r="E1051" s="711"/>
      <c r="F1051" s="711">
        <v>2</v>
      </c>
      <c r="G1051" s="711">
        <v>3</v>
      </c>
      <c r="H1051" s="711">
        <v>7</v>
      </c>
      <c r="I1051" s="711">
        <v>4</v>
      </c>
      <c r="J1051" s="711"/>
      <c r="K1051" s="711">
        <v>4</v>
      </c>
      <c r="L1051" s="711">
        <v>2</v>
      </c>
      <c r="M1051" s="711" t="s">
        <v>3360</v>
      </c>
    </row>
    <row r="1052" spans="1:13">
      <c r="A1052" s="711" t="s">
        <v>2362</v>
      </c>
      <c r="B1052" s="711"/>
      <c r="C1052" s="711"/>
      <c r="D1052" s="711"/>
      <c r="E1052" s="711"/>
      <c r="F1052" s="711">
        <v>1</v>
      </c>
      <c r="G1052" s="711"/>
      <c r="H1052" s="711"/>
      <c r="I1052" s="711"/>
      <c r="J1052" s="711"/>
      <c r="K1052" s="711">
        <v>1</v>
      </c>
      <c r="L1052" s="711">
        <v>1</v>
      </c>
      <c r="M1052" s="711" t="s">
        <v>26</v>
      </c>
    </row>
    <row r="1053" spans="1:13">
      <c r="A1053" s="711" t="s">
        <v>2362</v>
      </c>
      <c r="B1053" s="711" t="s">
        <v>2393</v>
      </c>
      <c r="C1053" s="711"/>
      <c r="D1053" s="711"/>
      <c r="E1053" s="711"/>
      <c r="F1053" s="711">
        <v>1</v>
      </c>
      <c r="G1053" s="711">
        <v>4</v>
      </c>
      <c r="H1053" s="711"/>
      <c r="I1053" s="711"/>
      <c r="J1053" s="711"/>
      <c r="K1053" s="711">
        <v>2</v>
      </c>
      <c r="L1053" s="711">
        <v>1</v>
      </c>
      <c r="M1053" s="711" t="s">
        <v>42</v>
      </c>
    </row>
    <row r="1054" spans="1:13">
      <c r="A1054" s="711" t="s">
        <v>2362</v>
      </c>
      <c r="B1054" s="711"/>
      <c r="C1054" s="711"/>
      <c r="D1054" s="711"/>
      <c r="E1054" s="711"/>
      <c r="F1054" s="711">
        <v>1</v>
      </c>
      <c r="G1054" s="711"/>
      <c r="H1054" s="711"/>
      <c r="I1054" s="711"/>
      <c r="J1054" s="711"/>
      <c r="K1054" s="711">
        <v>1</v>
      </c>
      <c r="L1054" s="711">
        <v>1</v>
      </c>
      <c r="M1054" s="711" t="s">
        <v>26</v>
      </c>
    </row>
    <row r="1055" spans="1:13">
      <c r="A1055" s="711" t="s">
        <v>2393</v>
      </c>
      <c r="B1055" s="711" t="s">
        <v>3099</v>
      </c>
      <c r="C1055" s="711" t="s">
        <v>2377</v>
      </c>
      <c r="D1055" s="711"/>
      <c r="E1055" s="711"/>
      <c r="F1055" s="711">
        <v>4</v>
      </c>
      <c r="G1055" s="711">
        <v>3</v>
      </c>
      <c r="H1055" s="711">
        <v>2</v>
      </c>
      <c r="I1055" s="711"/>
      <c r="J1055" s="711"/>
      <c r="K1055" s="711">
        <v>3</v>
      </c>
      <c r="L1055" s="711">
        <v>4</v>
      </c>
      <c r="M1055" s="711" t="s">
        <v>3263</v>
      </c>
    </row>
    <row r="1056" spans="1:13">
      <c r="A1056" s="711" t="s">
        <v>3017</v>
      </c>
      <c r="B1056" s="711" t="s">
        <v>2780</v>
      </c>
      <c r="C1056" s="711" t="s">
        <v>3083</v>
      </c>
      <c r="D1056" s="711"/>
      <c r="E1056" s="711"/>
      <c r="F1056" s="711">
        <v>31</v>
      </c>
      <c r="G1056" s="711">
        <v>31</v>
      </c>
      <c r="H1056" s="711">
        <v>31</v>
      </c>
      <c r="I1056" s="711"/>
      <c r="J1056" s="711"/>
      <c r="K1056" s="711">
        <v>3</v>
      </c>
      <c r="L1056" s="711">
        <v>31</v>
      </c>
      <c r="M1056" s="711" t="s">
        <v>41</v>
      </c>
    </row>
    <row r="1057" spans="1:13">
      <c r="A1057" s="711" t="s">
        <v>2362</v>
      </c>
      <c r="B1057" s="711" t="s">
        <v>2377</v>
      </c>
      <c r="C1057" s="711"/>
      <c r="D1057" s="711"/>
      <c r="E1057" s="711"/>
      <c r="F1057" s="711">
        <v>1</v>
      </c>
      <c r="G1057" s="711">
        <v>2</v>
      </c>
      <c r="H1057" s="711"/>
      <c r="I1057" s="711"/>
      <c r="J1057" s="711"/>
      <c r="K1057" s="711">
        <v>2</v>
      </c>
      <c r="L1057" s="711">
        <v>1</v>
      </c>
      <c r="M1057" s="711" t="s">
        <v>30</v>
      </c>
    </row>
    <row r="1058" spans="1:13">
      <c r="A1058" s="711" t="s">
        <v>2362</v>
      </c>
      <c r="B1058" s="711"/>
      <c r="C1058" s="711"/>
      <c r="D1058" s="711"/>
      <c r="E1058" s="711"/>
      <c r="F1058" s="711">
        <v>1</v>
      </c>
      <c r="G1058" s="711"/>
      <c r="H1058" s="711"/>
      <c r="I1058" s="711"/>
      <c r="J1058" s="711"/>
      <c r="K1058" s="711">
        <v>1</v>
      </c>
      <c r="L1058" s="711">
        <v>1</v>
      </c>
      <c r="M1058" s="711" t="s">
        <v>26</v>
      </c>
    </row>
    <row r="1059" spans="1:13">
      <c r="A1059" s="711" t="s">
        <v>12</v>
      </c>
      <c r="B1059" s="711" t="s">
        <v>2362</v>
      </c>
      <c r="C1059" s="711" t="s">
        <v>2377</v>
      </c>
      <c r="D1059" s="711"/>
      <c r="E1059" s="711"/>
      <c r="F1059" s="711">
        <v>31</v>
      </c>
      <c r="G1059" s="711">
        <v>1</v>
      </c>
      <c r="H1059" s="711">
        <v>2</v>
      </c>
      <c r="I1059" s="711"/>
      <c r="J1059" s="711"/>
      <c r="K1059" s="711">
        <v>3</v>
      </c>
      <c r="L1059" s="711">
        <v>31</v>
      </c>
      <c r="M1059" s="711" t="s">
        <v>3230</v>
      </c>
    </row>
    <row r="1060" spans="1:13">
      <c r="A1060" s="711" t="s">
        <v>3018</v>
      </c>
      <c r="B1060" s="711" t="s">
        <v>3053</v>
      </c>
      <c r="C1060" s="711" t="s">
        <v>3084</v>
      </c>
      <c r="D1060" s="711" t="s">
        <v>3097</v>
      </c>
      <c r="E1060" s="711" t="s">
        <v>3118</v>
      </c>
      <c r="F1060" s="711">
        <v>31</v>
      </c>
      <c r="G1060" s="711">
        <v>31</v>
      </c>
      <c r="H1060" s="711">
        <v>31</v>
      </c>
      <c r="I1060" s="711">
        <v>31</v>
      </c>
      <c r="J1060" s="711">
        <v>31</v>
      </c>
      <c r="K1060" s="711">
        <v>5</v>
      </c>
      <c r="L1060" s="711">
        <v>31</v>
      </c>
      <c r="M1060" s="711" t="s">
        <v>41</v>
      </c>
    </row>
    <row r="1061" spans="1:13">
      <c r="A1061" s="711" t="s">
        <v>2446</v>
      </c>
      <c r="B1061" s="711" t="s">
        <v>2448</v>
      </c>
      <c r="C1061" s="711"/>
      <c r="D1061" s="711"/>
      <c r="E1061" s="711"/>
      <c r="F1061" s="711">
        <v>16</v>
      </c>
      <c r="G1061" s="711">
        <v>17</v>
      </c>
      <c r="H1061" s="711"/>
      <c r="I1061" s="711"/>
      <c r="J1061" s="711"/>
      <c r="K1061" s="711">
        <v>2</v>
      </c>
      <c r="L1061" s="711">
        <v>16</v>
      </c>
      <c r="M1061" s="711" t="s">
        <v>3361</v>
      </c>
    </row>
    <row r="1062" spans="1:13">
      <c r="A1062" s="711" t="s">
        <v>3102</v>
      </c>
      <c r="B1062" s="711" t="s">
        <v>2450</v>
      </c>
      <c r="C1062" s="711"/>
      <c r="D1062" s="711"/>
      <c r="E1062" s="711"/>
      <c r="F1062" s="711">
        <v>10</v>
      </c>
      <c r="G1062" s="711">
        <v>19</v>
      </c>
      <c r="H1062" s="711"/>
      <c r="I1062" s="711"/>
      <c r="J1062" s="711"/>
      <c r="K1062" s="711">
        <v>2</v>
      </c>
      <c r="L1062" s="711">
        <v>10</v>
      </c>
      <c r="M1062" s="711" t="s">
        <v>3362</v>
      </c>
    </row>
    <row r="1063" spans="1:13">
      <c r="A1063" s="711" t="s">
        <v>2434</v>
      </c>
      <c r="B1063" s="711" t="s">
        <v>2362</v>
      </c>
      <c r="C1063" s="711"/>
      <c r="D1063" s="711"/>
      <c r="E1063" s="711"/>
      <c r="F1063" s="711">
        <v>11</v>
      </c>
      <c r="G1063" s="711">
        <v>1</v>
      </c>
      <c r="H1063" s="711"/>
      <c r="I1063" s="711"/>
      <c r="J1063" s="711"/>
      <c r="K1063" s="711">
        <v>2</v>
      </c>
      <c r="L1063" s="711">
        <v>11</v>
      </c>
      <c r="M1063" s="711" t="s">
        <v>3363</v>
      </c>
    </row>
    <row r="1064" spans="1:13">
      <c r="A1064" s="711" t="s">
        <v>1040</v>
      </c>
      <c r="B1064" s="711"/>
      <c r="C1064" s="711"/>
      <c r="D1064" s="711"/>
      <c r="E1064" s="711"/>
      <c r="F1064" s="711">
        <v>31</v>
      </c>
      <c r="G1064" s="711"/>
      <c r="H1064" s="711"/>
      <c r="I1064" s="711"/>
      <c r="J1064" s="711"/>
      <c r="K1064" s="711">
        <v>1</v>
      </c>
      <c r="L1064" s="711">
        <v>31</v>
      </c>
      <c r="M1064" s="711" t="s">
        <v>41</v>
      </c>
    </row>
    <row r="1065" spans="1:13">
      <c r="A1065" s="711" t="s">
        <v>3100</v>
      </c>
      <c r="B1065" s="711" t="s">
        <v>2449</v>
      </c>
      <c r="C1065" s="711"/>
      <c r="D1065" s="711"/>
      <c r="E1065" s="711"/>
      <c r="F1065" s="711">
        <v>5</v>
      </c>
      <c r="G1065" s="711">
        <v>18</v>
      </c>
      <c r="H1065" s="711"/>
      <c r="I1065" s="711"/>
      <c r="J1065" s="711"/>
      <c r="K1065" s="711">
        <v>2</v>
      </c>
      <c r="L1065" s="711">
        <v>5</v>
      </c>
      <c r="M1065" s="711" t="s">
        <v>3364</v>
      </c>
    </row>
    <row r="1066" spans="1:13">
      <c r="A1066" s="711" t="s">
        <v>2362</v>
      </c>
      <c r="B1066" s="711" t="s">
        <v>2393</v>
      </c>
      <c r="C1066" s="711"/>
      <c r="D1066" s="711"/>
      <c r="E1066" s="711"/>
      <c r="F1066" s="711">
        <v>1</v>
      </c>
      <c r="G1066" s="711">
        <v>4</v>
      </c>
      <c r="H1066" s="711"/>
      <c r="I1066" s="711"/>
      <c r="J1066" s="711"/>
      <c r="K1066" s="711">
        <v>2</v>
      </c>
      <c r="L1066" s="711">
        <v>1</v>
      </c>
      <c r="M1066" s="711" t="s">
        <v>42</v>
      </c>
    </row>
    <row r="1067" spans="1:13">
      <c r="A1067" s="711" t="s">
        <v>2362</v>
      </c>
      <c r="B1067" s="711" t="s">
        <v>2409</v>
      </c>
      <c r="C1067" s="711"/>
      <c r="D1067" s="711"/>
      <c r="E1067" s="711"/>
      <c r="F1067" s="711">
        <v>1</v>
      </c>
      <c r="G1067" s="711">
        <v>7</v>
      </c>
      <c r="H1067" s="711"/>
      <c r="I1067" s="711"/>
      <c r="J1067" s="711"/>
      <c r="K1067" s="711">
        <v>2</v>
      </c>
      <c r="L1067" s="711">
        <v>1</v>
      </c>
      <c r="M1067" s="711" t="s">
        <v>45</v>
      </c>
    </row>
    <row r="1068" spans="1:13">
      <c r="A1068" s="711" t="s">
        <v>2362</v>
      </c>
      <c r="B1068" s="711" t="s">
        <v>3099</v>
      </c>
      <c r="C1068" s="711" t="s">
        <v>2394</v>
      </c>
      <c r="D1068" s="711"/>
      <c r="E1068" s="711"/>
      <c r="F1068" s="711">
        <v>1</v>
      </c>
      <c r="G1068" s="711">
        <v>3</v>
      </c>
      <c r="H1068" s="711">
        <v>4</v>
      </c>
      <c r="I1068" s="711"/>
      <c r="J1068" s="711"/>
      <c r="K1068" s="711">
        <v>3</v>
      </c>
      <c r="L1068" s="711">
        <v>1</v>
      </c>
      <c r="M1068" s="711" t="s">
        <v>911</v>
      </c>
    </row>
    <row r="1069" spans="1:13">
      <c r="A1069" s="711" t="s">
        <v>2362</v>
      </c>
      <c r="B1069" s="711"/>
      <c r="C1069" s="711"/>
      <c r="D1069" s="711"/>
      <c r="E1069" s="711"/>
      <c r="F1069" s="711">
        <v>1</v>
      </c>
      <c r="G1069" s="711"/>
      <c r="H1069" s="711"/>
      <c r="I1069" s="711"/>
      <c r="J1069" s="711"/>
      <c r="K1069" s="711">
        <v>1</v>
      </c>
      <c r="L1069" s="711">
        <v>1</v>
      </c>
      <c r="M1069" s="711" t="s">
        <v>26</v>
      </c>
    </row>
    <row r="1070" spans="1:13">
      <c r="A1070" s="711" t="s">
        <v>3019</v>
      </c>
      <c r="B1070" s="711" t="s">
        <v>2804</v>
      </c>
      <c r="C1070" s="711"/>
      <c r="D1070" s="711"/>
      <c r="E1070" s="711"/>
      <c r="F1070" s="711">
        <v>31</v>
      </c>
      <c r="G1070" s="711">
        <v>31</v>
      </c>
      <c r="H1070" s="711"/>
      <c r="I1070" s="711"/>
      <c r="J1070" s="711"/>
      <c r="K1070" s="711">
        <v>2</v>
      </c>
      <c r="L1070" s="711">
        <v>31</v>
      </c>
      <c r="M1070" s="711" t="s">
        <v>41</v>
      </c>
    </row>
    <row r="1071" spans="1:13">
      <c r="A1071" s="711" t="s">
        <v>2409</v>
      </c>
      <c r="B1071" s="711"/>
      <c r="C1071" s="711"/>
      <c r="D1071" s="711"/>
      <c r="E1071" s="711"/>
      <c r="F1071" s="711">
        <v>7</v>
      </c>
      <c r="G1071" s="711"/>
      <c r="H1071" s="711"/>
      <c r="I1071" s="711"/>
      <c r="J1071" s="711"/>
      <c r="K1071" s="711">
        <v>1</v>
      </c>
      <c r="L1071" s="711">
        <v>7</v>
      </c>
      <c r="M1071" s="711" t="s">
        <v>34</v>
      </c>
    </row>
    <row r="1072" spans="1:13">
      <c r="A1072" s="711" t="s">
        <v>2409</v>
      </c>
      <c r="B1072" s="711"/>
      <c r="C1072" s="711"/>
      <c r="D1072" s="711"/>
      <c r="E1072" s="711"/>
      <c r="F1072" s="711">
        <v>7</v>
      </c>
      <c r="G1072" s="711"/>
      <c r="H1072" s="711"/>
      <c r="I1072" s="711"/>
      <c r="J1072" s="711"/>
      <c r="K1072" s="711">
        <v>1</v>
      </c>
      <c r="L1072" s="711">
        <v>7</v>
      </c>
      <c r="M1072" s="711" t="s">
        <v>34</v>
      </c>
    </row>
    <row r="1073" spans="1:13">
      <c r="A1073" s="711" t="s">
        <v>2377</v>
      </c>
      <c r="B1073" s="711"/>
      <c r="C1073" s="711"/>
      <c r="D1073" s="711"/>
      <c r="E1073" s="711"/>
      <c r="F1073" s="711">
        <v>2</v>
      </c>
      <c r="G1073" s="711"/>
      <c r="H1073" s="711"/>
      <c r="I1073" s="711"/>
      <c r="J1073" s="711"/>
      <c r="K1073" s="711">
        <v>1</v>
      </c>
      <c r="L1073" s="711">
        <v>2</v>
      </c>
      <c r="M1073" s="711" t="s">
        <v>47</v>
      </c>
    </row>
    <row r="1074" spans="1:13">
      <c r="A1074" s="711" t="s">
        <v>2409</v>
      </c>
      <c r="B1074" s="711" t="s">
        <v>3099</v>
      </c>
      <c r="C1074" s="711"/>
      <c r="D1074" s="711"/>
      <c r="E1074" s="711"/>
      <c r="F1074" s="711">
        <v>7</v>
      </c>
      <c r="G1074" s="711">
        <v>3</v>
      </c>
      <c r="H1074" s="711"/>
      <c r="I1074" s="711"/>
      <c r="J1074" s="711"/>
      <c r="K1074" s="711">
        <v>2</v>
      </c>
      <c r="L1074" s="711">
        <v>7</v>
      </c>
      <c r="M1074" s="711" t="s">
        <v>3225</v>
      </c>
    </row>
    <row r="1075" spans="1:13">
      <c r="A1075" s="711" t="s">
        <v>2434</v>
      </c>
      <c r="B1075" s="711" t="s">
        <v>2393</v>
      </c>
      <c r="C1075" s="711"/>
      <c r="D1075" s="711"/>
      <c r="E1075" s="711"/>
      <c r="F1075" s="711">
        <v>11</v>
      </c>
      <c r="G1075" s="711">
        <v>4</v>
      </c>
      <c r="H1075" s="711"/>
      <c r="I1075" s="711"/>
      <c r="J1075" s="711"/>
      <c r="K1075" s="711">
        <v>2</v>
      </c>
      <c r="L1075" s="711">
        <v>11</v>
      </c>
      <c r="M1075" s="711" t="s">
        <v>3181</v>
      </c>
    </row>
    <row r="1076" spans="1:13">
      <c r="A1076" s="711" t="s">
        <v>2434</v>
      </c>
      <c r="B1076" s="711" t="s">
        <v>2411</v>
      </c>
      <c r="C1076" s="711"/>
      <c r="D1076" s="711"/>
      <c r="E1076" s="711"/>
      <c r="F1076" s="711">
        <v>11</v>
      </c>
      <c r="G1076" s="711">
        <v>8</v>
      </c>
      <c r="H1076" s="711"/>
      <c r="I1076" s="711"/>
      <c r="J1076" s="711"/>
      <c r="K1076" s="711">
        <v>2</v>
      </c>
      <c r="L1076" s="711">
        <v>11</v>
      </c>
      <c r="M1076" s="711" t="s">
        <v>3365</v>
      </c>
    </row>
    <row r="1077" spans="1:13">
      <c r="A1077" s="711" t="s">
        <v>2411</v>
      </c>
      <c r="B1077" s="711" t="s">
        <v>2377</v>
      </c>
      <c r="C1077" s="711" t="s">
        <v>2725</v>
      </c>
      <c r="D1077" s="711"/>
      <c r="E1077" s="711"/>
      <c r="F1077" s="711">
        <v>8</v>
      </c>
      <c r="G1077" s="711">
        <v>2</v>
      </c>
      <c r="H1077" s="711">
        <v>31</v>
      </c>
      <c r="I1077" s="711"/>
      <c r="J1077" s="711"/>
      <c r="K1077" s="711">
        <v>3</v>
      </c>
      <c r="L1077" s="711">
        <v>8</v>
      </c>
      <c r="M1077" s="711" t="s">
        <v>3366</v>
      </c>
    </row>
    <row r="1078" spans="1:13">
      <c r="A1078" s="711" t="s">
        <v>3099</v>
      </c>
      <c r="B1078" s="711"/>
      <c r="C1078" s="711"/>
      <c r="D1078" s="711"/>
      <c r="E1078" s="711"/>
      <c r="F1078" s="711">
        <v>3</v>
      </c>
      <c r="G1078" s="711"/>
      <c r="H1078" s="711"/>
      <c r="I1078" s="711"/>
      <c r="J1078" s="711"/>
      <c r="K1078" s="711">
        <v>1</v>
      </c>
      <c r="L1078" s="711">
        <v>3</v>
      </c>
      <c r="M1078" s="711" t="s">
        <v>48</v>
      </c>
    </row>
    <row r="1079" spans="1:13">
      <c r="A1079" s="711" t="s">
        <v>2393</v>
      </c>
      <c r="B1079" s="711" t="s">
        <v>2409</v>
      </c>
      <c r="C1079" s="711"/>
      <c r="D1079" s="711"/>
      <c r="E1079" s="711"/>
      <c r="F1079" s="711">
        <v>4</v>
      </c>
      <c r="G1079" s="711">
        <v>7</v>
      </c>
      <c r="H1079" s="711"/>
      <c r="I1079" s="711"/>
      <c r="J1079" s="711"/>
      <c r="K1079" s="711">
        <v>2</v>
      </c>
      <c r="L1079" s="711">
        <v>4</v>
      </c>
      <c r="M1079" s="711" t="s">
        <v>3289</v>
      </c>
    </row>
    <row r="1080" spans="1:13">
      <c r="A1080" s="711" t="s">
        <v>2420</v>
      </c>
      <c r="B1080" s="711"/>
      <c r="C1080" s="711"/>
      <c r="D1080" s="711"/>
      <c r="E1080" s="711"/>
      <c r="F1080" s="711">
        <v>9</v>
      </c>
      <c r="G1080" s="711"/>
      <c r="H1080" s="711"/>
      <c r="I1080" s="711"/>
      <c r="J1080" s="711"/>
      <c r="K1080" s="711">
        <v>1</v>
      </c>
      <c r="L1080" s="711">
        <v>9</v>
      </c>
      <c r="M1080" s="711" t="s">
        <v>27</v>
      </c>
    </row>
    <row r="1081" spans="1:13">
      <c r="A1081" s="711" t="s">
        <v>2377</v>
      </c>
      <c r="B1081" s="711"/>
      <c r="C1081" s="711"/>
      <c r="D1081" s="711"/>
      <c r="E1081" s="711"/>
      <c r="F1081" s="711">
        <v>2</v>
      </c>
      <c r="G1081" s="711"/>
      <c r="H1081" s="711"/>
      <c r="I1081" s="711"/>
      <c r="J1081" s="711"/>
      <c r="K1081" s="711">
        <v>1</v>
      </c>
      <c r="L1081" s="711">
        <v>2</v>
      </c>
      <c r="M1081" s="711" t="s">
        <v>47</v>
      </c>
    </row>
    <row r="1082" spans="1:13">
      <c r="A1082" s="711" t="s">
        <v>2709</v>
      </c>
      <c r="B1082" s="711"/>
      <c r="C1082" s="711"/>
      <c r="D1082" s="711"/>
      <c r="E1082" s="711"/>
      <c r="F1082" s="711">
        <v>31</v>
      </c>
      <c r="G1082" s="711"/>
      <c r="H1082" s="711"/>
      <c r="I1082" s="711"/>
      <c r="J1082" s="711"/>
      <c r="K1082" s="711">
        <v>1</v>
      </c>
      <c r="L1082" s="711">
        <v>31</v>
      </c>
      <c r="M1082" s="711" t="s">
        <v>41</v>
      </c>
    </row>
    <row r="1083" spans="1:13">
      <c r="A1083" s="711" t="s">
        <v>2362</v>
      </c>
      <c r="B1083" s="711" t="s">
        <v>3099</v>
      </c>
      <c r="C1083" s="711" t="s">
        <v>2872</v>
      </c>
      <c r="D1083" s="711"/>
      <c r="E1083" s="711" t="s">
        <v>2409</v>
      </c>
      <c r="F1083" s="711">
        <v>1</v>
      </c>
      <c r="G1083" s="711">
        <v>3</v>
      </c>
      <c r="H1083" s="711">
        <v>31</v>
      </c>
      <c r="I1083" s="711"/>
      <c r="J1083" s="711">
        <v>7</v>
      </c>
      <c r="K1083" s="711">
        <v>4</v>
      </c>
      <c r="L1083" s="711">
        <v>1</v>
      </c>
      <c r="M1083" s="711" t="s">
        <v>3501</v>
      </c>
    </row>
    <row r="1084" spans="1:13">
      <c r="A1084" s="711" t="s">
        <v>2409</v>
      </c>
      <c r="B1084" s="711" t="s">
        <v>3124</v>
      </c>
      <c r="C1084" s="711" t="s">
        <v>2362</v>
      </c>
      <c r="D1084" s="711"/>
      <c r="E1084" s="711"/>
      <c r="F1084" s="711">
        <v>7</v>
      </c>
      <c r="G1084" s="711">
        <v>3</v>
      </c>
      <c r="H1084" s="711">
        <v>1</v>
      </c>
      <c r="I1084" s="711"/>
      <c r="J1084" s="711"/>
      <c r="K1084" s="711">
        <v>3</v>
      </c>
      <c r="L1084" s="711">
        <v>7</v>
      </c>
      <c r="M1084" s="711" t="s">
        <v>3353</v>
      </c>
    </row>
    <row r="1085" spans="1:13">
      <c r="A1085" s="711" t="s">
        <v>2376</v>
      </c>
      <c r="B1085" s="711" t="s">
        <v>3099</v>
      </c>
      <c r="C1085" s="711" t="s">
        <v>2409</v>
      </c>
      <c r="D1085" s="711" t="s">
        <v>3101</v>
      </c>
      <c r="E1085" s="711" t="s">
        <v>2483</v>
      </c>
      <c r="F1085" s="711">
        <v>1</v>
      </c>
      <c r="G1085" s="711">
        <v>3</v>
      </c>
      <c r="H1085" s="711">
        <v>7</v>
      </c>
      <c r="I1085" s="711">
        <v>6</v>
      </c>
      <c r="J1085" s="711">
        <v>31</v>
      </c>
      <c r="K1085" s="711">
        <v>5</v>
      </c>
      <c r="L1085" s="711">
        <v>1</v>
      </c>
      <c r="M1085" s="711" t="s">
        <v>3502</v>
      </c>
    </row>
    <row r="1086" spans="1:13">
      <c r="A1086" s="711" t="s">
        <v>2411</v>
      </c>
      <c r="B1086" s="711" t="s">
        <v>2443</v>
      </c>
      <c r="C1086" s="711"/>
      <c r="D1086" s="711"/>
      <c r="E1086" s="711"/>
      <c r="F1086" s="711">
        <v>8</v>
      </c>
      <c r="G1086" s="711">
        <v>15</v>
      </c>
      <c r="H1086" s="711"/>
      <c r="I1086" s="711"/>
      <c r="J1086" s="711"/>
      <c r="K1086" s="711">
        <v>2</v>
      </c>
      <c r="L1086" s="711">
        <v>8</v>
      </c>
      <c r="M1086" s="711" t="s">
        <v>3367</v>
      </c>
    </row>
    <row r="1087" spans="1:13">
      <c r="A1087" s="711" t="s">
        <v>2434</v>
      </c>
      <c r="B1087" s="711" t="s">
        <v>2438</v>
      </c>
      <c r="C1087" s="711"/>
      <c r="D1087" s="711"/>
      <c r="E1087" s="711"/>
      <c r="F1087" s="711">
        <v>11</v>
      </c>
      <c r="G1087" s="711">
        <v>13</v>
      </c>
      <c r="H1087" s="711"/>
      <c r="I1087" s="711"/>
      <c r="J1087" s="711"/>
      <c r="K1087" s="711">
        <v>2</v>
      </c>
      <c r="L1087" s="711">
        <v>11</v>
      </c>
      <c r="M1087" s="711" t="s">
        <v>3368</v>
      </c>
    </row>
    <row r="1088" spans="1:13">
      <c r="A1088" s="711" t="s">
        <v>2448</v>
      </c>
      <c r="B1088" s="711" t="s">
        <v>2440</v>
      </c>
      <c r="C1088" s="711"/>
      <c r="D1088" s="711"/>
      <c r="E1088" s="711"/>
      <c r="F1088" s="711">
        <v>17</v>
      </c>
      <c r="G1088" s="711">
        <v>14</v>
      </c>
      <c r="H1088" s="711"/>
      <c r="I1088" s="711"/>
      <c r="J1088" s="711"/>
      <c r="K1088" s="711">
        <v>2</v>
      </c>
      <c r="L1088" s="711">
        <v>17</v>
      </c>
      <c r="M1088" s="711" t="s">
        <v>3369</v>
      </c>
    </row>
    <row r="1089" spans="1:13">
      <c r="A1089" s="711" t="s">
        <v>3099</v>
      </c>
      <c r="B1089" s="711" t="s">
        <v>2362</v>
      </c>
      <c r="C1089" s="711" t="s">
        <v>2393</v>
      </c>
      <c r="D1089" s="711"/>
      <c r="E1089" s="711"/>
      <c r="F1089" s="711">
        <v>3</v>
      </c>
      <c r="G1089" s="711">
        <v>1</v>
      </c>
      <c r="H1089" s="711">
        <v>4</v>
      </c>
      <c r="I1089" s="711"/>
      <c r="J1089" s="711"/>
      <c r="K1089" s="711">
        <v>3</v>
      </c>
      <c r="L1089" s="711">
        <v>3</v>
      </c>
      <c r="M1089" s="711" t="s">
        <v>3341</v>
      </c>
    </row>
    <row r="1090" spans="1:13">
      <c r="A1090" s="711" t="s">
        <v>2393</v>
      </c>
      <c r="B1090" s="711" t="s">
        <v>3099</v>
      </c>
      <c r="C1090" s="711" t="s">
        <v>2464</v>
      </c>
      <c r="D1090" s="711"/>
      <c r="E1090" s="711"/>
      <c r="F1090" s="711">
        <v>4</v>
      </c>
      <c r="G1090" s="711">
        <v>3</v>
      </c>
      <c r="H1090" s="711">
        <v>25</v>
      </c>
      <c r="I1090" s="711"/>
      <c r="J1090" s="711"/>
      <c r="K1090" s="711">
        <v>3</v>
      </c>
      <c r="L1090" s="711">
        <v>4</v>
      </c>
      <c r="M1090" s="711" t="s">
        <v>3370</v>
      </c>
    </row>
    <row r="1091" spans="1:13">
      <c r="A1091" s="711" t="s">
        <v>2433</v>
      </c>
      <c r="B1091" s="711"/>
      <c r="C1091" s="711"/>
      <c r="D1091" s="711"/>
      <c r="E1091" s="711"/>
      <c r="F1091" s="711">
        <v>10</v>
      </c>
      <c r="G1091" s="711"/>
      <c r="H1091" s="711"/>
      <c r="I1091" s="711"/>
      <c r="J1091" s="711"/>
      <c r="K1091" s="711">
        <v>1</v>
      </c>
      <c r="L1091" s="711">
        <v>10</v>
      </c>
      <c r="M1091" s="711" t="s">
        <v>25</v>
      </c>
    </row>
    <row r="1092" spans="1:13">
      <c r="A1092" s="711" t="s">
        <v>2362</v>
      </c>
      <c r="B1092" s="711" t="s">
        <v>2356</v>
      </c>
      <c r="C1092" s="711"/>
      <c r="D1092" s="711"/>
      <c r="E1092" s="711"/>
      <c r="F1092" s="711">
        <v>1</v>
      </c>
      <c r="G1092" s="711">
        <v>31</v>
      </c>
      <c r="H1092" s="711"/>
      <c r="I1092" s="711"/>
      <c r="J1092" s="711"/>
      <c r="K1092" s="711">
        <v>2</v>
      </c>
      <c r="L1092" s="711">
        <v>1</v>
      </c>
      <c r="M1092" s="711" t="s">
        <v>3151</v>
      </c>
    </row>
    <row r="1093" spans="1:13">
      <c r="A1093" s="711" t="s">
        <v>2362</v>
      </c>
      <c r="B1093" s="711"/>
      <c r="C1093" s="711"/>
      <c r="D1093" s="711"/>
      <c r="E1093" s="711"/>
      <c r="F1093" s="711">
        <v>1</v>
      </c>
      <c r="G1093" s="711"/>
      <c r="H1093" s="711"/>
      <c r="I1093" s="711"/>
      <c r="J1093" s="711"/>
      <c r="K1093" s="711">
        <v>1</v>
      </c>
      <c r="L1093" s="711">
        <v>1</v>
      </c>
      <c r="M1093" s="711" t="s">
        <v>26</v>
      </c>
    </row>
    <row r="1094" spans="1:13">
      <c r="A1094" s="711" t="s">
        <v>2377</v>
      </c>
      <c r="B1094" s="711" t="s">
        <v>3099</v>
      </c>
      <c r="C1094" s="711" t="s">
        <v>2362</v>
      </c>
      <c r="D1094" s="711" t="s">
        <v>2409</v>
      </c>
      <c r="E1094" s="711"/>
      <c r="F1094" s="711">
        <v>2</v>
      </c>
      <c r="G1094" s="711">
        <v>3</v>
      </c>
      <c r="H1094" s="711">
        <v>1</v>
      </c>
      <c r="I1094" s="711">
        <v>7</v>
      </c>
      <c r="J1094" s="711"/>
      <c r="K1094" s="711">
        <v>4</v>
      </c>
      <c r="L1094" s="711">
        <v>2</v>
      </c>
      <c r="M1094" s="711" t="s">
        <v>3371</v>
      </c>
    </row>
    <row r="1095" spans="1:13">
      <c r="A1095" s="711" t="s">
        <v>2411</v>
      </c>
      <c r="B1095" s="711" t="s">
        <v>2362</v>
      </c>
      <c r="C1095" s="711" t="s">
        <v>2409</v>
      </c>
      <c r="D1095" s="711"/>
      <c r="E1095" s="711"/>
      <c r="F1095" s="711">
        <v>8</v>
      </c>
      <c r="G1095" s="711">
        <v>1</v>
      </c>
      <c r="H1095" s="711">
        <v>7</v>
      </c>
      <c r="I1095" s="711"/>
      <c r="J1095" s="711"/>
      <c r="K1095" s="711">
        <v>3</v>
      </c>
      <c r="L1095" s="711">
        <v>8</v>
      </c>
      <c r="M1095" s="711" t="s">
        <v>3372</v>
      </c>
    </row>
    <row r="1096" spans="1:13">
      <c r="A1096" s="711" t="s">
        <v>2393</v>
      </c>
      <c r="B1096" s="711" t="s">
        <v>2440</v>
      </c>
      <c r="C1096" s="711"/>
      <c r="D1096" s="711"/>
      <c r="E1096" s="711"/>
      <c r="F1096" s="711">
        <v>4</v>
      </c>
      <c r="G1096" s="711">
        <v>14</v>
      </c>
      <c r="H1096" s="711"/>
      <c r="I1096" s="711"/>
      <c r="J1096" s="711"/>
      <c r="K1096" s="711">
        <v>2</v>
      </c>
      <c r="L1096" s="711">
        <v>4</v>
      </c>
      <c r="M1096" s="711" t="s">
        <v>3373</v>
      </c>
    </row>
    <row r="1097" spans="1:13">
      <c r="A1097" s="711" t="s">
        <v>2362</v>
      </c>
      <c r="B1097" s="711" t="s">
        <v>2409</v>
      </c>
      <c r="C1097" s="711"/>
      <c r="D1097" s="711"/>
      <c r="E1097" s="711"/>
      <c r="F1097" s="711">
        <v>1</v>
      </c>
      <c r="G1097" s="711">
        <v>7</v>
      </c>
      <c r="H1097" s="711"/>
      <c r="I1097" s="711"/>
      <c r="J1097" s="711"/>
      <c r="K1097" s="711">
        <v>2</v>
      </c>
      <c r="L1097" s="711">
        <v>1</v>
      </c>
      <c r="M1097" s="711" t="s">
        <v>45</v>
      </c>
    </row>
    <row r="1098" spans="1:13">
      <c r="A1098" s="711" t="s">
        <v>2362</v>
      </c>
      <c r="B1098" s="711" t="s">
        <v>3100</v>
      </c>
      <c r="C1098" s="711" t="s">
        <v>2420</v>
      </c>
      <c r="D1098" s="711" t="s">
        <v>3099</v>
      </c>
      <c r="E1098" s="711" t="s">
        <v>2377</v>
      </c>
      <c r="F1098" s="711">
        <v>1</v>
      </c>
      <c r="G1098" s="711">
        <v>5</v>
      </c>
      <c r="H1098" s="711">
        <v>9</v>
      </c>
      <c r="I1098" s="711">
        <v>3</v>
      </c>
      <c r="J1098" s="711">
        <v>2</v>
      </c>
      <c r="K1098" s="711">
        <v>5</v>
      </c>
      <c r="L1098" s="711">
        <v>1</v>
      </c>
      <c r="M1098" s="711" t="s">
        <v>3494</v>
      </c>
    </row>
    <row r="1099" spans="1:13">
      <c r="A1099" s="711" t="s">
        <v>2409</v>
      </c>
      <c r="B1099" s="711"/>
      <c r="C1099" s="711"/>
      <c r="D1099" s="711"/>
      <c r="E1099" s="711"/>
      <c r="F1099" s="711">
        <v>7</v>
      </c>
      <c r="G1099" s="711"/>
      <c r="H1099" s="711"/>
      <c r="I1099" s="711"/>
      <c r="J1099" s="711"/>
      <c r="K1099" s="711">
        <v>1</v>
      </c>
      <c r="L1099" s="711">
        <v>7</v>
      </c>
      <c r="M1099" s="711" t="s">
        <v>34</v>
      </c>
    </row>
    <row r="1100" spans="1:13">
      <c r="A1100" s="711" t="s">
        <v>3101</v>
      </c>
      <c r="B1100" s="711" t="s">
        <v>2409</v>
      </c>
      <c r="C1100" s="711"/>
      <c r="D1100" s="711"/>
      <c r="E1100" s="711"/>
      <c r="F1100" s="711">
        <v>6</v>
      </c>
      <c r="G1100" s="711">
        <v>7</v>
      </c>
      <c r="H1100" s="711"/>
      <c r="I1100" s="711"/>
      <c r="J1100" s="711"/>
      <c r="K1100" s="711">
        <v>2</v>
      </c>
      <c r="L1100" s="711">
        <v>6</v>
      </c>
      <c r="M1100" s="711" t="s">
        <v>3374</v>
      </c>
    </row>
    <row r="1101" spans="1:13">
      <c r="A1101" s="711" t="s">
        <v>3099</v>
      </c>
      <c r="B1101" s="711" t="s">
        <v>2362</v>
      </c>
      <c r="C1101" s="711"/>
      <c r="D1101" s="711"/>
      <c r="E1101" s="711"/>
      <c r="F1101" s="711">
        <v>3</v>
      </c>
      <c r="G1101" s="711">
        <v>1</v>
      </c>
      <c r="H1101" s="711"/>
      <c r="I1101" s="711"/>
      <c r="J1101" s="711"/>
      <c r="K1101" s="711">
        <v>2</v>
      </c>
      <c r="L1101" s="711">
        <v>3</v>
      </c>
      <c r="M1101" s="711" t="s">
        <v>3197</v>
      </c>
    </row>
    <row r="1102" spans="1:13">
      <c r="A1102" s="711" t="s">
        <v>2377</v>
      </c>
      <c r="B1102" s="711"/>
      <c r="C1102" s="711"/>
      <c r="D1102" s="711"/>
      <c r="E1102" s="711"/>
      <c r="F1102" s="711">
        <v>2</v>
      </c>
      <c r="G1102" s="711"/>
      <c r="H1102" s="711"/>
      <c r="I1102" s="711"/>
      <c r="J1102" s="711"/>
      <c r="K1102" s="711">
        <v>1</v>
      </c>
      <c r="L1102" s="711">
        <v>2</v>
      </c>
      <c r="M1102" s="711" t="s">
        <v>47</v>
      </c>
    </row>
    <row r="1103" spans="1:13">
      <c r="A1103" s="711" t="s">
        <v>3099</v>
      </c>
      <c r="B1103" s="711" t="s">
        <v>2362</v>
      </c>
      <c r="C1103" s="711" t="s">
        <v>2393</v>
      </c>
      <c r="D1103" s="711" t="s">
        <v>2378</v>
      </c>
      <c r="E1103" s="711"/>
      <c r="F1103" s="711">
        <v>3</v>
      </c>
      <c r="G1103" s="711">
        <v>1</v>
      </c>
      <c r="H1103" s="711">
        <v>4</v>
      </c>
      <c r="I1103" s="711">
        <v>2</v>
      </c>
      <c r="J1103" s="711"/>
      <c r="K1103" s="711">
        <v>4</v>
      </c>
      <c r="L1103" s="711">
        <v>3</v>
      </c>
      <c r="M1103" s="711" t="s">
        <v>3375</v>
      </c>
    </row>
    <row r="1104" spans="1:13">
      <c r="A1104" s="711" t="s">
        <v>2409</v>
      </c>
      <c r="B1104" s="711" t="s">
        <v>2434</v>
      </c>
      <c r="C1104" s="711" t="s">
        <v>2393</v>
      </c>
      <c r="D1104" s="711"/>
      <c r="E1104" s="711"/>
      <c r="F1104" s="711">
        <v>7</v>
      </c>
      <c r="G1104" s="711">
        <v>11</v>
      </c>
      <c r="H1104" s="711">
        <v>4</v>
      </c>
      <c r="I1104" s="711"/>
      <c r="J1104" s="711"/>
      <c r="K1104" s="711">
        <v>3</v>
      </c>
      <c r="L1104" s="711">
        <v>7</v>
      </c>
      <c r="M1104" s="711" t="s">
        <v>3376</v>
      </c>
    </row>
    <row r="1105" spans="1:13">
      <c r="A1105" s="711" t="s">
        <v>2962</v>
      </c>
      <c r="B1105" s="711"/>
      <c r="C1105" s="711"/>
      <c r="D1105" s="711"/>
      <c r="E1105" s="711"/>
      <c r="F1105" s="711">
        <v>31</v>
      </c>
      <c r="G1105" s="711"/>
      <c r="H1105" s="711"/>
      <c r="I1105" s="711"/>
      <c r="J1105" s="711"/>
      <c r="K1105" s="711">
        <v>1</v>
      </c>
      <c r="L1105" s="711">
        <v>31</v>
      </c>
      <c r="M1105" s="711" t="s">
        <v>41</v>
      </c>
    </row>
    <row r="1106" spans="1:13">
      <c r="A1106" s="711" t="s">
        <v>2409</v>
      </c>
      <c r="B1106" s="711"/>
      <c r="C1106" s="711"/>
      <c r="D1106" s="711"/>
      <c r="E1106" s="711"/>
      <c r="F1106" s="711">
        <v>7</v>
      </c>
      <c r="G1106" s="711"/>
      <c r="H1106" s="711"/>
      <c r="I1106" s="711"/>
      <c r="J1106" s="711"/>
      <c r="K1106" s="711">
        <v>1</v>
      </c>
      <c r="L1106" s="711">
        <v>7</v>
      </c>
      <c r="M1106" s="711" t="s">
        <v>34</v>
      </c>
    </row>
    <row r="1107" spans="1:13">
      <c r="A1107" s="711" t="s">
        <v>3099</v>
      </c>
      <c r="B1107" s="711"/>
      <c r="C1107" s="711"/>
      <c r="D1107" s="711"/>
      <c r="E1107" s="711"/>
      <c r="F1107" s="711">
        <v>3</v>
      </c>
      <c r="G1107" s="711"/>
      <c r="H1107" s="711"/>
      <c r="I1107" s="711"/>
      <c r="J1107" s="711"/>
      <c r="K1107" s="711">
        <v>1</v>
      </c>
      <c r="L1107" s="711">
        <v>3</v>
      </c>
      <c r="M1107" s="711" t="s">
        <v>48</v>
      </c>
    </row>
    <row r="1108" spans="1:13">
      <c r="A1108" s="711" t="s">
        <v>2409</v>
      </c>
      <c r="B1108" s="711" t="s">
        <v>3099</v>
      </c>
      <c r="C1108" s="711"/>
      <c r="D1108" s="711"/>
      <c r="E1108" s="711"/>
      <c r="F1108" s="711">
        <v>7</v>
      </c>
      <c r="G1108" s="711">
        <v>3</v>
      </c>
      <c r="H1108" s="711"/>
      <c r="I1108" s="711"/>
      <c r="J1108" s="711"/>
      <c r="K1108" s="711">
        <v>2</v>
      </c>
      <c r="L1108" s="711">
        <v>7</v>
      </c>
      <c r="M1108" s="711" t="s">
        <v>3225</v>
      </c>
    </row>
    <row r="1109" spans="1:13">
      <c r="A1109" s="711" t="s">
        <v>2409</v>
      </c>
      <c r="B1109" s="711" t="s">
        <v>2362</v>
      </c>
      <c r="C1109" s="711"/>
      <c r="D1109" s="711"/>
      <c r="E1109" s="711"/>
      <c r="F1109" s="711">
        <v>7</v>
      </c>
      <c r="G1109" s="711">
        <v>1</v>
      </c>
      <c r="H1109" s="711"/>
      <c r="I1109" s="711"/>
      <c r="J1109" s="711"/>
      <c r="K1109" s="711">
        <v>2</v>
      </c>
      <c r="L1109" s="711">
        <v>7</v>
      </c>
      <c r="M1109" s="711" t="s">
        <v>3377</v>
      </c>
    </row>
    <row r="1110" spans="1:13">
      <c r="A1110" s="711" t="s">
        <v>2362</v>
      </c>
      <c r="B1110" s="711"/>
      <c r="C1110" s="711"/>
      <c r="D1110" s="711"/>
      <c r="E1110" s="711"/>
      <c r="F1110" s="711">
        <v>1</v>
      </c>
      <c r="G1110" s="711"/>
      <c r="H1110" s="711"/>
      <c r="I1110" s="711"/>
      <c r="J1110" s="711"/>
      <c r="K1110" s="711">
        <v>1</v>
      </c>
      <c r="L1110" s="711">
        <v>1</v>
      </c>
      <c r="M1110" s="711" t="s">
        <v>26</v>
      </c>
    </row>
    <row r="1111" spans="1:13">
      <c r="A1111" s="711" t="s">
        <v>2434</v>
      </c>
      <c r="B1111" s="711" t="s">
        <v>2411</v>
      </c>
      <c r="C1111" s="711"/>
      <c r="D1111" s="711"/>
      <c r="E1111" s="711"/>
      <c r="F1111" s="711">
        <v>11</v>
      </c>
      <c r="G1111" s="711">
        <v>8</v>
      </c>
      <c r="H1111" s="711"/>
      <c r="I1111" s="711"/>
      <c r="J1111" s="711"/>
      <c r="K1111" s="711">
        <v>2</v>
      </c>
      <c r="L1111" s="711">
        <v>11</v>
      </c>
      <c r="M1111" s="711" t="s">
        <v>3365</v>
      </c>
    </row>
    <row r="1112" spans="1:13">
      <c r="A1112" s="711" t="s">
        <v>2362</v>
      </c>
      <c r="B1112" s="711" t="s">
        <v>3099</v>
      </c>
      <c r="C1112" s="711"/>
      <c r="D1112" s="711"/>
      <c r="E1112" s="711"/>
      <c r="F1112" s="711">
        <v>1</v>
      </c>
      <c r="G1112" s="711">
        <v>3</v>
      </c>
      <c r="H1112" s="711"/>
      <c r="I1112" s="711"/>
      <c r="J1112" s="711"/>
      <c r="K1112" s="711">
        <v>2</v>
      </c>
      <c r="L1112" s="711">
        <v>1</v>
      </c>
      <c r="M1112" s="711" t="s">
        <v>43</v>
      </c>
    </row>
    <row r="1113" spans="1:13">
      <c r="A1113" s="711" t="s">
        <v>3099</v>
      </c>
      <c r="B1113" s="711" t="s">
        <v>2393</v>
      </c>
      <c r="C1113" s="711"/>
      <c r="D1113" s="711"/>
      <c r="E1113" s="711"/>
      <c r="F1113" s="711">
        <v>3</v>
      </c>
      <c r="G1113" s="711">
        <v>4</v>
      </c>
      <c r="H1113" s="711"/>
      <c r="I1113" s="711"/>
      <c r="J1113" s="711"/>
      <c r="K1113" s="711">
        <v>2</v>
      </c>
      <c r="L1113" s="711">
        <v>3</v>
      </c>
      <c r="M1113" s="711" t="s">
        <v>983</v>
      </c>
    </row>
    <row r="1114" spans="1:13">
      <c r="A1114" s="711" t="s">
        <v>2409</v>
      </c>
      <c r="B1114" s="711" t="s">
        <v>2434</v>
      </c>
      <c r="C1114" s="711"/>
      <c r="D1114" s="711"/>
      <c r="E1114" s="711"/>
      <c r="F1114" s="711">
        <v>7</v>
      </c>
      <c r="G1114" s="711">
        <v>11</v>
      </c>
      <c r="H1114" s="711"/>
      <c r="I1114" s="711"/>
      <c r="J1114" s="711"/>
      <c r="K1114" s="711">
        <v>2</v>
      </c>
      <c r="L1114" s="711">
        <v>7</v>
      </c>
      <c r="M1114" s="711" t="s">
        <v>3344</v>
      </c>
    </row>
    <row r="1115" spans="1:13">
      <c r="A1115" s="711" t="s">
        <v>2393</v>
      </c>
      <c r="B1115" s="711" t="s">
        <v>2506</v>
      </c>
      <c r="C1115" s="711"/>
      <c r="D1115" s="711"/>
      <c r="E1115" s="711"/>
      <c r="F1115" s="711">
        <v>4</v>
      </c>
      <c r="G1115" s="711">
        <v>31</v>
      </c>
      <c r="H1115" s="711"/>
      <c r="I1115" s="711"/>
      <c r="J1115" s="711"/>
      <c r="K1115" s="711">
        <v>2</v>
      </c>
      <c r="L1115" s="711">
        <v>4</v>
      </c>
      <c r="M1115" s="711" t="s">
        <v>3170</v>
      </c>
    </row>
    <row r="1116" spans="1:13">
      <c r="A1116" s="711" t="s">
        <v>2362</v>
      </c>
      <c r="B1116" s="711"/>
      <c r="C1116" s="711"/>
      <c r="D1116" s="711"/>
      <c r="E1116" s="711"/>
      <c r="F1116" s="711">
        <v>1</v>
      </c>
      <c r="G1116" s="711"/>
      <c r="H1116" s="711"/>
      <c r="I1116" s="711"/>
      <c r="J1116" s="711"/>
      <c r="K1116" s="711">
        <v>1</v>
      </c>
      <c r="L1116" s="711">
        <v>1</v>
      </c>
      <c r="M1116" s="711" t="s">
        <v>26</v>
      </c>
    </row>
    <row r="1117" spans="1:13">
      <c r="A1117" s="711" t="s">
        <v>2434</v>
      </c>
      <c r="B1117" s="711" t="s">
        <v>2448</v>
      </c>
      <c r="C1117" s="711"/>
      <c r="D1117" s="711"/>
      <c r="E1117" s="711"/>
      <c r="F1117" s="711">
        <v>11</v>
      </c>
      <c r="G1117" s="711">
        <v>17</v>
      </c>
      <c r="H1117" s="711"/>
      <c r="I1117" s="711"/>
      <c r="J1117" s="711"/>
      <c r="K1117" s="711">
        <v>2</v>
      </c>
      <c r="L1117" s="711">
        <v>11</v>
      </c>
      <c r="M1117" s="711" t="s">
        <v>3378</v>
      </c>
    </row>
    <row r="1118" spans="1:13">
      <c r="A1118" s="711" t="s">
        <v>2450</v>
      </c>
      <c r="B1118" s="711" t="s">
        <v>2362</v>
      </c>
      <c r="C1118" s="711"/>
      <c r="D1118" s="711"/>
      <c r="E1118" s="711"/>
      <c r="F1118" s="711">
        <v>19</v>
      </c>
      <c r="G1118" s="711">
        <v>1</v>
      </c>
      <c r="H1118" s="711"/>
      <c r="I1118" s="711"/>
      <c r="J1118" s="711"/>
      <c r="K1118" s="711">
        <v>2</v>
      </c>
      <c r="L1118" s="711">
        <v>19</v>
      </c>
      <c r="M1118" s="711" t="s">
        <v>3379</v>
      </c>
    </row>
    <row r="1119" spans="1:13">
      <c r="A1119" s="711" t="s">
        <v>3121</v>
      </c>
      <c r="B1119" s="711" t="s">
        <v>3126</v>
      </c>
      <c r="C1119" s="711" t="s">
        <v>3123</v>
      </c>
      <c r="D1119" s="711" t="s">
        <v>3131</v>
      </c>
      <c r="E1119" s="711" t="s">
        <v>3130</v>
      </c>
      <c r="F1119" s="711">
        <v>1</v>
      </c>
      <c r="G1119" s="711">
        <v>4</v>
      </c>
      <c r="H1119" s="711">
        <v>3</v>
      </c>
      <c r="I1119" s="711">
        <v>9</v>
      </c>
      <c r="J1119" s="711">
        <v>5</v>
      </c>
      <c r="K1119" s="711">
        <v>5</v>
      </c>
      <c r="L1119" s="711">
        <v>1</v>
      </c>
      <c r="M1119" s="711" t="s">
        <v>3503</v>
      </c>
    </row>
    <row r="1120" spans="1:13">
      <c r="A1120" s="711" t="s">
        <v>3020</v>
      </c>
      <c r="B1120" s="711"/>
      <c r="C1120" s="711"/>
      <c r="D1120" s="711"/>
      <c r="E1120" s="711"/>
      <c r="F1120" s="711">
        <v>31</v>
      </c>
      <c r="G1120" s="711"/>
      <c r="H1120" s="711"/>
      <c r="I1120" s="711"/>
      <c r="J1120" s="711"/>
      <c r="K1120" s="711">
        <v>1</v>
      </c>
      <c r="L1120" s="711">
        <v>31</v>
      </c>
      <c r="M1120" s="711" t="s">
        <v>41</v>
      </c>
    </row>
    <row r="1121" spans="1:13">
      <c r="A1121" s="711" t="s">
        <v>2409</v>
      </c>
      <c r="B1121" s="711" t="s">
        <v>3102</v>
      </c>
      <c r="C1121" s="711"/>
      <c r="D1121" s="711"/>
      <c r="E1121" s="711"/>
      <c r="F1121" s="711">
        <v>7</v>
      </c>
      <c r="G1121" s="711">
        <v>10</v>
      </c>
      <c r="H1121" s="711"/>
      <c r="I1121" s="711"/>
      <c r="J1121" s="711"/>
      <c r="K1121" s="711">
        <v>2</v>
      </c>
      <c r="L1121" s="711">
        <v>7</v>
      </c>
      <c r="M1121" s="711" t="s">
        <v>3348</v>
      </c>
    </row>
    <row r="1122" spans="1:13">
      <c r="A1122" s="711" t="s">
        <v>2511</v>
      </c>
      <c r="B1122" s="711" t="s">
        <v>2479</v>
      </c>
      <c r="C1122" s="711" t="s">
        <v>2516</v>
      </c>
      <c r="D1122" s="711"/>
      <c r="E1122" s="711"/>
      <c r="F1122" s="711">
        <v>31</v>
      </c>
      <c r="G1122" s="711">
        <v>31</v>
      </c>
      <c r="H1122" s="711">
        <v>31</v>
      </c>
      <c r="I1122" s="711"/>
      <c r="J1122" s="711"/>
      <c r="K1122" s="711">
        <v>3</v>
      </c>
      <c r="L1122" s="711">
        <v>31</v>
      </c>
      <c r="M1122" s="711" t="s">
        <v>41</v>
      </c>
    </row>
    <row r="1123" spans="1:13">
      <c r="A1123" s="711" t="s">
        <v>2362</v>
      </c>
      <c r="B1123" s="711" t="s">
        <v>3099</v>
      </c>
      <c r="C1123" s="711" t="s">
        <v>2615</v>
      </c>
      <c r="D1123" s="711" t="s">
        <v>2704</v>
      </c>
      <c r="E1123" s="711"/>
      <c r="F1123" s="711">
        <v>1</v>
      </c>
      <c r="G1123" s="711">
        <v>3</v>
      </c>
      <c r="H1123" s="711">
        <v>31</v>
      </c>
      <c r="I1123" s="711">
        <v>31</v>
      </c>
      <c r="J1123" s="711"/>
      <c r="K1123" s="711">
        <v>4</v>
      </c>
      <c r="L1123" s="711">
        <v>1</v>
      </c>
      <c r="M1123" s="711" t="s">
        <v>3239</v>
      </c>
    </row>
    <row r="1124" spans="1:13">
      <c r="A1124" s="711" t="s">
        <v>3124</v>
      </c>
      <c r="B1124" s="711" t="s">
        <v>3127</v>
      </c>
      <c r="C1124" s="711"/>
      <c r="D1124" s="711"/>
      <c r="E1124" s="711"/>
      <c r="F1124" s="711">
        <v>3</v>
      </c>
      <c r="G1124" s="711">
        <v>4</v>
      </c>
      <c r="H1124" s="711"/>
      <c r="I1124" s="711"/>
      <c r="J1124" s="711"/>
      <c r="K1124" s="711">
        <v>2</v>
      </c>
      <c r="L1124" s="711">
        <v>3</v>
      </c>
      <c r="M1124" s="711" t="s">
        <v>983</v>
      </c>
    </row>
    <row r="1125" spans="1:13">
      <c r="A1125" s="711" t="s">
        <v>2393</v>
      </c>
      <c r="B1125" s="711" t="s">
        <v>2409</v>
      </c>
      <c r="C1125" s="711"/>
      <c r="D1125" s="711"/>
      <c r="E1125" s="711"/>
      <c r="F1125" s="711">
        <v>4</v>
      </c>
      <c r="G1125" s="711">
        <v>7</v>
      </c>
      <c r="H1125" s="711"/>
      <c r="I1125" s="711"/>
      <c r="J1125" s="711"/>
      <c r="K1125" s="711">
        <v>2</v>
      </c>
      <c r="L1125" s="711">
        <v>4</v>
      </c>
      <c r="M1125" s="711" t="s">
        <v>3289</v>
      </c>
    </row>
    <row r="1126" spans="1:13">
      <c r="A1126" s="711" t="s">
        <v>2409</v>
      </c>
      <c r="B1126" s="711" t="s">
        <v>2411</v>
      </c>
      <c r="C1126" s="711"/>
      <c r="D1126" s="711"/>
      <c r="E1126" s="711"/>
      <c r="F1126" s="711">
        <v>7</v>
      </c>
      <c r="G1126" s="711">
        <v>8</v>
      </c>
      <c r="H1126" s="711"/>
      <c r="I1126" s="711"/>
      <c r="J1126" s="711"/>
      <c r="K1126" s="711">
        <v>2</v>
      </c>
      <c r="L1126" s="711">
        <v>7</v>
      </c>
      <c r="M1126" s="711" t="s">
        <v>3380</v>
      </c>
    </row>
    <row r="1127" spans="1:13">
      <c r="A1127" s="711" t="s">
        <v>2362</v>
      </c>
      <c r="B1127" s="711" t="s">
        <v>2511</v>
      </c>
      <c r="C1127" s="711" t="s">
        <v>2393</v>
      </c>
      <c r="D1127" s="711"/>
      <c r="E1127" s="711"/>
      <c r="F1127" s="711">
        <v>1</v>
      </c>
      <c r="G1127" s="711">
        <v>31</v>
      </c>
      <c r="H1127" s="711">
        <v>4</v>
      </c>
      <c r="I1127" s="711"/>
      <c r="J1127" s="711"/>
      <c r="K1127" s="711">
        <v>3</v>
      </c>
      <c r="L1127" s="711">
        <v>1</v>
      </c>
      <c r="M1127" s="711" t="s">
        <v>3381</v>
      </c>
    </row>
    <row r="1128" spans="1:13">
      <c r="A1128" s="711" t="s">
        <v>2362</v>
      </c>
      <c r="B1128" s="711" t="s">
        <v>3099</v>
      </c>
      <c r="C1128" s="711" t="s">
        <v>2409</v>
      </c>
      <c r="D1128" s="711"/>
      <c r="E1128" s="711"/>
      <c r="F1128" s="711">
        <v>1</v>
      </c>
      <c r="G1128" s="711">
        <v>3</v>
      </c>
      <c r="H1128" s="711">
        <v>7</v>
      </c>
      <c r="I1128" s="711"/>
      <c r="J1128" s="711"/>
      <c r="K1128" s="711">
        <v>3</v>
      </c>
      <c r="L1128" s="711">
        <v>1</v>
      </c>
      <c r="M1128" s="711" t="s">
        <v>3169</v>
      </c>
    </row>
    <row r="1129" spans="1:13">
      <c r="A1129" s="711" t="s">
        <v>3103</v>
      </c>
      <c r="B1129" s="711" t="s">
        <v>3101</v>
      </c>
      <c r="C1129" s="711"/>
      <c r="D1129" s="711"/>
      <c r="E1129" s="711"/>
      <c r="F1129" s="711">
        <v>12</v>
      </c>
      <c r="G1129" s="711">
        <v>6</v>
      </c>
      <c r="H1129" s="711"/>
      <c r="I1129" s="711"/>
      <c r="J1129" s="711"/>
      <c r="K1129" s="711">
        <v>2</v>
      </c>
      <c r="L1129" s="711">
        <v>12</v>
      </c>
      <c r="M1129" s="711" t="s">
        <v>3382</v>
      </c>
    </row>
    <row r="1130" spans="1:13">
      <c r="A1130" s="711" t="s">
        <v>2362</v>
      </c>
      <c r="B1130" s="711" t="s">
        <v>2393</v>
      </c>
      <c r="C1130" s="711" t="s">
        <v>2570</v>
      </c>
      <c r="D1130" s="711" t="s">
        <v>2420</v>
      </c>
      <c r="E1130" s="711"/>
      <c r="F1130" s="711">
        <v>1</v>
      </c>
      <c r="G1130" s="711">
        <v>4</v>
      </c>
      <c r="H1130" s="711">
        <v>31</v>
      </c>
      <c r="I1130" s="711">
        <v>9</v>
      </c>
      <c r="J1130" s="711"/>
      <c r="K1130" s="711">
        <v>4</v>
      </c>
      <c r="L1130" s="711">
        <v>1</v>
      </c>
      <c r="M1130" s="711" t="s">
        <v>3383</v>
      </c>
    </row>
    <row r="1131" spans="1:13">
      <c r="A1131" s="711" t="s">
        <v>2425</v>
      </c>
      <c r="B1131" s="711" t="s">
        <v>2377</v>
      </c>
      <c r="C1131" s="711"/>
      <c r="D1131" s="711"/>
      <c r="E1131" s="711"/>
      <c r="F1131" s="711">
        <v>9</v>
      </c>
      <c r="G1131" s="711">
        <v>2</v>
      </c>
      <c r="H1131" s="711"/>
      <c r="I1131" s="711"/>
      <c r="J1131" s="711"/>
      <c r="K1131" s="711">
        <v>2</v>
      </c>
      <c r="L1131" s="711">
        <v>9</v>
      </c>
      <c r="M1131" s="711" t="s">
        <v>3384</v>
      </c>
    </row>
    <row r="1132" spans="1:13">
      <c r="A1132" s="711" t="s">
        <v>3099</v>
      </c>
      <c r="B1132" s="711" t="s">
        <v>2393</v>
      </c>
      <c r="C1132" s="711"/>
      <c r="D1132" s="711"/>
      <c r="E1132" s="711"/>
      <c r="F1132" s="711">
        <v>3</v>
      </c>
      <c r="G1132" s="711">
        <v>4</v>
      </c>
      <c r="H1132" s="711"/>
      <c r="I1132" s="711"/>
      <c r="J1132" s="711"/>
      <c r="K1132" s="711">
        <v>2</v>
      </c>
      <c r="L1132" s="711">
        <v>3</v>
      </c>
      <c r="M1132" s="711" t="s">
        <v>983</v>
      </c>
    </row>
    <row r="1133" spans="1:13">
      <c r="A1133" s="711" t="s">
        <v>2377</v>
      </c>
      <c r="B1133" s="711" t="s">
        <v>2362</v>
      </c>
      <c r="C1133" s="711"/>
      <c r="D1133" s="711"/>
      <c r="E1133" s="711"/>
      <c r="F1133" s="711">
        <v>2</v>
      </c>
      <c r="G1133" s="711">
        <v>1</v>
      </c>
      <c r="H1133" s="711"/>
      <c r="I1133" s="711"/>
      <c r="J1133" s="711"/>
      <c r="K1133" s="711">
        <v>2</v>
      </c>
      <c r="L1133" s="711">
        <v>2</v>
      </c>
      <c r="M1133" s="711" t="s">
        <v>3180</v>
      </c>
    </row>
    <row r="1134" spans="1:13">
      <c r="A1134" s="711" t="s">
        <v>2377</v>
      </c>
      <c r="B1134" s="711" t="s">
        <v>2420</v>
      </c>
      <c r="C1134" s="711" t="s">
        <v>3099</v>
      </c>
      <c r="D1134" s="711"/>
      <c r="E1134" s="711"/>
      <c r="F1134" s="711">
        <v>2</v>
      </c>
      <c r="G1134" s="711">
        <v>9</v>
      </c>
      <c r="H1134" s="711">
        <v>3</v>
      </c>
      <c r="I1134" s="711"/>
      <c r="J1134" s="711"/>
      <c r="K1134" s="711">
        <v>3</v>
      </c>
      <c r="L1134" s="711">
        <v>2</v>
      </c>
      <c r="M1134" s="711" t="s">
        <v>3385</v>
      </c>
    </row>
    <row r="1135" spans="1:13">
      <c r="A1135" s="711" t="s">
        <v>3099</v>
      </c>
      <c r="B1135" s="711"/>
      <c r="C1135" s="711"/>
      <c r="D1135" s="711"/>
      <c r="E1135" s="711"/>
      <c r="F1135" s="711">
        <v>3</v>
      </c>
      <c r="G1135" s="711"/>
      <c r="H1135" s="711"/>
      <c r="I1135" s="711"/>
      <c r="J1135" s="711"/>
      <c r="K1135" s="711">
        <v>1</v>
      </c>
      <c r="L1135" s="711">
        <v>3</v>
      </c>
      <c r="M1135" s="711" t="s">
        <v>48</v>
      </c>
    </row>
    <row r="1136" spans="1:13">
      <c r="A1136" s="711" t="s">
        <v>2420</v>
      </c>
      <c r="B1136" s="711" t="s">
        <v>3099</v>
      </c>
      <c r="C1136" s="711" t="s">
        <v>2362</v>
      </c>
      <c r="D1136" s="711" t="s">
        <v>2377</v>
      </c>
      <c r="E1136" s="711"/>
      <c r="F1136" s="711">
        <v>9</v>
      </c>
      <c r="G1136" s="711">
        <v>3</v>
      </c>
      <c r="H1136" s="711">
        <v>1</v>
      </c>
      <c r="I1136" s="711">
        <v>2</v>
      </c>
      <c r="J1136" s="711"/>
      <c r="K1136" s="711">
        <v>4</v>
      </c>
      <c r="L1136" s="711">
        <v>9</v>
      </c>
      <c r="M1136" s="711" t="s">
        <v>3386</v>
      </c>
    </row>
    <row r="1137" spans="1:13">
      <c r="A1137" s="711" t="s">
        <v>2362</v>
      </c>
      <c r="B1137" s="711" t="s">
        <v>2409</v>
      </c>
      <c r="C1137" s="711"/>
      <c r="D1137" s="711"/>
      <c r="E1137" s="711"/>
      <c r="F1137" s="711">
        <v>1</v>
      </c>
      <c r="G1137" s="711">
        <v>7</v>
      </c>
      <c r="H1137" s="711"/>
      <c r="I1137" s="711"/>
      <c r="J1137" s="711"/>
      <c r="K1137" s="711">
        <v>2</v>
      </c>
      <c r="L1137" s="711">
        <v>1</v>
      </c>
      <c r="M1137" s="711" t="s">
        <v>45</v>
      </c>
    </row>
    <row r="1138" spans="1:13">
      <c r="A1138" s="711" t="s">
        <v>3099</v>
      </c>
      <c r="B1138" s="711" t="s">
        <v>2362</v>
      </c>
      <c r="C1138" s="711" t="s">
        <v>2393</v>
      </c>
      <c r="D1138" s="711"/>
      <c r="E1138" s="711"/>
      <c r="F1138" s="711">
        <v>3</v>
      </c>
      <c r="G1138" s="711">
        <v>1</v>
      </c>
      <c r="H1138" s="711">
        <v>4</v>
      </c>
      <c r="I1138" s="711"/>
      <c r="J1138" s="711"/>
      <c r="K1138" s="711">
        <v>3</v>
      </c>
      <c r="L1138" s="711">
        <v>3</v>
      </c>
      <c r="M1138" s="711" t="s">
        <v>3341</v>
      </c>
    </row>
    <row r="1139" spans="1:13">
      <c r="A1139" s="711" t="s">
        <v>2395</v>
      </c>
      <c r="B1139" s="711"/>
      <c r="C1139" s="711"/>
      <c r="D1139" s="711"/>
      <c r="E1139" s="711"/>
      <c r="F1139" s="711">
        <v>4</v>
      </c>
      <c r="G1139" s="711"/>
      <c r="H1139" s="711"/>
      <c r="I1139" s="711"/>
      <c r="J1139" s="711"/>
      <c r="K1139" s="711">
        <v>1</v>
      </c>
      <c r="L1139" s="711">
        <v>4</v>
      </c>
      <c r="M1139" s="711" t="s">
        <v>39</v>
      </c>
    </row>
    <row r="1140" spans="1:13">
      <c r="A1140" s="711" t="s">
        <v>2377</v>
      </c>
      <c r="B1140" s="711"/>
      <c r="C1140" s="711"/>
      <c r="D1140" s="711"/>
      <c r="E1140" s="711"/>
      <c r="F1140" s="711">
        <v>2</v>
      </c>
      <c r="G1140" s="711"/>
      <c r="H1140" s="711"/>
      <c r="I1140" s="711"/>
      <c r="J1140" s="711"/>
      <c r="K1140" s="711">
        <v>1</v>
      </c>
      <c r="L1140" s="711">
        <v>2</v>
      </c>
      <c r="M1140" s="711" t="s">
        <v>47</v>
      </c>
    </row>
    <row r="1141" spans="1:13">
      <c r="A1141" s="711" t="s">
        <v>2450</v>
      </c>
      <c r="B1141" s="711" t="s">
        <v>3101</v>
      </c>
      <c r="C1141" s="711" t="s">
        <v>2362</v>
      </c>
      <c r="D1141" s="711"/>
      <c r="E1141" s="711"/>
      <c r="F1141" s="711">
        <v>19</v>
      </c>
      <c r="G1141" s="711">
        <v>6</v>
      </c>
      <c r="H1141" s="711">
        <v>1</v>
      </c>
      <c r="I1141" s="711"/>
      <c r="J1141" s="711"/>
      <c r="K1141" s="711">
        <v>3</v>
      </c>
      <c r="L1141" s="711">
        <v>19</v>
      </c>
      <c r="M1141" s="711" t="s">
        <v>3387</v>
      </c>
    </row>
    <row r="1142" spans="1:13">
      <c r="A1142" s="711" t="s">
        <v>3099</v>
      </c>
      <c r="B1142" s="711"/>
      <c r="C1142" s="711"/>
      <c r="D1142" s="711"/>
      <c r="E1142" s="711"/>
      <c r="F1142" s="711">
        <v>3</v>
      </c>
      <c r="G1142" s="711"/>
      <c r="H1142" s="711"/>
      <c r="I1142" s="711"/>
      <c r="J1142" s="711"/>
      <c r="K1142" s="711">
        <v>1</v>
      </c>
      <c r="L1142" s="711">
        <v>3</v>
      </c>
      <c r="M1142" s="711" t="s">
        <v>48</v>
      </c>
    </row>
    <row r="1143" spans="1:13">
      <c r="A1143" s="711" t="s">
        <v>2377</v>
      </c>
      <c r="B1143" s="711"/>
      <c r="C1143" s="711"/>
      <c r="D1143" s="711"/>
      <c r="E1143" s="711"/>
      <c r="F1143" s="711">
        <v>2</v>
      </c>
      <c r="G1143" s="711"/>
      <c r="H1143" s="711"/>
      <c r="I1143" s="711"/>
      <c r="J1143" s="711"/>
      <c r="K1143" s="711">
        <v>1</v>
      </c>
      <c r="L1143" s="711">
        <v>2</v>
      </c>
      <c r="M1143" s="711" t="s">
        <v>47</v>
      </c>
    </row>
    <row r="1144" spans="1:13">
      <c r="A1144" s="711" t="s">
        <v>3103</v>
      </c>
      <c r="B1144" s="711" t="s">
        <v>2434</v>
      </c>
      <c r="C1144" s="711"/>
      <c r="D1144" s="711"/>
      <c r="E1144" s="711"/>
      <c r="F1144" s="711">
        <v>12</v>
      </c>
      <c r="G1144" s="711">
        <v>11</v>
      </c>
      <c r="H1144" s="711"/>
      <c r="I1144" s="711"/>
      <c r="J1144" s="711"/>
      <c r="K1144" s="711">
        <v>2</v>
      </c>
      <c r="L1144" s="711">
        <v>12</v>
      </c>
      <c r="M1144" s="711" t="s">
        <v>3388</v>
      </c>
    </row>
    <row r="1145" spans="1:13">
      <c r="A1145" s="711" t="s">
        <v>3099</v>
      </c>
      <c r="B1145" s="711" t="s">
        <v>2362</v>
      </c>
      <c r="C1145" s="711" t="s">
        <v>2393</v>
      </c>
      <c r="D1145" s="711" t="s">
        <v>3102</v>
      </c>
      <c r="E1145" s="711"/>
      <c r="F1145" s="711">
        <v>3</v>
      </c>
      <c r="G1145" s="711">
        <v>1</v>
      </c>
      <c r="H1145" s="711">
        <v>4</v>
      </c>
      <c r="I1145" s="711">
        <v>10</v>
      </c>
      <c r="J1145" s="711"/>
      <c r="K1145" s="711">
        <v>4</v>
      </c>
      <c r="L1145" s="711">
        <v>3</v>
      </c>
      <c r="M1145" s="711" t="s">
        <v>3389</v>
      </c>
    </row>
    <row r="1146" spans="1:13">
      <c r="A1146" s="711" t="s">
        <v>2409</v>
      </c>
      <c r="B1146" s="711" t="s">
        <v>3099</v>
      </c>
      <c r="C1146" s="711" t="s">
        <v>3103</v>
      </c>
      <c r="D1146" s="711"/>
      <c r="E1146" s="711"/>
      <c r="F1146" s="711">
        <v>7</v>
      </c>
      <c r="G1146" s="711">
        <v>3</v>
      </c>
      <c r="H1146" s="711">
        <v>12</v>
      </c>
      <c r="I1146" s="711"/>
      <c r="J1146" s="711"/>
      <c r="K1146" s="711">
        <v>3</v>
      </c>
      <c r="L1146" s="711">
        <v>7</v>
      </c>
      <c r="M1146" s="711" t="s">
        <v>3390</v>
      </c>
    </row>
    <row r="1147" spans="1:13">
      <c r="A1147" s="711" t="s">
        <v>2362</v>
      </c>
      <c r="B1147" s="711"/>
      <c r="C1147" s="711"/>
      <c r="D1147" s="711"/>
      <c r="E1147" s="711"/>
      <c r="F1147" s="711">
        <v>1</v>
      </c>
      <c r="G1147" s="711"/>
      <c r="H1147" s="711"/>
      <c r="I1147" s="711"/>
      <c r="J1147" s="711"/>
      <c r="K1147" s="711">
        <v>1</v>
      </c>
      <c r="L1147" s="711">
        <v>1</v>
      </c>
      <c r="M1147" s="711" t="s">
        <v>26</v>
      </c>
    </row>
    <row r="1148" spans="1:13">
      <c r="A1148" s="711" t="s">
        <v>2409</v>
      </c>
      <c r="B1148" s="711" t="s">
        <v>2362</v>
      </c>
      <c r="C1148" s="711" t="s">
        <v>2411</v>
      </c>
      <c r="D1148" s="711"/>
      <c r="E1148" s="711"/>
      <c r="F1148" s="711">
        <v>7</v>
      </c>
      <c r="G1148" s="711">
        <v>1</v>
      </c>
      <c r="H1148" s="711">
        <v>8</v>
      </c>
      <c r="I1148" s="711"/>
      <c r="J1148" s="711"/>
      <c r="K1148" s="711">
        <v>3</v>
      </c>
      <c r="L1148" s="711">
        <v>7</v>
      </c>
      <c r="M1148" s="711" t="s">
        <v>3391</v>
      </c>
    </row>
    <row r="1149" spans="1:13">
      <c r="A1149" s="711" t="s">
        <v>3124</v>
      </c>
      <c r="B1149" s="711"/>
      <c r="C1149" s="711" t="s">
        <v>3121</v>
      </c>
      <c r="D1149" s="711"/>
      <c r="E1149" s="711"/>
      <c r="F1149" s="711">
        <v>3</v>
      </c>
      <c r="G1149" s="711"/>
      <c r="H1149" s="711">
        <v>1</v>
      </c>
      <c r="I1149" s="711"/>
      <c r="J1149" s="711"/>
      <c r="K1149" s="711">
        <v>2</v>
      </c>
      <c r="L1149" s="711">
        <v>3</v>
      </c>
      <c r="M1149" s="711" t="s">
        <v>3197</v>
      </c>
    </row>
    <row r="1150" spans="1:13">
      <c r="A1150" s="711" t="s">
        <v>2734</v>
      </c>
      <c r="B1150" s="711"/>
      <c r="C1150" s="711"/>
      <c r="D1150" s="711"/>
      <c r="E1150" s="711"/>
      <c r="F1150" s="711">
        <v>31</v>
      </c>
      <c r="G1150" s="711"/>
      <c r="H1150" s="711"/>
      <c r="I1150" s="711"/>
      <c r="J1150" s="711"/>
      <c r="K1150" s="711">
        <v>1</v>
      </c>
      <c r="L1150" s="711">
        <v>31</v>
      </c>
      <c r="M1150" s="711" t="s">
        <v>41</v>
      </c>
    </row>
    <row r="1151" spans="1:13">
      <c r="A1151" s="711" t="s">
        <v>2377</v>
      </c>
      <c r="B1151" s="711" t="s">
        <v>2393</v>
      </c>
      <c r="C1151" s="711"/>
      <c r="D1151" s="711"/>
      <c r="E1151" s="711"/>
      <c r="F1151" s="711">
        <v>2</v>
      </c>
      <c r="G1151" s="711">
        <v>4</v>
      </c>
      <c r="H1151" s="711"/>
      <c r="I1151" s="711"/>
      <c r="J1151" s="711"/>
      <c r="K1151" s="711">
        <v>2</v>
      </c>
      <c r="L1151" s="711">
        <v>2</v>
      </c>
      <c r="M1151" s="711" t="s">
        <v>53</v>
      </c>
    </row>
    <row r="1152" spans="1:13">
      <c r="A1152" s="711" t="s">
        <v>2362</v>
      </c>
      <c r="B1152" s="711"/>
      <c r="C1152" s="711"/>
      <c r="D1152" s="711"/>
      <c r="E1152" s="711"/>
      <c r="F1152" s="711">
        <v>1</v>
      </c>
      <c r="G1152" s="711"/>
      <c r="H1152" s="711"/>
      <c r="I1152" s="711"/>
      <c r="J1152" s="711"/>
      <c r="K1152" s="711">
        <v>1</v>
      </c>
      <c r="L1152" s="711">
        <v>1</v>
      </c>
      <c r="M1152" s="711" t="s">
        <v>26</v>
      </c>
    </row>
    <row r="1153" spans="1:13">
      <c r="A1153" s="711" t="s">
        <v>2393</v>
      </c>
      <c r="B1153" s="711" t="s">
        <v>3099</v>
      </c>
      <c r="C1153" s="711"/>
      <c r="D1153" s="711"/>
      <c r="E1153" s="711"/>
      <c r="F1153" s="711">
        <v>4</v>
      </c>
      <c r="G1153" s="711">
        <v>3</v>
      </c>
      <c r="H1153" s="711"/>
      <c r="I1153" s="711"/>
      <c r="J1153" s="711"/>
      <c r="K1153" s="711">
        <v>2</v>
      </c>
      <c r="L1153" s="711">
        <v>4</v>
      </c>
      <c r="M1153" s="711" t="s">
        <v>3233</v>
      </c>
    </row>
    <row r="1154" spans="1:13">
      <c r="A1154" s="711" t="s">
        <v>2362</v>
      </c>
      <c r="B1154" s="711"/>
      <c r="C1154" s="711"/>
      <c r="D1154" s="711"/>
      <c r="E1154" s="711"/>
      <c r="F1154" s="711">
        <v>1</v>
      </c>
      <c r="G1154" s="711"/>
      <c r="H1154" s="711"/>
      <c r="I1154" s="711"/>
      <c r="J1154" s="711"/>
      <c r="K1154" s="711">
        <v>1</v>
      </c>
      <c r="L1154" s="711">
        <v>1</v>
      </c>
      <c r="M1154" s="711" t="s">
        <v>26</v>
      </c>
    </row>
    <row r="1155" spans="1:13">
      <c r="A1155" s="711" t="s">
        <v>2362</v>
      </c>
      <c r="B1155" s="711"/>
      <c r="C1155" s="711"/>
      <c r="D1155" s="711"/>
      <c r="E1155" s="711"/>
      <c r="F1155" s="711">
        <v>1</v>
      </c>
      <c r="G1155" s="711"/>
      <c r="H1155" s="711"/>
      <c r="I1155" s="711"/>
      <c r="J1155" s="711"/>
      <c r="K1155" s="711">
        <v>1</v>
      </c>
      <c r="L1155" s="711">
        <v>1</v>
      </c>
      <c r="M1155" s="711" t="s">
        <v>26</v>
      </c>
    </row>
    <row r="1156" spans="1:13">
      <c r="A1156" s="711" t="s">
        <v>2483</v>
      </c>
      <c r="B1156" s="711" t="s">
        <v>2377</v>
      </c>
      <c r="C1156" s="711" t="s">
        <v>2434</v>
      </c>
      <c r="D1156" s="711" t="s">
        <v>2393</v>
      </c>
      <c r="E1156" s="711"/>
      <c r="F1156" s="711">
        <v>31</v>
      </c>
      <c r="G1156" s="711">
        <v>2</v>
      </c>
      <c r="H1156" s="711">
        <v>11</v>
      </c>
      <c r="I1156" s="711">
        <v>4</v>
      </c>
      <c r="J1156" s="711"/>
      <c r="K1156" s="711">
        <v>4</v>
      </c>
      <c r="L1156" s="711">
        <v>31</v>
      </c>
      <c r="M1156" s="711" t="s">
        <v>3392</v>
      </c>
    </row>
    <row r="1157" spans="1:13">
      <c r="A1157" s="711" t="s">
        <v>2394</v>
      </c>
      <c r="B1157" s="711" t="s">
        <v>2362</v>
      </c>
      <c r="C1157" s="711"/>
      <c r="D1157" s="711"/>
      <c r="E1157" s="711"/>
      <c r="F1157" s="711">
        <v>4</v>
      </c>
      <c r="G1157" s="711">
        <v>1</v>
      </c>
      <c r="H1157" s="711"/>
      <c r="I1157" s="711"/>
      <c r="J1157" s="711"/>
      <c r="K1157" s="711">
        <v>2</v>
      </c>
      <c r="L1157" s="711">
        <v>4</v>
      </c>
      <c r="M1157" s="711" t="s">
        <v>3195</v>
      </c>
    </row>
    <row r="1158" spans="1:13">
      <c r="A1158" s="711" t="s">
        <v>2362</v>
      </c>
      <c r="B1158" s="711" t="s">
        <v>2420</v>
      </c>
      <c r="C1158" s="711" t="s">
        <v>3100</v>
      </c>
      <c r="D1158" s="711"/>
      <c r="E1158" s="711"/>
      <c r="F1158" s="711">
        <v>1</v>
      </c>
      <c r="G1158" s="711">
        <v>9</v>
      </c>
      <c r="H1158" s="711">
        <v>5</v>
      </c>
      <c r="I1158" s="711"/>
      <c r="J1158" s="711"/>
      <c r="K1158" s="711">
        <v>3</v>
      </c>
      <c r="L1158" s="711">
        <v>1</v>
      </c>
      <c r="M1158" s="711" t="s">
        <v>3166</v>
      </c>
    </row>
    <row r="1159" spans="1:13">
      <c r="A1159" s="711" t="s">
        <v>2393</v>
      </c>
      <c r="B1159" s="711" t="s">
        <v>2434</v>
      </c>
      <c r="C1159" s="711"/>
      <c r="D1159" s="711"/>
      <c r="E1159" s="711"/>
      <c r="F1159" s="711">
        <v>4</v>
      </c>
      <c r="G1159" s="711">
        <v>11</v>
      </c>
      <c r="H1159" s="711"/>
      <c r="I1159" s="711"/>
      <c r="J1159" s="711"/>
      <c r="K1159" s="711">
        <v>2</v>
      </c>
      <c r="L1159" s="711">
        <v>4</v>
      </c>
      <c r="M1159" s="711" t="s">
        <v>3188</v>
      </c>
    </row>
    <row r="1160" spans="1:13">
      <c r="A1160" s="711" t="s">
        <v>2362</v>
      </c>
      <c r="B1160" s="711"/>
      <c r="C1160" s="711"/>
      <c r="D1160" s="711"/>
      <c r="E1160" s="711"/>
      <c r="F1160" s="711">
        <v>1</v>
      </c>
      <c r="G1160" s="711"/>
      <c r="H1160" s="711"/>
      <c r="I1160" s="711"/>
      <c r="J1160" s="711"/>
      <c r="K1160" s="711">
        <v>1</v>
      </c>
      <c r="L1160" s="711">
        <v>1</v>
      </c>
      <c r="M1160" s="711" t="s">
        <v>26</v>
      </c>
    </row>
    <row r="1161" spans="1:13">
      <c r="A1161" s="711" t="s">
        <v>2409</v>
      </c>
      <c r="B1161" s="711" t="s">
        <v>2434</v>
      </c>
      <c r="C1161" s="711" t="s">
        <v>2393</v>
      </c>
      <c r="D1161" s="711" t="s">
        <v>3099</v>
      </c>
      <c r="E1161" s="711"/>
      <c r="F1161" s="711">
        <v>7</v>
      </c>
      <c r="G1161" s="711">
        <v>11</v>
      </c>
      <c r="H1161" s="711">
        <v>4</v>
      </c>
      <c r="I1161" s="711">
        <v>3</v>
      </c>
      <c r="J1161" s="711"/>
      <c r="K1161" s="711">
        <v>4</v>
      </c>
      <c r="L1161" s="711">
        <v>7</v>
      </c>
      <c r="M1161" s="711" t="s">
        <v>3393</v>
      </c>
    </row>
    <row r="1162" spans="1:13">
      <c r="A1162" s="711" t="s">
        <v>2393</v>
      </c>
      <c r="B1162" s="711" t="s">
        <v>2464</v>
      </c>
      <c r="C1162" s="711"/>
      <c r="D1162" s="711"/>
      <c r="E1162" s="711"/>
      <c r="F1162" s="711">
        <v>4</v>
      </c>
      <c r="G1162" s="711">
        <v>25</v>
      </c>
      <c r="H1162" s="711"/>
      <c r="I1162" s="711"/>
      <c r="J1162" s="711"/>
      <c r="K1162" s="711">
        <v>2</v>
      </c>
      <c r="L1162" s="711">
        <v>4</v>
      </c>
      <c r="M1162" s="711" t="s">
        <v>3394</v>
      </c>
    </row>
    <row r="1163" spans="1:13">
      <c r="A1163" s="711" t="s">
        <v>2362</v>
      </c>
      <c r="B1163" s="711"/>
      <c r="C1163" s="711"/>
      <c r="D1163" s="711"/>
      <c r="E1163" s="711"/>
      <c r="F1163" s="711">
        <v>1</v>
      </c>
      <c r="G1163" s="711"/>
      <c r="H1163" s="711"/>
      <c r="I1163" s="711"/>
      <c r="J1163" s="711"/>
      <c r="K1163" s="711">
        <v>1</v>
      </c>
      <c r="L1163" s="711">
        <v>1</v>
      </c>
      <c r="M1163" s="711" t="s">
        <v>26</v>
      </c>
    </row>
    <row r="1164" spans="1:13">
      <c r="A1164" s="711" t="s">
        <v>2434</v>
      </c>
      <c r="B1164" s="711" t="s">
        <v>2411</v>
      </c>
      <c r="C1164" s="711"/>
      <c r="D1164" s="711"/>
      <c r="E1164" s="711"/>
      <c r="F1164" s="711">
        <v>11</v>
      </c>
      <c r="G1164" s="711">
        <v>8</v>
      </c>
      <c r="H1164" s="711"/>
      <c r="I1164" s="711"/>
      <c r="J1164" s="711"/>
      <c r="K1164" s="711">
        <v>2</v>
      </c>
      <c r="L1164" s="711">
        <v>11</v>
      </c>
      <c r="M1164" s="711" t="s">
        <v>3365</v>
      </c>
    </row>
    <row r="1165" spans="1:13">
      <c r="A1165" s="711" t="s">
        <v>2362</v>
      </c>
      <c r="B1165" s="711"/>
      <c r="C1165" s="711"/>
      <c r="D1165" s="711"/>
      <c r="E1165" s="711"/>
      <c r="F1165" s="711">
        <v>1</v>
      </c>
      <c r="G1165" s="711"/>
      <c r="H1165" s="711"/>
      <c r="I1165" s="711"/>
      <c r="J1165" s="711"/>
      <c r="K1165" s="711">
        <v>1</v>
      </c>
      <c r="L1165" s="711">
        <v>1</v>
      </c>
      <c r="M1165" s="711" t="s">
        <v>26</v>
      </c>
    </row>
    <row r="1166" spans="1:13">
      <c r="A1166" s="711" t="s">
        <v>2362</v>
      </c>
      <c r="B1166" s="711" t="s">
        <v>2377</v>
      </c>
      <c r="C1166" s="711"/>
      <c r="D1166" s="711"/>
      <c r="E1166" s="711"/>
      <c r="F1166" s="711">
        <v>1</v>
      </c>
      <c r="G1166" s="711">
        <v>2</v>
      </c>
      <c r="H1166" s="711"/>
      <c r="I1166" s="711"/>
      <c r="J1166" s="711"/>
      <c r="K1166" s="711">
        <v>2</v>
      </c>
      <c r="L1166" s="711">
        <v>1</v>
      </c>
      <c r="M1166" s="711" t="s">
        <v>30</v>
      </c>
    </row>
    <row r="1167" spans="1:13">
      <c r="A1167" s="711" t="s">
        <v>3099</v>
      </c>
      <c r="B1167" s="711" t="s">
        <v>2409</v>
      </c>
      <c r="C1167" s="711" t="s">
        <v>2362</v>
      </c>
      <c r="D1167" s="711"/>
      <c r="E1167" s="711"/>
      <c r="F1167" s="711">
        <v>3</v>
      </c>
      <c r="G1167" s="711">
        <v>7</v>
      </c>
      <c r="H1167" s="711">
        <v>1</v>
      </c>
      <c r="I1167" s="711"/>
      <c r="J1167" s="711"/>
      <c r="K1167" s="711">
        <v>3</v>
      </c>
      <c r="L1167" s="711">
        <v>3</v>
      </c>
      <c r="M1167" s="711" t="s">
        <v>3395</v>
      </c>
    </row>
    <row r="1168" spans="1:13">
      <c r="A1168" s="711" t="s">
        <v>3099</v>
      </c>
      <c r="B1168" s="711" t="s">
        <v>2362</v>
      </c>
      <c r="C1168" s="711" t="s">
        <v>3100</v>
      </c>
      <c r="D1168" s="711"/>
      <c r="E1168" s="711"/>
      <c r="F1168" s="711">
        <v>3</v>
      </c>
      <c r="G1168" s="711">
        <v>1</v>
      </c>
      <c r="H1168" s="711">
        <v>5</v>
      </c>
      <c r="I1168" s="711"/>
      <c r="J1168" s="711"/>
      <c r="K1168" s="711">
        <v>3</v>
      </c>
      <c r="L1168" s="711">
        <v>3</v>
      </c>
      <c r="M1168" s="711" t="s">
        <v>3396</v>
      </c>
    </row>
    <row r="1169" spans="1:13">
      <c r="A1169" s="711" t="s">
        <v>2838</v>
      </c>
      <c r="B1169" s="711" t="s">
        <v>3099</v>
      </c>
      <c r="C1169" s="711" t="s">
        <v>2440</v>
      </c>
      <c r="D1169" s="711"/>
      <c r="E1169" s="711"/>
      <c r="F1169" s="711">
        <v>31</v>
      </c>
      <c r="G1169" s="711">
        <v>3</v>
      </c>
      <c r="H1169" s="711">
        <v>14</v>
      </c>
      <c r="I1169" s="711"/>
      <c r="J1169" s="711"/>
      <c r="K1169" s="711">
        <v>3</v>
      </c>
      <c r="L1169" s="711">
        <v>31</v>
      </c>
      <c r="M1169" s="711" t="s">
        <v>3397</v>
      </c>
    </row>
    <row r="1170" spans="1:13">
      <c r="A1170" s="711" t="s">
        <v>2393</v>
      </c>
      <c r="B1170" s="711" t="s">
        <v>2362</v>
      </c>
      <c r="C1170" s="711" t="s">
        <v>3099</v>
      </c>
      <c r="D1170" s="711"/>
      <c r="E1170" s="711"/>
      <c r="F1170" s="711">
        <v>4</v>
      </c>
      <c r="G1170" s="711">
        <v>1</v>
      </c>
      <c r="H1170" s="711">
        <v>3</v>
      </c>
      <c r="I1170" s="711"/>
      <c r="J1170" s="711"/>
      <c r="K1170" s="711">
        <v>3</v>
      </c>
      <c r="L1170" s="711">
        <v>4</v>
      </c>
      <c r="M1170" s="711" t="s">
        <v>3398</v>
      </c>
    </row>
    <row r="1171" spans="1:13">
      <c r="A1171" s="711" t="s">
        <v>2362</v>
      </c>
      <c r="B1171" s="711" t="s">
        <v>2464</v>
      </c>
      <c r="C1171" s="711" t="s">
        <v>2393</v>
      </c>
      <c r="D1171" s="711" t="s">
        <v>2411</v>
      </c>
      <c r="E1171" s="711" t="s">
        <v>2377</v>
      </c>
      <c r="F1171" s="711">
        <v>1</v>
      </c>
      <c r="G1171" s="711">
        <v>25</v>
      </c>
      <c r="H1171" s="711">
        <v>4</v>
      </c>
      <c r="I1171" s="711">
        <v>8</v>
      </c>
      <c r="J1171" s="711">
        <v>2</v>
      </c>
      <c r="K1171" s="711">
        <v>5</v>
      </c>
      <c r="L1171" s="711">
        <v>1</v>
      </c>
      <c r="M1171" s="711" t="s">
        <v>3504</v>
      </c>
    </row>
    <row r="1172" spans="1:13">
      <c r="A1172" s="711" t="s">
        <v>2434</v>
      </c>
      <c r="B1172" s="711"/>
      <c r="C1172" s="711"/>
      <c r="D1172" s="711"/>
      <c r="E1172" s="711"/>
      <c r="F1172" s="711">
        <v>11</v>
      </c>
      <c r="G1172" s="711"/>
      <c r="H1172" s="711"/>
      <c r="I1172" s="711"/>
      <c r="J1172" s="711"/>
      <c r="K1172" s="711">
        <v>1</v>
      </c>
      <c r="L1172" s="711">
        <v>11</v>
      </c>
      <c r="M1172" s="711" t="s">
        <v>38</v>
      </c>
    </row>
    <row r="1173" spans="1:13">
      <c r="A1173" s="711" t="s">
        <v>2420</v>
      </c>
      <c r="B1173" s="711" t="s">
        <v>2362</v>
      </c>
      <c r="C1173" s="711"/>
      <c r="D1173" s="711"/>
      <c r="E1173" s="711"/>
      <c r="F1173" s="711">
        <v>9</v>
      </c>
      <c r="G1173" s="711">
        <v>1</v>
      </c>
      <c r="H1173" s="711"/>
      <c r="I1173" s="711"/>
      <c r="J1173" s="711"/>
      <c r="K1173" s="711">
        <v>2</v>
      </c>
      <c r="L1173" s="711">
        <v>9</v>
      </c>
      <c r="M1173" s="711" t="s">
        <v>3280</v>
      </c>
    </row>
    <row r="1174" spans="1:13">
      <c r="A1174" s="711" t="s">
        <v>2362</v>
      </c>
      <c r="B1174" s="711" t="s">
        <v>2393</v>
      </c>
      <c r="C1174" s="711"/>
      <c r="D1174" s="711"/>
      <c r="E1174" s="711"/>
      <c r="F1174" s="711">
        <v>1</v>
      </c>
      <c r="G1174" s="711">
        <v>4</v>
      </c>
      <c r="H1174" s="711"/>
      <c r="I1174" s="711"/>
      <c r="J1174" s="711"/>
      <c r="K1174" s="711">
        <v>2</v>
      </c>
      <c r="L1174" s="711">
        <v>1</v>
      </c>
      <c r="M1174" s="711" t="s">
        <v>42</v>
      </c>
    </row>
    <row r="1175" spans="1:13">
      <c r="A1175" s="711" t="s">
        <v>2493</v>
      </c>
      <c r="B1175" s="711" t="s">
        <v>3054</v>
      </c>
      <c r="C1175" s="711"/>
      <c r="D1175" s="711"/>
      <c r="E1175" s="711"/>
      <c r="F1175" s="711">
        <v>31</v>
      </c>
      <c r="G1175" s="711">
        <v>31</v>
      </c>
      <c r="H1175" s="711"/>
      <c r="I1175" s="711"/>
      <c r="J1175" s="711"/>
      <c r="K1175" s="711">
        <v>2</v>
      </c>
      <c r="L1175" s="711">
        <v>31</v>
      </c>
      <c r="M1175" s="711" t="s">
        <v>41</v>
      </c>
    </row>
    <row r="1176" spans="1:13">
      <c r="A1176" s="711" t="s">
        <v>2409</v>
      </c>
      <c r="B1176" s="711" t="s">
        <v>2362</v>
      </c>
      <c r="C1176" s="711" t="s">
        <v>3099</v>
      </c>
      <c r="D1176" s="711"/>
      <c r="E1176" s="711"/>
      <c r="F1176" s="711">
        <v>7</v>
      </c>
      <c r="G1176" s="711">
        <v>1</v>
      </c>
      <c r="H1176" s="711">
        <v>3</v>
      </c>
      <c r="I1176" s="711"/>
      <c r="J1176" s="711"/>
      <c r="K1176" s="711">
        <v>3</v>
      </c>
      <c r="L1176" s="711">
        <v>7</v>
      </c>
      <c r="M1176" s="711" t="s">
        <v>3399</v>
      </c>
    </row>
    <row r="1177" spans="1:13">
      <c r="A1177" s="711" t="s">
        <v>2362</v>
      </c>
      <c r="B1177" s="711"/>
      <c r="C1177" s="711"/>
      <c r="D1177" s="711"/>
      <c r="E1177" s="711"/>
      <c r="F1177" s="711">
        <v>1</v>
      </c>
      <c r="G1177" s="711"/>
      <c r="H1177" s="711"/>
      <c r="I1177" s="711"/>
      <c r="J1177" s="711"/>
      <c r="K1177" s="711">
        <v>1</v>
      </c>
      <c r="L1177" s="711">
        <v>1</v>
      </c>
      <c r="M1177" s="711" t="s">
        <v>26</v>
      </c>
    </row>
    <row r="1178" spans="1:13">
      <c r="A1178" s="711" t="s">
        <v>2377</v>
      </c>
      <c r="B1178" s="711" t="s">
        <v>3099</v>
      </c>
      <c r="C1178" s="711"/>
      <c r="D1178" s="711"/>
      <c r="E1178" s="711"/>
      <c r="F1178" s="711">
        <v>2</v>
      </c>
      <c r="G1178" s="711">
        <v>3</v>
      </c>
      <c r="H1178" s="711"/>
      <c r="I1178" s="711"/>
      <c r="J1178" s="711"/>
      <c r="K1178" s="711">
        <v>2</v>
      </c>
      <c r="L1178" s="711">
        <v>2</v>
      </c>
      <c r="M1178" s="711" t="s">
        <v>893</v>
      </c>
    </row>
    <row r="1179" spans="1:13">
      <c r="A1179" s="711" t="s">
        <v>2362</v>
      </c>
      <c r="B1179" s="711" t="s">
        <v>3099</v>
      </c>
      <c r="C1179" s="711" t="s">
        <v>2420</v>
      </c>
      <c r="D1179" s="711"/>
      <c r="E1179" s="711"/>
      <c r="F1179" s="711">
        <v>1</v>
      </c>
      <c r="G1179" s="711">
        <v>3</v>
      </c>
      <c r="H1179" s="711">
        <v>9</v>
      </c>
      <c r="I1179" s="711"/>
      <c r="J1179" s="711"/>
      <c r="K1179" s="711">
        <v>3</v>
      </c>
      <c r="L1179" s="711">
        <v>1</v>
      </c>
      <c r="M1179" s="711" t="s">
        <v>899</v>
      </c>
    </row>
    <row r="1180" spans="1:13">
      <c r="A1180" s="711" t="s">
        <v>2362</v>
      </c>
      <c r="B1180" s="711" t="s">
        <v>2393</v>
      </c>
      <c r="C1180" s="711" t="s">
        <v>2377</v>
      </c>
      <c r="D1180" s="711"/>
      <c r="E1180" s="711"/>
      <c r="F1180" s="711">
        <v>1</v>
      </c>
      <c r="G1180" s="711">
        <v>4</v>
      </c>
      <c r="H1180" s="711">
        <v>2</v>
      </c>
      <c r="I1180" s="711"/>
      <c r="J1180" s="711"/>
      <c r="K1180" s="711">
        <v>3</v>
      </c>
      <c r="L1180" s="711">
        <v>1</v>
      </c>
      <c r="M1180" s="711" t="s">
        <v>3210</v>
      </c>
    </row>
    <row r="1181" spans="1:13">
      <c r="A1181" s="711" t="s">
        <v>2362</v>
      </c>
      <c r="B1181" s="711" t="s">
        <v>3103</v>
      </c>
      <c r="C1181" s="711" t="s">
        <v>3099</v>
      </c>
      <c r="D1181" s="711" t="s">
        <v>2464</v>
      </c>
      <c r="E1181" s="711" t="s">
        <v>3101</v>
      </c>
      <c r="F1181" s="711">
        <v>1</v>
      </c>
      <c r="G1181" s="711">
        <v>12</v>
      </c>
      <c r="H1181" s="711">
        <v>3</v>
      </c>
      <c r="I1181" s="711">
        <v>25</v>
      </c>
      <c r="J1181" s="711">
        <v>6</v>
      </c>
      <c r="K1181" s="711">
        <v>5</v>
      </c>
      <c r="L1181" s="711">
        <v>1</v>
      </c>
      <c r="M1181" s="711" t="s">
        <v>3505</v>
      </c>
    </row>
    <row r="1182" spans="1:13">
      <c r="A1182" s="711" t="s">
        <v>2438</v>
      </c>
      <c r="B1182" s="711" t="s">
        <v>2646</v>
      </c>
      <c r="C1182" s="711" t="s">
        <v>3085</v>
      </c>
      <c r="D1182" s="711"/>
      <c r="E1182" s="711"/>
      <c r="F1182" s="711">
        <v>13</v>
      </c>
      <c r="G1182" s="711">
        <v>31</v>
      </c>
      <c r="H1182" s="711">
        <v>31</v>
      </c>
      <c r="I1182" s="711"/>
      <c r="J1182" s="711"/>
      <c r="K1182" s="711">
        <v>3</v>
      </c>
      <c r="L1182" s="711">
        <v>13</v>
      </c>
      <c r="M1182" s="711" t="s">
        <v>3411</v>
      </c>
    </row>
    <row r="1183" spans="1:13">
      <c r="A1183" s="711" t="s">
        <v>2362</v>
      </c>
      <c r="B1183" s="711" t="s">
        <v>2954</v>
      </c>
      <c r="C1183" s="711" t="s">
        <v>2420</v>
      </c>
      <c r="D1183" s="711"/>
      <c r="E1183" s="711"/>
      <c r="F1183" s="711">
        <v>1</v>
      </c>
      <c r="G1183" s="711">
        <v>31</v>
      </c>
      <c r="H1183" s="711">
        <v>9</v>
      </c>
      <c r="I1183" s="711"/>
      <c r="J1183" s="711"/>
      <c r="K1183" s="711">
        <v>3</v>
      </c>
      <c r="L1183" s="711">
        <v>1</v>
      </c>
      <c r="M1183" s="711" t="s">
        <v>3400</v>
      </c>
    </row>
    <row r="1184" spans="1:13">
      <c r="A1184" s="711" t="s">
        <v>3099</v>
      </c>
      <c r="B1184" s="711" t="s">
        <v>2362</v>
      </c>
      <c r="C1184" s="711" t="s">
        <v>2377</v>
      </c>
      <c r="D1184" s="711" t="s">
        <v>2464</v>
      </c>
      <c r="E1184" s="711" t="s">
        <v>2393</v>
      </c>
      <c r="F1184" s="711">
        <v>3</v>
      </c>
      <c r="G1184" s="711">
        <v>1</v>
      </c>
      <c r="H1184" s="711">
        <v>2</v>
      </c>
      <c r="I1184" s="711">
        <v>25</v>
      </c>
      <c r="J1184" s="711">
        <v>4</v>
      </c>
      <c r="K1184" s="711">
        <v>5</v>
      </c>
      <c r="L1184" s="711">
        <v>3</v>
      </c>
      <c r="M1184" s="711" t="s">
        <v>3506</v>
      </c>
    </row>
    <row r="1185" spans="1:13">
      <c r="A1185" s="711" t="s">
        <v>2377</v>
      </c>
      <c r="B1185" s="711" t="s">
        <v>2438</v>
      </c>
      <c r="C1185" s="711"/>
      <c r="D1185" s="711"/>
      <c r="E1185" s="711"/>
      <c r="F1185" s="711">
        <v>2</v>
      </c>
      <c r="G1185" s="711">
        <v>13</v>
      </c>
      <c r="H1185" s="711"/>
      <c r="I1185" s="711"/>
      <c r="J1185" s="711"/>
      <c r="K1185" s="711">
        <v>2</v>
      </c>
      <c r="L1185" s="711">
        <v>2</v>
      </c>
      <c r="M1185" s="711" t="s">
        <v>3401</v>
      </c>
    </row>
    <row r="1186" spans="1:13">
      <c r="A1186" s="711" t="s">
        <v>3099</v>
      </c>
      <c r="B1186" s="711" t="s">
        <v>2377</v>
      </c>
      <c r="C1186" s="711"/>
      <c r="D1186" s="711"/>
      <c r="E1186" s="711"/>
      <c r="F1186" s="711">
        <v>3</v>
      </c>
      <c r="G1186" s="711">
        <v>2</v>
      </c>
      <c r="H1186" s="711"/>
      <c r="I1186" s="711"/>
      <c r="J1186" s="711"/>
      <c r="K1186" s="711">
        <v>2</v>
      </c>
      <c r="L1186" s="711">
        <v>3</v>
      </c>
      <c r="M1186" s="711" t="s">
        <v>3193</v>
      </c>
    </row>
    <row r="1187" spans="1:13">
      <c r="A1187" s="711" t="s">
        <v>2362</v>
      </c>
      <c r="B1187" s="711"/>
      <c r="C1187" s="711"/>
      <c r="D1187" s="711"/>
      <c r="E1187" s="711"/>
      <c r="F1187" s="711">
        <v>1</v>
      </c>
      <c r="G1187" s="711"/>
      <c r="H1187" s="711"/>
      <c r="I1187" s="711"/>
      <c r="J1187" s="711"/>
      <c r="K1187" s="711">
        <v>1</v>
      </c>
      <c r="L1187" s="711">
        <v>1</v>
      </c>
      <c r="M1187" s="711" t="s">
        <v>26</v>
      </c>
    </row>
    <row r="1188" spans="1:13">
      <c r="A1188" s="711" t="s">
        <v>2393</v>
      </c>
      <c r="B1188" s="711"/>
      <c r="C1188" s="711"/>
      <c r="D1188" s="711"/>
      <c r="E1188" s="711"/>
      <c r="F1188" s="711">
        <v>4</v>
      </c>
      <c r="G1188" s="711"/>
      <c r="H1188" s="711"/>
      <c r="I1188" s="711"/>
      <c r="J1188" s="711"/>
      <c r="K1188" s="711">
        <v>1</v>
      </c>
      <c r="L1188" s="711">
        <v>4</v>
      </c>
      <c r="M1188" s="711" t="s">
        <v>39</v>
      </c>
    </row>
    <row r="1189" spans="1:13">
      <c r="A1189" s="711" t="s">
        <v>2393</v>
      </c>
      <c r="B1189" s="711"/>
      <c r="C1189" s="711"/>
      <c r="D1189" s="711"/>
      <c r="E1189" s="711"/>
      <c r="F1189" s="711">
        <v>4</v>
      </c>
      <c r="G1189" s="711"/>
      <c r="H1189" s="711"/>
      <c r="I1189" s="711"/>
      <c r="J1189" s="711"/>
      <c r="K1189" s="711">
        <v>1</v>
      </c>
      <c r="L1189" s="711">
        <v>4</v>
      </c>
      <c r="M1189" s="711" t="s">
        <v>39</v>
      </c>
    </row>
    <row r="1190" spans="1:13">
      <c r="A1190" s="711" t="s">
        <v>3099</v>
      </c>
      <c r="B1190" s="711" t="s">
        <v>2393</v>
      </c>
      <c r="C1190" s="711"/>
      <c r="D1190" s="711"/>
      <c r="E1190" s="711"/>
      <c r="F1190" s="711">
        <v>3</v>
      </c>
      <c r="G1190" s="711">
        <v>4</v>
      </c>
      <c r="H1190" s="711"/>
      <c r="I1190" s="711"/>
      <c r="J1190" s="711"/>
      <c r="K1190" s="711">
        <v>2</v>
      </c>
      <c r="L1190" s="711">
        <v>3</v>
      </c>
      <c r="M1190" s="711" t="s">
        <v>983</v>
      </c>
    </row>
    <row r="1191" spans="1:13">
      <c r="A1191" s="711" t="s">
        <v>3099</v>
      </c>
      <c r="B1191" s="711" t="s">
        <v>3055</v>
      </c>
      <c r="C1191" s="711"/>
      <c r="D1191" s="711"/>
      <c r="E1191" s="711"/>
      <c r="F1191" s="711">
        <v>3</v>
      </c>
      <c r="G1191" s="711">
        <v>31</v>
      </c>
      <c r="H1191" s="711"/>
      <c r="I1191" s="711"/>
      <c r="J1191" s="711"/>
      <c r="K1191" s="711">
        <v>2</v>
      </c>
      <c r="L1191" s="711">
        <v>3</v>
      </c>
      <c r="M1191" s="711" t="s">
        <v>3238</v>
      </c>
    </row>
    <row r="1192" spans="1:13">
      <c r="A1192" s="711" t="s">
        <v>3101</v>
      </c>
      <c r="B1192" s="711" t="s">
        <v>3099</v>
      </c>
      <c r="C1192" s="711" t="s">
        <v>2393</v>
      </c>
      <c r="D1192" s="711"/>
      <c r="E1192" s="711"/>
      <c r="F1192" s="711">
        <v>6</v>
      </c>
      <c r="G1192" s="711">
        <v>3</v>
      </c>
      <c r="H1192" s="711">
        <v>4</v>
      </c>
      <c r="I1192" s="711"/>
      <c r="J1192" s="711"/>
      <c r="K1192" s="711">
        <v>3</v>
      </c>
      <c r="L1192" s="711">
        <v>6</v>
      </c>
      <c r="M1192" s="711" t="s">
        <v>3303</v>
      </c>
    </row>
    <row r="1193" spans="1:13">
      <c r="A1193" s="711" t="s">
        <v>2393</v>
      </c>
      <c r="B1193" s="711"/>
      <c r="C1193" s="711"/>
      <c r="D1193" s="711"/>
      <c r="E1193" s="711"/>
      <c r="F1193" s="711">
        <v>4</v>
      </c>
      <c r="G1193" s="711"/>
      <c r="H1193" s="711"/>
      <c r="I1193" s="711"/>
      <c r="J1193" s="711"/>
      <c r="K1193" s="711">
        <v>1</v>
      </c>
      <c r="L1193" s="711">
        <v>4</v>
      </c>
      <c r="M1193" s="711" t="s">
        <v>39</v>
      </c>
    </row>
    <row r="1194" spans="1:13">
      <c r="A1194" s="711" t="s">
        <v>2438</v>
      </c>
      <c r="B1194" s="711" t="s">
        <v>2830</v>
      </c>
      <c r="C1194" s="711" t="s">
        <v>3086</v>
      </c>
      <c r="D1194" s="711"/>
      <c r="E1194" s="711"/>
      <c r="F1194" s="711">
        <v>13</v>
      </c>
      <c r="G1194" s="711">
        <v>31</v>
      </c>
      <c r="H1194" s="711">
        <v>31</v>
      </c>
      <c r="I1194" s="711"/>
      <c r="J1194" s="711"/>
      <c r="K1194" s="711">
        <v>3</v>
      </c>
      <c r="L1194" s="711">
        <v>13</v>
      </c>
      <c r="M1194" s="711" t="s">
        <v>3411</v>
      </c>
    </row>
    <row r="1195" spans="1:13">
      <c r="A1195" s="711" t="s">
        <v>2420</v>
      </c>
      <c r="B1195" s="711" t="s">
        <v>2362</v>
      </c>
      <c r="C1195" s="711" t="s">
        <v>2954</v>
      </c>
      <c r="D1195" s="711"/>
      <c r="E1195" s="711"/>
      <c r="F1195" s="711">
        <v>9</v>
      </c>
      <c r="G1195" s="711">
        <v>1</v>
      </c>
      <c r="H1195" s="711">
        <v>31</v>
      </c>
      <c r="I1195" s="711"/>
      <c r="J1195" s="711"/>
      <c r="K1195" s="711">
        <v>3</v>
      </c>
      <c r="L1195" s="711">
        <v>9</v>
      </c>
      <c r="M1195" s="711" t="s">
        <v>3402</v>
      </c>
    </row>
    <row r="1196" spans="1:13">
      <c r="A1196" s="711" t="s">
        <v>3021</v>
      </c>
      <c r="B1196" s="711" t="s">
        <v>3099</v>
      </c>
      <c r="C1196" s="711" t="s">
        <v>3087</v>
      </c>
      <c r="D1196" s="711" t="s">
        <v>3119</v>
      </c>
      <c r="E1196" s="711"/>
      <c r="F1196" s="711">
        <v>31</v>
      </c>
      <c r="G1196" s="711">
        <v>3</v>
      </c>
      <c r="H1196" s="711">
        <v>31</v>
      </c>
      <c r="I1196" s="711">
        <v>31</v>
      </c>
      <c r="J1196" s="711"/>
      <c r="K1196" s="711">
        <v>4</v>
      </c>
      <c r="L1196" s="711">
        <v>31</v>
      </c>
      <c r="M1196" s="711" t="s">
        <v>3229</v>
      </c>
    </row>
    <row r="1197" spans="1:13">
      <c r="A1197" s="711" t="s">
        <v>3022</v>
      </c>
      <c r="B1197" s="711" t="s">
        <v>2438</v>
      </c>
      <c r="C1197" s="711"/>
      <c r="D1197" s="711"/>
      <c r="E1197" s="711"/>
      <c r="F1197" s="711">
        <v>31</v>
      </c>
      <c r="G1197" s="711">
        <v>13</v>
      </c>
      <c r="H1197" s="711"/>
      <c r="I1197" s="711"/>
      <c r="J1197" s="711"/>
      <c r="K1197" s="711">
        <v>2</v>
      </c>
      <c r="L1197" s="711">
        <v>31</v>
      </c>
      <c r="M1197" s="711" t="s">
        <v>3403</v>
      </c>
    </row>
    <row r="1198" spans="1:13">
      <c r="A1198" s="711" t="s">
        <v>2482</v>
      </c>
      <c r="B1198" s="711"/>
      <c r="C1198" s="711"/>
      <c r="D1198" s="711"/>
      <c r="E1198" s="711"/>
      <c r="F1198" s="711">
        <v>31</v>
      </c>
      <c r="G1198" s="711"/>
      <c r="H1198" s="711"/>
      <c r="I1198" s="711"/>
      <c r="J1198" s="711"/>
      <c r="K1198" s="711">
        <v>1</v>
      </c>
      <c r="L1198" s="711">
        <v>31</v>
      </c>
      <c r="M1198" s="711" t="s">
        <v>41</v>
      </c>
    </row>
    <row r="1199" spans="1:13">
      <c r="A1199" s="711" t="s">
        <v>2377</v>
      </c>
      <c r="B1199" s="711" t="s">
        <v>3099</v>
      </c>
      <c r="C1199" s="711" t="s">
        <v>2362</v>
      </c>
      <c r="D1199" s="711" t="s">
        <v>2464</v>
      </c>
      <c r="E1199" s="711"/>
      <c r="F1199" s="711">
        <v>2</v>
      </c>
      <c r="G1199" s="711">
        <v>3</v>
      </c>
      <c r="H1199" s="711">
        <v>1</v>
      </c>
      <c r="I1199" s="711">
        <v>25</v>
      </c>
      <c r="J1199" s="711"/>
      <c r="K1199" s="711">
        <v>4</v>
      </c>
      <c r="L1199" s="711">
        <v>2</v>
      </c>
      <c r="M1199" s="711" t="s">
        <v>3404</v>
      </c>
    </row>
    <row r="1200" spans="1:13">
      <c r="A1200" s="711" t="s">
        <v>2509</v>
      </c>
      <c r="B1200" s="711"/>
      <c r="C1200" s="711"/>
      <c r="D1200" s="711"/>
      <c r="E1200" s="711"/>
      <c r="F1200" s="711">
        <v>31</v>
      </c>
      <c r="G1200" s="711"/>
      <c r="H1200" s="711"/>
      <c r="I1200" s="711"/>
      <c r="J1200" s="711"/>
      <c r="K1200" s="711">
        <v>1</v>
      </c>
      <c r="L1200" s="711">
        <v>31</v>
      </c>
      <c r="M1200" s="711" t="s">
        <v>41</v>
      </c>
    </row>
    <row r="1201" spans="1:13">
      <c r="A1201" s="711" t="s">
        <v>3099</v>
      </c>
      <c r="B1201" s="711"/>
      <c r="C1201" s="711"/>
      <c r="D1201" s="711"/>
      <c r="E1201" s="711"/>
      <c r="F1201" s="711">
        <v>3</v>
      </c>
      <c r="G1201" s="711"/>
      <c r="H1201" s="711"/>
      <c r="I1201" s="711"/>
      <c r="J1201" s="711"/>
      <c r="K1201" s="711">
        <v>1</v>
      </c>
      <c r="L1201" s="711">
        <v>3</v>
      </c>
      <c r="M1201" s="711" t="s">
        <v>48</v>
      </c>
    </row>
  </sheetData>
  <phoneticPr fontId="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249977111117893"/>
  </sheetPr>
  <dimension ref="A3:AL90"/>
  <sheetViews>
    <sheetView showGridLines="0" topLeftCell="A26" zoomScale="85" zoomScaleNormal="85" workbookViewId="0">
      <selection activeCell="E61" sqref="E61"/>
    </sheetView>
  </sheetViews>
  <sheetFormatPr defaultColWidth="5.77734375" defaultRowHeight="13.8"/>
  <cols>
    <col min="4" max="18" width="7.77734375" customWidth="1"/>
    <col min="19" max="24" width="10.5546875" customWidth="1"/>
    <col min="25" max="26" width="8.21875" customWidth="1"/>
    <col min="29" max="29" width="10.5546875" bestFit="1" customWidth="1"/>
    <col min="30" max="30" width="11.77734375" bestFit="1" customWidth="1"/>
    <col min="31" max="31" width="7.5546875" bestFit="1" customWidth="1"/>
    <col min="32" max="32" width="9.5546875" bestFit="1" customWidth="1"/>
    <col min="33" max="33" width="6.21875" bestFit="1" customWidth="1"/>
    <col min="34" max="34" width="9.5546875" bestFit="1" customWidth="1"/>
    <col min="35" max="35" width="6.21875" bestFit="1" customWidth="1"/>
    <col min="36" max="36" width="11.109375" bestFit="1" customWidth="1"/>
    <col min="37" max="37" width="10.5546875" bestFit="1" customWidth="1"/>
    <col min="38" max="38" width="6.21875" bestFit="1" customWidth="1"/>
  </cols>
  <sheetData>
    <row r="3" spans="1:22">
      <c r="A3" s="202"/>
      <c r="B3" s="203"/>
      <c r="C3" s="204"/>
      <c r="D3" s="956" t="s">
        <v>1154</v>
      </c>
      <c r="E3" s="957"/>
      <c r="F3" s="957"/>
      <c r="G3" s="957"/>
      <c r="H3" s="957"/>
      <c r="I3" s="957"/>
      <c r="J3" s="957"/>
      <c r="K3" s="957"/>
      <c r="L3" s="957"/>
      <c r="M3" s="957"/>
      <c r="N3" s="957"/>
      <c r="O3" s="957"/>
      <c r="P3" s="957"/>
      <c r="Q3" s="957"/>
      <c r="R3" s="958"/>
    </row>
    <row r="4" spans="1:22" ht="32.4">
      <c r="A4" s="205"/>
      <c r="B4" s="206"/>
      <c r="C4" s="207"/>
      <c r="D4" s="208" t="s">
        <v>809</v>
      </c>
      <c r="E4" s="209" t="s">
        <v>649</v>
      </c>
      <c r="F4" s="209" t="s">
        <v>650</v>
      </c>
      <c r="G4" s="209" t="s">
        <v>651</v>
      </c>
      <c r="H4" s="209" t="s">
        <v>652</v>
      </c>
      <c r="I4" s="209" t="s">
        <v>653</v>
      </c>
      <c r="J4" s="209" t="s">
        <v>654</v>
      </c>
      <c r="K4" s="209" t="s">
        <v>655</v>
      </c>
      <c r="L4" s="209" t="s">
        <v>656</v>
      </c>
      <c r="M4" s="209" t="s">
        <v>657</v>
      </c>
      <c r="N4" s="209" t="s">
        <v>658</v>
      </c>
      <c r="O4" s="209" t="s">
        <v>659</v>
      </c>
      <c r="P4" s="209" t="s">
        <v>754</v>
      </c>
      <c r="Q4" s="209" t="s">
        <v>728</v>
      </c>
      <c r="R4" s="210" t="s">
        <v>755</v>
      </c>
      <c r="S4" t="s">
        <v>2334</v>
      </c>
    </row>
    <row r="5" spans="1:22">
      <c r="A5" s="211"/>
      <c r="B5" s="212"/>
      <c r="C5" s="213"/>
      <c r="D5" s="214" t="s">
        <v>1155</v>
      </c>
      <c r="E5" s="215" t="s">
        <v>1155</v>
      </c>
      <c r="F5" s="215" t="s">
        <v>1155</v>
      </c>
      <c r="G5" s="215" t="s">
        <v>1155</v>
      </c>
      <c r="H5" s="215" t="s">
        <v>1155</v>
      </c>
      <c r="I5" s="215" t="s">
        <v>1155</v>
      </c>
      <c r="J5" s="215" t="s">
        <v>1155</v>
      </c>
      <c r="K5" s="215" t="s">
        <v>1155</v>
      </c>
      <c r="L5" s="215" t="s">
        <v>1155</v>
      </c>
      <c r="M5" s="215" t="s">
        <v>1155</v>
      </c>
      <c r="N5" s="215" t="s">
        <v>1155</v>
      </c>
      <c r="O5" s="215" t="s">
        <v>1155</v>
      </c>
      <c r="P5" s="215" t="s">
        <v>1155</v>
      </c>
      <c r="Q5" s="215" t="s">
        <v>1155</v>
      </c>
      <c r="R5" s="216" t="s">
        <v>1155</v>
      </c>
    </row>
    <row r="6" spans="1:22">
      <c r="A6" s="217" t="s">
        <v>809</v>
      </c>
      <c r="B6" s="218"/>
      <c r="C6" s="219"/>
      <c r="D6" s="220">
        <v>1250</v>
      </c>
      <c r="E6" s="221">
        <v>86.960000000000008</v>
      </c>
      <c r="F6" s="221">
        <v>44.800000000000004</v>
      </c>
      <c r="G6" s="221">
        <v>42.16</v>
      </c>
      <c r="H6" s="221">
        <v>31.919999999999998</v>
      </c>
      <c r="I6" s="221">
        <v>55.679999999999993</v>
      </c>
      <c r="J6" s="221">
        <v>52.480000000000004</v>
      </c>
      <c r="K6" s="221">
        <v>25.44</v>
      </c>
      <c r="L6" s="221">
        <v>26.400000000000002</v>
      </c>
      <c r="M6" s="221">
        <v>36.559999999999995</v>
      </c>
      <c r="N6" s="221">
        <v>18.8</v>
      </c>
      <c r="O6" s="221">
        <v>44</v>
      </c>
      <c r="P6" s="221">
        <v>14.000000000000002</v>
      </c>
      <c r="Q6" s="221">
        <v>1.68</v>
      </c>
      <c r="R6" s="222">
        <v>0</v>
      </c>
      <c r="S6" t="e">
        <v>#NAME?</v>
      </c>
    </row>
    <row r="7" spans="1:22">
      <c r="A7" s="959" t="s">
        <v>807</v>
      </c>
      <c r="B7" s="223" t="s">
        <v>575</v>
      </c>
      <c r="C7" s="224" t="s">
        <v>1155</v>
      </c>
      <c r="D7" s="225">
        <v>250</v>
      </c>
      <c r="E7" s="226">
        <v>92.800000000000011</v>
      </c>
      <c r="F7" s="227">
        <v>37.200000000000003</v>
      </c>
      <c r="G7" s="228">
        <v>48</v>
      </c>
      <c r="H7" s="228">
        <v>38</v>
      </c>
      <c r="I7" s="229">
        <v>55.600000000000009</v>
      </c>
      <c r="J7" s="230">
        <v>40</v>
      </c>
      <c r="K7" s="229">
        <v>24.4</v>
      </c>
      <c r="L7" s="231">
        <v>39.200000000000003</v>
      </c>
      <c r="M7" s="229">
        <v>32.800000000000004</v>
      </c>
      <c r="N7" s="229">
        <v>18.8</v>
      </c>
      <c r="O7" s="232">
        <v>38.800000000000004</v>
      </c>
      <c r="P7" s="229">
        <v>14.799999999999999</v>
      </c>
      <c r="Q7" s="229">
        <v>1.2</v>
      </c>
      <c r="R7" s="233">
        <v>0</v>
      </c>
    </row>
    <row r="8" spans="1:22">
      <c r="A8" s="960"/>
      <c r="B8" s="234" t="s">
        <v>576</v>
      </c>
      <c r="C8" s="235" t="s">
        <v>1155</v>
      </c>
      <c r="D8" s="236">
        <v>250</v>
      </c>
      <c r="E8" s="237">
        <v>87.2</v>
      </c>
      <c r="F8" s="237">
        <v>43.6</v>
      </c>
      <c r="G8" s="237">
        <v>41.199999999999996</v>
      </c>
      <c r="H8" s="238">
        <v>38.4</v>
      </c>
      <c r="I8" s="237">
        <v>56.000000000000007</v>
      </c>
      <c r="J8" s="238">
        <v>58.8</v>
      </c>
      <c r="K8" s="237">
        <v>25.6</v>
      </c>
      <c r="L8" s="237">
        <v>26</v>
      </c>
      <c r="M8" s="237">
        <v>37.6</v>
      </c>
      <c r="N8" s="237">
        <v>19.600000000000001</v>
      </c>
      <c r="O8" s="237">
        <v>47.199999999999996</v>
      </c>
      <c r="P8" s="239">
        <v>18.8</v>
      </c>
      <c r="Q8" s="237">
        <v>2.8000000000000003</v>
      </c>
      <c r="R8" s="240">
        <v>0</v>
      </c>
    </row>
    <row r="9" spans="1:22">
      <c r="A9" s="960"/>
      <c r="B9" s="241" t="s">
        <v>723</v>
      </c>
      <c r="C9" s="242" t="s">
        <v>1155</v>
      </c>
      <c r="D9" s="236">
        <v>250</v>
      </c>
      <c r="E9" s="237">
        <v>86.4</v>
      </c>
      <c r="F9" s="243">
        <v>62.4</v>
      </c>
      <c r="G9" s="244">
        <v>35.6</v>
      </c>
      <c r="H9" s="244">
        <v>26.400000000000002</v>
      </c>
      <c r="I9" s="237">
        <v>53.2</v>
      </c>
      <c r="J9" s="237">
        <v>47.599999999999994</v>
      </c>
      <c r="K9" s="237">
        <v>24.8</v>
      </c>
      <c r="L9" s="245">
        <v>17.599999999999998</v>
      </c>
      <c r="M9" s="237">
        <v>32.800000000000004</v>
      </c>
      <c r="N9" s="237">
        <v>16.400000000000002</v>
      </c>
      <c r="O9" s="237">
        <v>45.6</v>
      </c>
      <c r="P9" s="237">
        <v>13.200000000000001</v>
      </c>
      <c r="Q9" s="237">
        <v>1.2</v>
      </c>
      <c r="R9" s="240">
        <v>0</v>
      </c>
    </row>
    <row r="10" spans="1:22">
      <c r="A10" s="960"/>
      <c r="B10" s="234" t="s">
        <v>578</v>
      </c>
      <c r="C10" s="235" t="s">
        <v>1155</v>
      </c>
      <c r="D10" s="236">
        <v>250</v>
      </c>
      <c r="E10" s="245">
        <v>81.599999999999994</v>
      </c>
      <c r="F10" s="237">
        <v>42</v>
      </c>
      <c r="G10" s="237">
        <v>41.6</v>
      </c>
      <c r="H10" s="244">
        <v>26.400000000000002</v>
      </c>
      <c r="I10" s="237">
        <v>58.8</v>
      </c>
      <c r="J10" s="237">
        <v>55.2</v>
      </c>
      <c r="K10" s="237">
        <v>22.400000000000002</v>
      </c>
      <c r="L10" s="245">
        <v>18.8</v>
      </c>
      <c r="M10" s="237">
        <v>34.799999999999997</v>
      </c>
      <c r="N10" s="237">
        <v>16.8</v>
      </c>
      <c r="O10" s="237">
        <v>39.6</v>
      </c>
      <c r="P10" s="246">
        <v>12</v>
      </c>
      <c r="Q10" s="237">
        <v>1.2</v>
      </c>
      <c r="R10" s="240">
        <v>0</v>
      </c>
    </row>
    <row r="11" spans="1:22">
      <c r="A11" s="961"/>
      <c r="B11" s="247" t="s">
        <v>724</v>
      </c>
      <c r="C11" s="248" t="s">
        <v>1155</v>
      </c>
      <c r="D11" s="249">
        <v>250</v>
      </c>
      <c r="E11" s="250">
        <v>86.8</v>
      </c>
      <c r="F11" s="251">
        <v>38.800000000000004</v>
      </c>
      <c r="G11" s="250">
        <v>44.4</v>
      </c>
      <c r="H11" s="250">
        <v>30.4</v>
      </c>
      <c r="I11" s="250">
        <v>54.800000000000004</v>
      </c>
      <c r="J11" s="252">
        <v>60.8</v>
      </c>
      <c r="K11" s="253">
        <v>30</v>
      </c>
      <c r="L11" s="250">
        <v>30.4</v>
      </c>
      <c r="M11" s="252">
        <v>44.800000000000004</v>
      </c>
      <c r="N11" s="250">
        <v>22.400000000000002</v>
      </c>
      <c r="O11" s="250">
        <v>48.8</v>
      </c>
      <c r="P11" s="250">
        <v>11.200000000000001</v>
      </c>
      <c r="Q11" s="250">
        <v>2</v>
      </c>
      <c r="R11" s="254">
        <v>0</v>
      </c>
    </row>
    <row r="12" spans="1:22" ht="32.4">
      <c r="A12" s="205"/>
      <c r="B12" s="206"/>
      <c r="C12" s="207"/>
      <c r="D12" s="208" t="s">
        <v>809</v>
      </c>
      <c r="E12" s="209" t="s">
        <v>649</v>
      </c>
      <c r="F12" s="209" t="s">
        <v>650</v>
      </c>
      <c r="G12" s="209" t="s">
        <v>651</v>
      </c>
      <c r="H12" s="209" t="s">
        <v>652</v>
      </c>
      <c r="I12" s="209" t="s">
        <v>653</v>
      </c>
      <c r="J12" s="209" t="s">
        <v>654</v>
      </c>
      <c r="K12" s="209" t="s">
        <v>655</v>
      </c>
      <c r="L12" s="209" t="s">
        <v>656</v>
      </c>
      <c r="M12" s="209" t="s">
        <v>657</v>
      </c>
      <c r="N12" s="209" t="s">
        <v>658</v>
      </c>
      <c r="O12" s="209" t="s">
        <v>659</v>
      </c>
      <c r="P12" s="209" t="s">
        <v>754</v>
      </c>
      <c r="Q12" s="209" t="s">
        <v>728</v>
      </c>
      <c r="R12" s="210" t="s">
        <v>755</v>
      </c>
      <c r="S12" t="e">
        <v>#NAME?</v>
      </c>
    </row>
    <row r="13" spans="1:22">
      <c r="A13" s="211"/>
      <c r="B13" s="212"/>
      <c r="C13" s="213"/>
      <c r="D13" s="214" t="s">
        <v>1155</v>
      </c>
      <c r="E13" s="215" t="s">
        <v>1155</v>
      </c>
      <c r="F13" s="215" t="s">
        <v>1155</v>
      </c>
      <c r="G13" s="215" t="s">
        <v>1155</v>
      </c>
      <c r="H13" s="215" t="s">
        <v>1155</v>
      </c>
      <c r="I13" s="215" t="s">
        <v>1155</v>
      </c>
      <c r="J13" s="215" t="s">
        <v>1155</v>
      </c>
      <c r="K13" s="215" t="s">
        <v>1155</v>
      </c>
      <c r="L13" s="215" t="s">
        <v>1155</v>
      </c>
      <c r="M13" s="215" t="s">
        <v>1155</v>
      </c>
      <c r="N13" s="215" t="s">
        <v>1155</v>
      </c>
      <c r="O13" s="215" t="s">
        <v>1155</v>
      </c>
      <c r="P13" s="215" t="s">
        <v>1155</v>
      </c>
      <c r="Q13" s="215" t="s">
        <v>1155</v>
      </c>
      <c r="R13" s="216" t="s">
        <v>1155</v>
      </c>
      <c r="V13" t="e">
        <v>#NAME?</v>
      </c>
    </row>
    <row r="14" spans="1:22">
      <c r="A14" s="217" t="s">
        <v>809</v>
      </c>
      <c r="B14" s="218"/>
      <c r="C14" s="255"/>
      <c r="D14" s="256">
        <v>1250</v>
      </c>
      <c r="E14" s="257">
        <v>86.960000000000008</v>
      </c>
      <c r="F14" s="257">
        <v>44.800000000000004</v>
      </c>
      <c r="G14" s="257">
        <v>42.16</v>
      </c>
      <c r="H14" s="257">
        <v>31.919999999999998</v>
      </c>
      <c r="I14" s="257">
        <v>55.679999999999993</v>
      </c>
      <c r="J14" s="257">
        <v>52.480000000000004</v>
      </c>
      <c r="K14" s="257">
        <v>25.44</v>
      </c>
      <c r="L14" s="257">
        <v>26.400000000000002</v>
      </c>
      <c r="M14" s="257">
        <v>36.559999999999995</v>
      </c>
      <c r="N14" s="257">
        <v>18.8</v>
      </c>
      <c r="O14" s="257">
        <v>44</v>
      </c>
      <c r="P14" s="257">
        <v>14.000000000000002</v>
      </c>
      <c r="Q14" s="257">
        <v>1.68</v>
      </c>
      <c r="R14" s="258">
        <v>0</v>
      </c>
      <c r="T14" t="s">
        <v>1156</v>
      </c>
    </row>
    <row r="15" spans="1:22">
      <c r="A15" s="959" t="s">
        <v>807</v>
      </c>
      <c r="B15" s="223" t="s">
        <v>2231</v>
      </c>
      <c r="C15" s="224"/>
      <c r="D15" s="448">
        <v>200</v>
      </c>
      <c r="E15" s="495">
        <v>92.800000000000011</v>
      </c>
      <c r="F15" s="261">
        <v>37.200000000000003</v>
      </c>
      <c r="G15" s="262">
        <v>48</v>
      </c>
      <c r="H15" s="505">
        <v>38</v>
      </c>
      <c r="I15" s="263">
        <v>55.600000000000009</v>
      </c>
      <c r="J15" s="500">
        <v>40</v>
      </c>
      <c r="K15" s="263">
        <v>24.4</v>
      </c>
      <c r="L15" s="260">
        <v>39.200000000000003</v>
      </c>
      <c r="M15" s="263">
        <v>32.800000000000004</v>
      </c>
      <c r="N15" s="263">
        <v>18.8</v>
      </c>
      <c r="O15" s="263">
        <v>38.800000000000004</v>
      </c>
      <c r="P15" s="263">
        <v>14.799999999999999</v>
      </c>
      <c r="Q15" s="263">
        <v>1.2</v>
      </c>
      <c r="R15" s="264">
        <v>0</v>
      </c>
      <c r="T15" t="s">
        <v>1157</v>
      </c>
    </row>
    <row r="16" spans="1:22">
      <c r="A16" s="960"/>
      <c r="B16" s="234" t="s">
        <v>2232</v>
      </c>
      <c r="C16" s="235"/>
      <c r="D16" s="265">
        <v>250</v>
      </c>
      <c r="E16" s="496">
        <v>87.2</v>
      </c>
      <c r="F16" s="201">
        <v>43.6</v>
      </c>
      <c r="G16" s="201">
        <v>41.199999999999996</v>
      </c>
      <c r="H16" s="506">
        <v>38.4</v>
      </c>
      <c r="I16" s="201">
        <v>56.000000000000007</v>
      </c>
      <c r="J16" s="501">
        <v>58.8</v>
      </c>
      <c r="K16" s="201">
        <v>25.6</v>
      </c>
      <c r="L16" s="201">
        <v>26</v>
      </c>
      <c r="M16" s="201">
        <v>37.6</v>
      </c>
      <c r="N16" s="201">
        <v>19.600000000000001</v>
      </c>
      <c r="O16" s="201">
        <v>47.199999999999996</v>
      </c>
      <c r="P16" s="266">
        <v>18.8</v>
      </c>
      <c r="Q16" s="201">
        <v>2.8</v>
      </c>
      <c r="R16" s="267">
        <v>0</v>
      </c>
    </row>
    <row r="17" spans="1:18">
      <c r="A17" s="960"/>
      <c r="B17" s="241" t="s">
        <v>2233</v>
      </c>
      <c r="C17" s="242"/>
      <c r="D17" s="265">
        <v>250</v>
      </c>
      <c r="E17" s="497">
        <v>86.4</v>
      </c>
      <c r="F17" s="268">
        <v>62.4</v>
      </c>
      <c r="G17" s="269">
        <v>35.6</v>
      </c>
      <c r="H17" s="507">
        <v>26.400000000000002</v>
      </c>
      <c r="I17" s="201">
        <v>53.2</v>
      </c>
      <c r="J17" s="502">
        <v>47.599999999999994</v>
      </c>
      <c r="K17" s="201">
        <v>24.8</v>
      </c>
      <c r="L17" s="270">
        <v>17.599999999999998</v>
      </c>
      <c r="M17" s="201">
        <v>32.800000000000004</v>
      </c>
      <c r="N17" s="201">
        <v>16.400000000000002</v>
      </c>
      <c r="O17" s="201">
        <v>45.6</v>
      </c>
      <c r="P17" s="201">
        <v>13.200000000000001</v>
      </c>
      <c r="Q17" s="201">
        <v>1.2</v>
      </c>
      <c r="R17" s="267">
        <v>0</v>
      </c>
    </row>
    <row r="18" spans="1:18">
      <c r="A18" s="960"/>
      <c r="B18" s="234" t="s">
        <v>2234</v>
      </c>
      <c r="C18" s="235"/>
      <c r="D18" s="265">
        <v>250</v>
      </c>
      <c r="E18" s="498">
        <v>81.599999999999994</v>
      </c>
      <c r="F18" s="201">
        <v>42</v>
      </c>
      <c r="G18" s="201">
        <v>41.6</v>
      </c>
      <c r="H18" s="507">
        <v>26.400000000000002</v>
      </c>
      <c r="I18" s="201">
        <v>58.8</v>
      </c>
      <c r="J18" s="503">
        <v>55.2</v>
      </c>
      <c r="K18" s="201">
        <v>22.400000000000002</v>
      </c>
      <c r="L18" s="270">
        <v>18.8</v>
      </c>
      <c r="M18" s="201">
        <v>34.799999999999997</v>
      </c>
      <c r="N18" s="201">
        <v>16.8</v>
      </c>
      <c r="O18" s="201">
        <v>39.6</v>
      </c>
      <c r="P18" s="201">
        <v>12</v>
      </c>
      <c r="Q18" s="201">
        <v>1.2</v>
      </c>
      <c r="R18" s="267">
        <v>0</v>
      </c>
    </row>
    <row r="19" spans="1:18">
      <c r="A19" s="961"/>
      <c r="B19" s="247" t="s">
        <v>2235</v>
      </c>
      <c r="C19" s="248"/>
      <c r="D19" s="271">
        <v>250</v>
      </c>
      <c r="E19" s="499">
        <v>86.8</v>
      </c>
      <c r="F19" s="273">
        <v>38.800000000000004</v>
      </c>
      <c r="G19" s="272">
        <v>44.4</v>
      </c>
      <c r="H19" s="508">
        <v>30.4</v>
      </c>
      <c r="I19" s="272">
        <v>54.800000000000004</v>
      </c>
      <c r="J19" s="504">
        <v>60.8</v>
      </c>
      <c r="K19" s="275">
        <v>30</v>
      </c>
      <c r="L19" s="275">
        <v>30.4</v>
      </c>
      <c r="M19" s="274">
        <v>44.800000000000004</v>
      </c>
      <c r="N19" s="275">
        <v>22.400000000000002</v>
      </c>
      <c r="O19" s="275">
        <v>48.8</v>
      </c>
      <c r="P19" s="272">
        <v>11.200000000000001</v>
      </c>
      <c r="Q19" s="272">
        <v>2</v>
      </c>
      <c r="R19" s="276">
        <v>0</v>
      </c>
    </row>
    <row r="20" spans="1:18" ht="32.4">
      <c r="A20" s="205"/>
      <c r="B20" s="206"/>
      <c r="C20" s="207"/>
      <c r="D20" s="208" t="s">
        <v>809</v>
      </c>
      <c r="E20" s="209" t="s">
        <v>649</v>
      </c>
      <c r="F20" s="209" t="s">
        <v>650</v>
      </c>
      <c r="G20" s="209" t="s">
        <v>651</v>
      </c>
      <c r="H20" s="209" t="s">
        <v>652</v>
      </c>
      <c r="I20" s="209" t="s">
        <v>653</v>
      </c>
      <c r="J20" s="209" t="s">
        <v>654</v>
      </c>
      <c r="K20" s="209" t="s">
        <v>655</v>
      </c>
      <c r="L20" s="209" t="s">
        <v>656</v>
      </c>
      <c r="M20" s="209" t="s">
        <v>657</v>
      </c>
      <c r="N20" s="209" t="s">
        <v>658</v>
      </c>
      <c r="O20" s="209" t="s">
        <v>659</v>
      </c>
      <c r="P20" s="209" t="s">
        <v>754</v>
      </c>
      <c r="Q20" s="209" t="s">
        <v>728</v>
      </c>
      <c r="R20" s="210" t="s">
        <v>755</v>
      </c>
    </row>
    <row r="21" spans="1:18">
      <c r="A21" s="211"/>
      <c r="B21" s="212"/>
      <c r="C21" s="213"/>
      <c r="D21" s="214" t="s">
        <v>1155</v>
      </c>
      <c r="E21" s="215" t="s">
        <v>1155</v>
      </c>
      <c r="F21" s="215" t="s">
        <v>1155</v>
      </c>
      <c r="G21" s="215" t="s">
        <v>1155</v>
      </c>
      <c r="H21" s="215" t="s">
        <v>1155</v>
      </c>
      <c r="I21" s="215" t="s">
        <v>1155</v>
      </c>
      <c r="J21" s="215" t="s">
        <v>1155</v>
      </c>
      <c r="K21" s="215" t="s">
        <v>1155</v>
      </c>
      <c r="L21" s="215" t="s">
        <v>1155</v>
      </c>
      <c r="M21" s="215" t="s">
        <v>1155</v>
      </c>
      <c r="N21" s="215" t="s">
        <v>1155</v>
      </c>
      <c r="O21" s="215" t="s">
        <v>1155</v>
      </c>
      <c r="P21" s="215" t="s">
        <v>1155</v>
      </c>
      <c r="Q21" s="215" t="s">
        <v>1155</v>
      </c>
      <c r="R21" s="216" t="s">
        <v>1155</v>
      </c>
    </row>
    <row r="22" spans="1:18">
      <c r="A22" s="217" t="s">
        <v>809</v>
      </c>
      <c r="B22" s="218"/>
      <c r="C22" s="255"/>
      <c r="D22" s="277">
        <v>1250</v>
      </c>
      <c r="E22" s="221">
        <v>42.16</v>
      </c>
      <c r="F22" s="257">
        <v>44.800000000000004</v>
      </c>
      <c r="G22" s="257">
        <v>42.16</v>
      </c>
      <c r="H22" s="257">
        <v>31.919999999999998</v>
      </c>
      <c r="I22" s="257">
        <v>55.679999999999993</v>
      </c>
      <c r="J22" s="257">
        <v>52.480000000000004</v>
      </c>
      <c r="K22" s="257">
        <v>25.44</v>
      </c>
      <c r="L22" s="257">
        <v>26.400000000000002</v>
      </c>
      <c r="M22" s="257">
        <v>36.559999999999995</v>
      </c>
      <c r="N22" s="257">
        <v>18.8</v>
      </c>
      <c r="O22" s="257">
        <v>44</v>
      </c>
      <c r="P22" s="257">
        <v>14.000000000000002</v>
      </c>
      <c r="Q22" s="257">
        <v>1.68</v>
      </c>
      <c r="R22" s="258">
        <v>0.1</v>
      </c>
    </row>
    <row r="23" spans="1:18">
      <c r="A23" s="959" t="s">
        <v>807</v>
      </c>
      <c r="B23" s="223" t="s">
        <v>575</v>
      </c>
      <c r="C23" s="224" t="s">
        <v>1158</v>
      </c>
      <c r="D23" s="278">
        <v>250</v>
      </c>
      <c r="E23" s="279">
        <v>48</v>
      </c>
      <c r="F23" s="230">
        <v>37.200000000000003</v>
      </c>
      <c r="G23" s="228">
        <v>48</v>
      </c>
      <c r="H23" s="476">
        <v>38</v>
      </c>
      <c r="I23" s="177">
        <v>55.600000000000009</v>
      </c>
      <c r="J23" s="230">
        <v>40</v>
      </c>
      <c r="K23" s="177">
        <v>24.4</v>
      </c>
      <c r="L23" s="477">
        <v>39.200000000000003</v>
      </c>
      <c r="M23" s="188">
        <v>32.800000000000004</v>
      </c>
      <c r="N23" s="177">
        <v>18.8</v>
      </c>
      <c r="O23" s="478">
        <v>38.800000000000004</v>
      </c>
      <c r="P23" s="177">
        <v>14.799999999999999</v>
      </c>
      <c r="Q23" s="188">
        <v>1.2</v>
      </c>
      <c r="R23" s="479">
        <v>0</v>
      </c>
    </row>
    <row r="24" spans="1:18">
      <c r="A24" s="960"/>
      <c r="B24" s="234" t="s">
        <v>576</v>
      </c>
      <c r="C24" s="235" t="s">
        <v>1159</v>
      </c>
      <c r="D24" s="280">
        <v>250</v>
      </c>
      <c r="E24" s="480">
        <v>41.199999999999996</v>
      </c>
      <c r="F24" s="178">
        <v>43.6</v>
      </c>
      <c r="G24" s="178">
        <v>41.199999999999996</v>
      </c>
      <c r="H24" s="481">
        <v>38.4</v>
      </c>
      <c r="I24" s="178">
        <v>56.000000000000007</v>
      </c>
      <c r="J24" s="238">
        <v>58.8</v>
      </c>
      <c r="K24" s="178">
        <v>25.6</v>
      </c>
      <c r="L24" s="178">
        <v>26</v>
      </c>
      <c r="M24" s="178">
        <v>37.6</v>
      </c>
      <c r="N24" s="178">
        <v>19.600000000000001</v>
      </c>
      <c r="O24" s="178">
        <v>47.199999999999996</v>
      </c>
      <c r="P24" s="481">
        <v>18.8</v>
      </c>
      <c r="Q24" s="180">
        <v>2.8000000000000003</v>
      </c>
      <c r="R24" s="482">
        <v>0</v>
      </c>
    </row>
    <row r="25" spans="1:18">
      <c r="A25" s="960"/>
      <c r="B25" s="241" t="s">
        <v>723</v>
      </c>
      <c r="C25" s="242" t="s">
        <v>1160</v>
      </c>
      <c r="D25" s="280">
        <v>250</v>
      </c>
      <c r="E25" s="483">
        <v>35.6</v>
      </c>
      <c r="F25" s="481">
        <v>62.4</v>
      </c>
      <c r="G25" s="484">
        <v>35.6</v>
      </c>
      <c r="H25" s="485">
        <v>26.400000000000002</v>
      </c>
      <c r="I25" s="178">
        <v>53.2</v>
      </c>
      <c r="J25" s="178">
        <v>47.599999999999994</v>
      </c>
      <c r="K25" s="178">
        <v>24.8</v>
      </c>
      <c r="L25" s="484">
        <v>17.599999999999998</v>
      </c>
      <c r="M25" s="182">
        <v>32.800000000000004</v>
      </c>
      <c r="N25" s="182">
        <v>16.400000000000002</v>
      </c>
      <c r="O25" s="178">
        <v>45.6</v>
      </c>
      <c r="P25" s="178">
        <v>13.200000000000001</v>
      </c>
      <c r="Q25" s="182">
        <v>1.2</v>
      </c>
      <c r="R25" s="482">
        <v>0</v>
      </c>
    </row>
    <row r="26" spans="1:18">
      <c r="A26" s="960"/>
      <c r="B26" s="234" t="s">
        <v>578</v>
      </c>
      <c r="C26" s="235" t="s">
        <v>1161</v>
      </c>
      <c r="D26" s="280">
        <v>250</v>
      </c>
      <c r="E26" s="480">
        <v>41.6</v>
      </c>
      <c r="F26" s="178">
        <v>42</v>
      </c>
      <c r="G26" s="178">
        <v>41.6</v>
      </c>
      <c r="H26" s="485">
        <v>26.400000000000002</v>
      </c>
      <c r="I26" s="178">
        <v>58.8</v>
      </c>
      <c r="J26" s="178">
        <v>55.2</v>
      </c>
      <c r="K26" s="182">
        <v>22.400000000000002</v>
      </c>
      <c r="L26" s="484">
        <v>18.8</v>
      </c>
      <c r="M26" s="178">
        <v>34.799999999999997</v>
      </c>
      <c r="N26" s="182">
        <v>16.8</v>
      </c>
      <c r="O26" s="182">
        <v>39.6</v>
      </c>
      <c r="P26" s="182">
        <v>12</v>
      </c>
      <c r="Q26" s="182">
        <v>1.2</v>
      </c>
      <c r="R26" s="482">
        <v>0</v>
      </c>
    </row>
    <row r="27" spans="1:18">
      <c r="A27" s="961"/>
      <c r="B27" s="247" t="s">
        <v>724</v>
      </c>
      <c r="C27" s="248" t="s">
        <v>1162</v>
      </c>
      <c r="D27" s="281">
        <v>250</v>
      </c>
      <c r="E27" s="486">
        <v>44.4</v>
      </c>
      <c r="F27" s="487">
        <v>38.800000000000004</v>
      </c>
      <c r="G27" s="488">
        <v>44.4</v>
      </c>
      <c r="H27" s="488">
        <v>30.4</v>
      </c>
      <c r="I27" s="488">
        <v>54.800000000000004</v>
      </c>
      <c r="J27" s="489">
        <v>60.8</v>
      </c>
      <c r="K27" s="490">
        <v>30</v>
      </c>
      <c r="L27" s="491">
        <v>30.4</v>
      </c>
      <c r="M27" s="492">
        <v>44.800000000000004</v>
      </c>
      <c r="N27" s="491">
        <v>22.400000000000002</v>
      </c>
      <c r="O27" s="491">
        <v>48.8</v>
      </c>
      <c r="P27" s="493">
        <v>11.200000000000001</v>
      </c>
      <c r="Q27" s="491">
        <v>2</v>
      </c>
      <c r="R27" s="494">
        <v>0</v>
      </c>
    </row>
    <row r="28" spans="1:18">
      <c r="E28" s="189"/>
      <c r="F28" s="189"/>
      <c r="G28" s="189"/>
      <c r="H28" s="189"/>
      <c r="I28" s="189"/>
      <c r="J28" s="189"/>
      <c r="K28" s="189"/>
      <c r="L28" s="189"/>
      <c r="M28" s="189"/>
      <c r="N28" s="189"/>
      <c r="O28" s="189"/>
      <c r="P28" s="189"/>
      <c r="Q28" s="189"/>
      <c r="R28" s="189"/>
    </row>
    <row r="29" spans="1:18">
      <c r="E29" s="189"/>
      <c r="F29" s="189"/>
      <c r="G29" s="189"/>
      <c r="H29" s="189"/>
      <c r="I29" s="189"/>
      <c r="J29" s="189"/>
      <c r="K29" s="189"/>
      <c r="L29" s="189"/>
      <c r="M29" s="189"/>
      <c r="N29" s="189"/>
      <c r="O29" s="189"/>
      <c r="P29" s="189"/>
      <c r="Q29" s="189"/>
      <c r="R29" s="189"/>
    </row>
    <row r="30" spans="1:18">
      <c r="E30" s="189"/>
      <c r="F30" s="189"/>
      <c r="G30" s="189"/>
      <c r="H30" s="189"/>
      <c r="I30" s="189"/>
      <c r="J30" s="189"/>
      <c r="K30" s="189"/>
      <c r="L30" s="189"/>
      <c r="M30" s="189"/>
      <c r="N30" s="189"/>
      <c r="O30" s="189"/>
      <c r="P30" s="189"/>
      <c r="Q30" s="189"/>
      <c r="R30" s="189"/>
    </row>
    <row r="31" spans="1:18">
      <c r="D31" s="256">
        <v>1250</v>
      </c>
      <c r="E31" s="473">
        <v>42.16</v>
      </c>
      <c r="F31" s="474">
        <v>44.800000000000004</v>
      </c>
      <c r="G31" s="474">
        <v>42.16</v>
      </c>
      <c r="H31" s="474">
        <v>31.919999999999998</v>
      </c>
      <c r="I31" s="474">
        <v>55.679999999999993</v>
      </c>
      <c r="J31" s="474">
        <v>52.480000000000004</v>
      </c>
      <c r="K31" s="474">
        <v>25.44</v>
      </c>
      <c r="L31" s="474">
        <v>26.400000000000002</v>
      </c>
      <c r="M31" s="474">
        <v>36.559999999999995</v>
      </c>
      <c r="N31" s="474">
        <v>18.8</v>
      </c>
      <c r="O31" s="474">
        <v>44</v>
      </c>
      <c r="P31" s="474">
        <v>14.000000000000002</v>
      </c>
      <c r="Q31" s="474">
        <v>1.68</v>
      </c>
      <c r="R31" s="475">
        <v>0.1</v>
      </c>
    </row>
    <row r="32" spans="1:18">
      <c r="C32" t="s">
        <v>2236</v>
      </c>
      <c r="D32" s="259">
        <v>250</v>
      </c>
      <c r="E32" s="453">
        <v>92.800000000000011</v>
      </c>
      <c r="F32" s="456">
        <v>37.200000000000003</v>
      </c>
      <c r="G32" s="459">
        <v>48</v>
      </c>
      <c r="H32" s="459">
        <v>38</v>
      </c>
      <c r="I32" s="463">
        <v>55.600000000000009</v>
      </c>
      <c r="J32" s="464">
        <v>40</v>
      </c>
      <c r="K32" s="463">
        <v>24.4</v>
      </c>
      <c r="L32" s="453">
        <v>39.200000000000003</v>
      </c>
      <c r="M32" s="463">
        <v>32.800000000000004</v>
      </c>
      <c r="N32" s="463">
        <v>18.8</v>
      </c>
      <c r="O32" s="468">
        <v>38.800000000000004</v>
      </c>
      <c r="P32" s="463">
        <v>14.799999999999999</v>
      </c>
      <c r="Q32" s="463">
        <v>1.2</v>
      </c>
      <c r="R32" s="470">
        <v>0</v>
      </c>
    </row>
    <row r="33" spans="3:26">
      <c r="C33" t="s">
        <v>2238</v>
      </c>
      <c r="D33" s="259">
        <v>200</v>
      </c>
      <c r="E33" s="454">
        <v>87.2</v>
      </c>
      <c r="F33" s="457">
        <v>43.6</v>
      </c>
      <c r="G33" s="457">
        <v>41.199999999999996</v>
      </c>
      <c r="H33" s="461">
        <v>38.4</v>
      </c>
      <c r="I33" s="457">
        <v>56.000000000000007</v>
      </c>
      <c r="J33" s="461">
        <v>58.8</v>
      </c>
      <c r="K33" s="457">
        <v>25.6</v>
      </c>
      <c r="L33" s="457">
        <v>26</v>
      </c>
      <c r="M33" s="457">
        <v>37.6</v>
      </c>
      <c r="N33" s="457">
        <v>19.600000000000001</v>
      </c>
      <c r="O33" s="457">
        <v>47.199999999999996</v>
      </c>
      <c r="P33" s="469">
        <v>18.8</v>
      </c>
      <c r="Q33" s="457">
        <v>2.8000000000000003</v>
      </c>
      <c r="R33" s="471">
        <v>0</v>
      </c>
    </row>
    <row r="34" spans="3:26">
      <c r="C34" t="s">
        <v>2239</v>
      </c>
      <c r="D34" s="282">
        <v>20</v>
      </c>
      <c r="E34" s="449">
        <v>86.4</v>
      </c>
      <c r="F34" s="451">
        <v>62.4</v>
      </c>
      <c r="G34" s="449">
        <v>35.6</v>
      </c>
      <c r="H34" s="449">
        <v>26.400000000000002</v>
      </c>
      <c r="I34" s="449">
        <v>53.2</v>
      </c>
      <c r="J34" s="449">
        <v>47.599999999999994</v>
      </c>
      <c r="K34" s="449">
        <v>24.8</v>
      </c>
      <c r="L34" s="449">
        <v>17.599999999999998</v>
      </c>
      <c r="M34" s="449">
        <v>32.800000000000004</v>
      </c>
      <c r="N34" s="449">
        <v>16.400000000000002</v>
      </c>
      <c r="O34" s="449">
        <v>45.6</v>
      </c>
      <c r="P34" s="449">
        <v>13.200000000000001</v>
      </c>
      <c r="Q34" s="449">
        <v>1.2</v>
      </c>
      <c r="R34" s="450">
        <v>0</v>
      </c>
    </row>
    <row r="35" spans="3:26">
      <c r="C35" t="s">
        <v>2240</v>
      </c>
      <c r="D35" s="265">
        <v>250</v>
      </c>
      <c r="E35" s="454">
        <v>81.599999999999994</v>
      </c>
      <c r="F35" s="457">
        <v>42</v>
      </c>
      <c r="G35" s="457">
        <v>41.6</v>
      </c>
      <c r="H35" s="462">
        <v>26.400000000000002</v>
      </c>
      <c r="I35" s="457">
        <v>58.8</v>
      </c>
      <c r="J35" s="457">
        <v>55.2</v>
      </c>
      <c r="K35" s="457">
        <v>22.400000000000002</v>
      </c>
      <c r="L35" s="467">
        <v>18.8</v>
      </c>
      <c r="M35" s="457">
        <v>34.799999999999997</v>
      </c>
      <c r="N35" s="457">
        <v>16.8</v>
      </c>
      <c r="O35" s="457">
        <v>39.6</v>
      </c>
      <c r="P35" s="457">
        <v>12</v>
      </c>
      <c r="Q35" s="457">
        <v>1.2</v>
      </c>
      <c r="R35" s="471">
        <v>0</v>
      </c>
    </row>
    <row r="36" spans="3:26">
      <c r="C36" t="s">
        <v>2237</v>
      </c>
      <c r="D36" s="271">
        <v>250</v>
      </c>
      <c r="E36" s="455">
        <v>86.8</v>
      </c>
      <c r="F36" s="458">
        <v>38.800000000000004</v>
      </c>
      <c r="G36" s="460">
        <v>44.4</v>
      </c>
      <c r="H36" s="460">
        <v>30.4</v>
      </c>
      <c r="I36" s="460">
        <v>54.800000000000004</v>
      </c>
      <c r="J36" s="465">
        <v>60.8</v>
      </c>
      <c r="K36" s="466">
        <v>30</v>
      </c>
      <c r="L36" s="466">
        <v>30.4</v>
      </c>
      <c r="M36" s="465">
        <v>44.800000000000004</v>
      </c>
      <c r="N36" s="466">
        <v>22.400000000000002</v>
      </c>
      <c r="O36" s="466">
        <v>48.8</v>
      </c>
      <c r="P36" s="460">
        <v>11.200000000000001</v>
      </c>
      <c r="Q36" s="460">
        <v>2</v>
      </c>
      <c r="R36" s="472">
        <v>0</v>
      </c>
    </row>
    <row r="37" spans="3:26">
      <c r="E37" s="189"/>
      <c r="F37" s="189"/>
      <c r="G37" s="189"/>
      <c r="H37" s="189"/>
      <c r="I37" s="189"/>
      <c r="J37" s="189"/>
      <c r="K37" s="189"/>
      <c r="L37" s="189"/>
      <c r="M37" s="189"/>
      <c r="N37" s="189"/>
      <c r="O37" s="189"/>
      <c r="P37" s="189"/>
      <c r="Q37" s="189"/>
      <c r="R37" s="189"/>
    </row>
    <row r="38" spans="3:26">
      <c r="D38" s="283">
        <f>D32+D33</f>
        <v>450</v>
      </c>
      <c r="E38" s="452"/>
      <c r="F38" s="452"/>
      <c r="G38" s="452"/>
      <c r="H38" s="452"/>
      <c r="I38" s="452"/>
      <c r="J38" s="452"/>
      <c r="K38" s="452"/>
      <c r="L38" s="452"/>
      <c r="M38" s="452"/>
      <c r="N38" s="452"/>
      <c r="O38" s="452"/>
      <c r="P38" s="452"/>
      <c r="Q38" s="189"/>
      <c r="R38" s="189"/>
    </row>
    <row r="39" spans="3:26">
      <c r="E39" s="189"/>
      <c r="F39" s="189"/>
      <c r="G39" s="189"/>
      <c r="H39" s="189"/>
      <c r="I39" s="189"/>
      <c r="J39" s="189"/>
      <c r="K39" s="189"/>
      <c r="L39" s="189"/>
      <c r="M39" s="189"/>
      <c r="N39" s="189"/>
      <c r="O39" s="189"/>
      <c r="P39" s="189"/>
      <c r="Q39" s="189"/>
      <c r="R39" s="189"/>
    </row>
    <row r="40" spans="3:26">
      <c r="E40" s="284" t="s">
        <v>1168</v>
      </c>
    </row>
    <row r="47" spans="3:26">
      <c r="D47" s="329">
        <v>1250</v>
      </c>
      <c r="E47" s="330">
        <v>86.960000000000008</v>
      </c>
      <c r="F47" s="330">
        <v>44.800000000000004</v>
      </c>
      <c r="G47" s="330">
        <v>42.16</v>
      </c>
      <c r="H47" s="330">
        <v>31.919999999999998</v>
      </c>
      <c r="I47" s="330">
        <v>55.679999999999993</v>
      </c>
      <c r="J47" s="330">
        <v>52.480000000000004</v>
      </c>
      <c r="K47" s="330">
        <v>25.44</v>
      </c>
      <c r="L47" s="330">
        <v>26.400000000000002</v>
      </c>
      <c r="M47" s="330">
        <v>36.559999999999995</v>
      </c>
      <c r="N47" s="330">
        <v>18.8</v>
      </c>
      <c r="O47" s="330">
        <v>44</v>
      </c>
      <c r="P47" s="330">
        <v>14.000000000000002</v>
      </c>
      <c r="Q47" s="330">
        <v>1.68</v>
      </c>
      <c r="R47" s="331">
        <v>0.1</v>
      </c>
      <c r="V47" t="s">
        <v>1163</v>
      </c>
      <c r="W47" t="s">
        <v>1164</v>
      </c>
      <c r="X47" t="s">
        <v>1165</v>
      </c>
      <c r="Y47" t="s">
        <v>1166</v>
      </c>
      <c r="Z47" t="s">
        <v>1167</v>
      </c>
    </row>
    <row r="48" spans="3:26">
      <c r="C48" t="s">
        <v>1163</v>
      </c>
      <c r="D48" s="332">
        <v>200</v>
      </c>
      <c r="E48" s="509">
        <v>92.800000000000011</v>
      </c>
      <c r="F48" s="510">
        <v>37.200000000000003</v>
      </c>
      <c r="G48" s="511">
        <v>48</v>
      </c>
      <c r="H48" s="511">
        <v>38</v>
      </c>
      <c r="I48" s="509">
        <v>55.600000000000009</v>
      </c>
      <c r="J48" s="510">
        <v>40</v>
      </c>
      <c r="K48" s="509">
        <v>24.4</v>
      </c>
      <c r="L48" s="512">
        <v>39.200000000000003</v>
      </c>
      <c r="M48" s="510">
        <v>32.800000000000004</v>
      </c>
      <c r="N48" s="509">
        <v>18.8</v>
      </c>
      <c r="O48" s="510">
        <v>38.800000000000004</v>
      </c>
      <c r="P48" s="509">
        <v>14.799999999999999</v>
      </c>
      <c r="Q48" s="510">
        <v>1.2</v>
      </c>
      <c r="R48" s="521">
        <v>0</v>
      </c>
      <c r="V48" s="259">
        <v>250</v>
      </c>
      <c r="W48" s="265">
        <v>250</v>
      </c>
      <c r="X48" s="265">
        <v>250</v>
      </c>
      <c r="Y48" s="265">
        <v>250</v>
      </c>
      <c r="Z48" s="271">
        <v>250</v>
      </c>
    </row>
    <row r="49" spans="3:26">
      <c r="C49" t="s">
        <v>1164</v>
      </c>
      <c r="D49" s="333">
        <v>250</v>
      </c>
      <c r="E49" s="513">
        <v>87.2</v>
      </c>
      <c r="F49" s="513">
        <v>43.6</v>
      </c>
      <c r="G49" s="513">
        <v>41.199999999999996</v>
      </c>
      <c r="H49" s="514">
        <v>38.4</v>
      </c>
      <c r="I49" s="513">
        <v>56.000000000000007</v>
      </c>
      <c r="J49" s="515">
        <v>58.8</v>
      </c>
      <c r="K49" s="513">
        <v>25.6</v>
      </c>
      <c r="L49" s="513">
        <v>26</v>
      </c>
      <c r="M49" s="513">
        <v>37.6</v>
      </c>
      <c r="N49" s="513">
        <v>19.600000000000001</v>
      </c>
      <c r="O49" s="513">
        <v>47.199999999999996</v>
      </c>
      <c r="P49" s="514">
        <v>18.8</v>
      </c>
      <c r="Q49" s="514">
        <v>2.8</v>
      </c>
      <c r="R49" s="522">
        <v>0</v>
      </c>
      <c r="U49" t="s">
        <v>649</v>
      </c>
      <c r="V49" s="285">
        <v>92.800000000000011</v>
      </c>
      <c r="W49" s="286">
        <v>87.2</v>
      </c>
      <c r="X49" s="286">
        <v>86.4</v>
      </c>
      <c r="Y49" s="287">
        <v>81.599999999999994</v>
      </c>
      <c r="Z49" s="288">
        <v>86.8</v>
      </c>
    </row>
    <row r="50" spans="3:26">
      <c r="C50" t="s">
        <v>1165</v>
      </c>
      <c r="D50" s="333">
        <v>250</v>
      </c>
      <c r="E50" s="513">
        <v>86.4</v>
      </c>
      <c r="F50" s="514">
        <v>62.4</v>
      </c>
      <c r="G50" s="516">
        <v>35.6</v>
      </c>
      <c r="H50" s="516">
        <v>26.400000000000002</v>
      </c>
      <c r="I50" s="513">
        <v>53.2</v>
      </c>
      <c r="J50" s="513">
        <v>47.599999999999994</v>
      </c>
      <c r="K50" s="513">
        <v>24.8</v>
      </c>
      <c r="L50" s="516">
        <v>17.599999999999998</v>
      </c>
      <c r="M50" s="516">
        <v>32.800000000000004</v>
      </c>
      <c r="N50" s="516">
        <v>16.400000000000002</v>
      </c>
      <c r="O50" s="513">
        <v>45.6</v>
      </c>
      <c r="P50" s="513">
        <v>13.200000000000001</v>
      </c>
      <c r="Q50" s="516">
        <v>1.2</v>
      </c>
      <c r="R50" s="522">
        <v>0</v>
      </c>
      <c r="U50" t="s">
        <v>650</v>
      </c>
      <c r="V50" s="289">
        <v>37.200000000000003</v>
      </c>
      <c r="W50" s="286">
        <v>43.6</v>
      </c>
      <c r="X50" s="290">
        <v>62.4</v>
      </c>
      <c r="Y50" s="286">
        <v>42</v>
      </c>
      <c r="Z50" s="291">
        <v>38.800000000000004</v>
      </c>
    </row>
    <row r="51" spans="3:26">
      <c r="C51" t="s">
        <v>1166</v>
      </c>
      <c r="D51" s="333">
        <v>250</v>
      </c>
      <c r="E51" s="513">
        <v>81.599999999999994</v>
      </c>
      <c r="F51" s="513">
        <v>42</v>
      </c>
      <c r="G51" s="513">
        <v>41.6</v>
      </c>
      <c r="H51" s="516">
        <v>26.400000000000002</v>
      </c>
      <c r="I51" s="513">
        <v>58.8</v>
      </c>
      <c r="J51" s="513">
        <v>55.2</v>
      </c>
      <c r="K51" s="516">
        <v>22.400000000000002</v>
      </c>
      <c r="L51" s="516">
        <v>18.8</v>
      </c>
      <c r="M51" s="513">
        <v>34.799999999999997</v>
      </c>
      <c r="N51" s="516">
        <v>16.8</v>
      </c>
      <c r="O51" s="516">
        <v>39.6</v>
      </c>
      <c r="P51" s="516">
        <v>12</v>
      </c>
      <c r="Q51" s="516">
        <v>1.2</v>
      </c>
      <c r="R51" s="522">
        <v>0</v>
      </c>
      <c r="U51" t="s">
        <v>651</v>
      </c>
      <c r="V51" s="292">
        <v>48</v>
      </c>
      <c r="W51" s="286">
        <v>41.199999999999996</v>
      </c>
      <c r="X51" s="287">
        <v>35.6</v>
      </c>
      <c r="Y51" s="286">
        <v>41.6</v>
      </c>
      <c r="Z51" s="293">
        <v>44.4</v>
      </c>
    </row>
    <row r="52" spans="3:26">
      <c r="C52" t="s">
        <v>1167</v>
      </c>
      <c r="D52" s="334">
        <v>250</v>
      </c>
      <c r="E52" s="517">
        <v>86.8</v>
      </c>
      <c r="F52" s="518">
        <v>38.800000000000004</v>
      </c>
      <c r="G52" s="517">
        <v>44.4</v>
      </c>
      <c r="H52" s="517">
        <v>30.4</v>
      </c>
      <c r="I52" s="517">
        <v>54.800000000000004</v>
      </c>
      <c r="J52" s="519">
        <v>60.8</v>
      </c>
      <c r="K52" s="519">
        <v>30</v>
      </c>
      <c r="L52" s="519">
        <v>30.4</v>
      </c>
      <c r="M52" s="520">
        <v>44.800000000000004</v>
      </c>
      <c r="N52" s="519">
        <v>22.400000000000002</v>
      </c>
      <c r="O52" s="519">
        <v>48.8</v>
      </c>
      <c r="P52" s="518">
        <v>11.200000000000001</v>
      </c>
      <c r="Q52" s="519">
        <v>2</v>
      </c>
      <c r="R52" s="523">
        <v>0</v>
      </c>
      <c r="U52" t="s">
        <v>652</v>
      </c>
      <c r="V52" s="294">
        <v>38</v>
      </c>
      <c r="W52" s="295">
        <v>38.4</v>
      </c>
      <c r="X52" s="287">
        <v>26.400000000000002</v>
      </c>
      <c r="Y52" s="287">
        <v>26.400000000000002</v>
      </c>
      <c r="Z52" s="288">
        <v>30.4</v>
      </c>
    </row>
    <row r="53" spans="3:26">
      <c r="E53" s="189"/>
      <c r="F53" s="189"/>
      <c r="G53" s="189"/>
      <c r="H53" s="189"/>
      <c r="I53" s="189"/>
      <c r="J53" s="189"/>
      <c r="K53" s="189"/>
      <c r="L53" s="189"/>
      <c r="M53" s="189"/>
      <c r="N53" s="189"/>
      <c r="O53" s="189"/>
      <c r="P53" s="189"/>
      <c r="Q53" s="189"/>
      <c r="R53" s="189"/>
      <c r="U53" t="s">
        <v>653</v>
      </c>
      <c r="V53" s="296">
        <v>55.600000000000009</v>
      </c>
      <c r="W53" s="286">
        <v>56.000000000000007</v>
      </c>
      <c r="X53" s="286">
        <v>53.2</v>
      </c>
      <c r="Y53" s="286">
        <v>58.8</v>
      </c>
      <c r="Z53" s="288">
        <v>54.800000000000004</v>
      </c>
    </row>
    <row r="54" spans="3:26">
      <c r="E54" s="189"/>
      <c r="F54" s="189"/>
      <c r="G54" s="189"/>
      <c r="H54" s="189"/>
      <c r="I54" s="189"/>
      <c r="J54" s="189"/>
      <c r="K54" s="189"/>
      <c r="L54" s="189"/>
      <c r="M54" s="189"/>
      <c r="N54" s="189"/>
      <c r="O54" s="189"/>
      <c r="P54" s="189"/>
      <c r="Q54" s="189"/>
      <c r="R54" s="189"/>
      <c r="U54" t="s">
        <v>654</v>
      </c>
      <c r="V54" s="297">
        <v>40</v>
      </c>
      <c r="W54" s="298">
        <v>58.8</v>
      </c>
      <c r="X54" s="286">
        <v>47.599999999999994</v>
      </c>
      <c r="Y54" s="299">
        <v>55.2</v>
      </c>
      <c r="Z54" s="300">
        <v>60.8</v>
      </c>
    </row>
    <row r="55" spans="3:26">
      <c r="E55" s="189"/>
      <c r="F55" s="189"/>
      <c r="G55" s="189"/>
      <c r="H55" s="189"/>
      <c r="I55" s="189"/>
      <c r="J55" s="189"/>
      <c r="K55" s="189"/>
      <c r="L55" s="189"/>
      <c r="M55" s="189"/>
      <c r="N55" s="189"/>
      <c r="O55" s="189"/>
      <c r="P55" s="189"/>
      <c r="Q55" s="189"/>
      <c r="R55" s="189"/>
      <c r="U55" t="s">
        <v>655</v>
      </c>
      <c r="V55" s="296">
        <v>24.4</v>
      </c>
      <c r="W55" s="286">
        <v>25.6</v>
      </c>
      <c r="X55" s="286">
        <v>24.8</v>
      </c>
      <c r="Y55" s="286">
        <v>22.400000000000002</v>
      </c>
      <c r="Z55" s="288">
        <v>30</v>
      </c>
    </row>
    <row r="56" spans="3:26">
      <c r="U56" t="s">
        <v>656</v>
      </c>
      <c r="V56" s="301">
        <v>39.200000000000003</v>
      </c>
      <c r="W56" s="302">
        <v>26</v>
      </c>
      <c r="X56" s="287">
        <v>17.599999999999998</v>
      </c>
      <c r="Y56" s="287">
        <v>18.8</v>
      </c>
      <c r="Z56" s="303">
        <v>30.4</v>
      </c>
    </row>
    <row r="57" spans="3:26">
      <c r="U57" t="s">
        <v>657</v>
      </c>
      <c r="V57" s="296">
        <v>32.800000000000004</v>
      </c>
      <c r="W57" s="286">
        <v>37.6</v>
      </c>
      <c r="X57" s="286">
        <v>32.800000000000004</v>
      </c>
      <c r="Y57" s="286">
        <v>34.799999999999997</v>
      </c>
      <c r="Z57" s="304">
        <v>44.800000000000004</v>
      </c>
    </row>
    <row r="58" spans="3:26">
      <c r="U58" t="s">
        <v>658</v>
      </c>
      <c r="V58" s="296">
        <v>18.8</v>
      </c>
      <c r="W58" s="286">
        <v>19.600000000000001</v>
      </c>
      <c r="X58" s="286">
        <v>16.400000000000002</v>
      </c>
      <c r="Y58" s="286">
        <v>16.8</v>
      </c>
      <c r="Z58" s="288">
        <v>22.400000000000002</v>
      </c>
    </row>
    <row r="59" spans="3:26">
      <c r="U59" t="s">
        <v>659</v>
      </c>
      <c r="V59" s="289">
        <v>38.800000000000004</v>
      </c>
      <c r="W59" s="286">
        <v>47.199999999999996</v>
      </c>
      <c r="X59" s="286">
        <v>45.6</v>
      </c>
      <c r="Y59" s="286">
        <v>39.6</v>
      </c>
      <c r="Z59" s="305">
        <v>48.8</v>
      </c>
    </row>
    <row r="60" spans="3:26">
      <c r="V60" s="296">
        <v>14.799999999999999</v>
      </c>
      <c r="W60" s="306">
        <v>18.8</v>
      </c>
      <c r="X60" s="286">
        <v>13.200000000000001</v>
      </c>
      <c r="Y60" s="286">
        <v>12</v>
      </c>
      <c r="Z60" s="288">
        <v>11.200000000000001</v>
      </c>
    </row>
    <row r="61" spans="3:26">
      <c r="V61" s="296"/>
      <c r="W61" s="286"/>
      <c r="X61" s="286"/>
      <c r="Y61" s="286"/>
      <c r="Z61" s="288"/>
    </row>
    <row r="62" spans="3:26">
      <c r="V62" s="307"/>
      <c r="W62" s="308"/>
      <c r="X62" s="308"/>
      <c r="Y62" s="308"/>
      <c r="Z62" s="309"/>
    </row>
    <row r="70" spans="19:24">
      <c r="T70" t="s">
        <v>1163</v>
      </c>
      <c r="U70" t="s">
        <v>1164</v>
      </c>
      <c r="V70" t="s">
        <v>1165</v>
      </c>
      <c r="W70" t="s">
        <v>1166</v>
      </c>
      <c r="X70" t="s">
        <v>1167</v>
      </c>
    </row>
    <row r="71" spans="19:24">
      <c r="T71">
        <v>250</v>
      </c>
      <c r="U71">
        <v>250</v>
      </c>
      <c r="V71">
        <v>250</v>
      </c>
      <c r="W71">
        <v>250</v>
      </c>
      <c r="X71">
        <v>250</v>
      </c>
    </row>
    <row r="72" spans="19:24">
      <c r="S72" s="310"/>
      <c r="T72" s="311">
        <v>92.800000000000011</v>
      </c>
      <c r="U72" s="312">
        <v>87.2</v>
      </c>
      <c r="V72" s="312">
        <v>86.4</v>
      </c>
      <c r="W72" s="312">
        <v>81.599999999999994</v>
      </c>
      <c r="X72" s="312">
        <v>86.8</v>
      </c>
    </row>
    <row r="73" spans="19:24">
      <c r="S73" s="313"/>
      <c r="T73" s="312">
        <v>37.200000000000003</v>
      </c>
      <c r="U73" s="312">
        <v>43.6</v>
      </c>
      <c r="V73" s="314">
        <v>62.4</v>
      </c>
      <c r="W73" s="312">
        <v>42</v>
      </c>
      <c r="X73" s="312">
        <v>38.800000000000004</v>
      </c>
    </row>
    <row r="74" spans="19:24">
      <c r="S74" s="312"/>
      <c r="T74" s="315">
        <v>48</v>
      </c>
      <c r="U74" s="312">
        <v>41.199999999999996</v>
      </c>
      <c r="V74" s="312">
        <v>35.6</v>
      </c>
      <c r="W74" s="312">
        <v>41.6</v>
      </c>
      <c r="X74" s="316">
        <v>44.4</v>
      </c>
    </row>
    <row r="75" spans="19:24">
      <c r="S75" s="312"/>
      <c r="T75" s="317">
        <v>38</v>
      </c>
      <c r="U75" s="317">
        <v>38.4</v>
      </c>
      <c r="V75" s="312">
        <v>26.400000000000002</v>
      </c>
      <c r="W75" s="312">
        <v>26.400000000000002</v>
      </c>
      <c r="X75" s="312">
        <v>30.4</v>
      </c>
    </row>
    <row r="76" spans="19:24">
      <c r="S76" s="312"/>
      <c r="T76" s="312">
        <v>55.600000000000009</v>
      </c>
      <c r="U76" s="312">
        <v>56.000000000000007</v>
      </c>
      <c r="V76" s="312">
        <v>53.2</v>
      </c>
      <c r="W76" s="312">
        <v>58.8</v>
      </c>
      <c r="X76" s="312">
        <v>54.800000000000004</v>
      </c>
    </row>
    <row r="77" spans="19:24">
      <c r="S77" s="318"/>
      <c r="T77" s="312">
        <v>40</v>
      </c>
      <c r="U77" s="319">
        <v>58.8</v>
      </c>
      <c r="V77" s="312">
        <v>47.599999999999994</v>
      </c>
      <c r="W77" s="320">
        <v>55.2</v>
      </c>
      <c r="X77" s="321">
        <v>60.8</v>
      </c>
    </row>
    <row r="78" spans="19:24">
      <c r="S78" s="312"/>
      <c r="T78" s="312">
        <v>24.4</v>
      </c>
      <c r="U78" s="312">
        <v>25.6</v>
      </c>
      <c r="V78" s="312">
        <v>24.8</v>
      </c>
      <c r="W78" s="312">
        <v>22.400000000000002</v>
      </c>
      <c r="X78" s="312">
        <v>30</v>
      </c>
    </row>
    <row r="79" spans="19:24">
      <c r="S79" s="322"/>
      <c r="T79" s="323">
        <v>39.200000000000003</v>
      </c>
      <c r="U79" s="316">
        <v>26</v>
      </c>
      <c r="V79" s="312">
        <v>17.599999999999998</v>
      </c>
      <c r="W79" s="312">
        <v>18.8</v>
      </c>
      <c r="X79" s="317">
        <v>30.4</v>
      </c>
    </row>
    <row r="80" spans="19:24">
      <c r="S80" s="312"/>
      <c r="T80" s="312">
        <v>32.800000000000004</v>
      </c>
      <c r="U80" s="312">
        <v>37.6</v>
      </c>
      <c r="V80" s="312">
        <v>32.800000000000004</v>
      </c>
      <c r="W80" s="312">
        <v>34.799999999999997</v>
      </c>
      <c r="X80" s="324">
        <v>44.800000000000004</v>
      </c>
    </row>
    <row r="81" spans="19:38">
      <c r="S81" s="312"/>
      <c r="T81" s="312">
        <v>18.8</v>
      </c>
      <c r="U81" s="312">
        <v>19.600000000000001</v>
      </c>
      <c r="V81" s="312">
        <v>16.400000000000002</v>
      </c>
      <c r="W81" s="312">
        <v>16.8</v>
      </c>
      <c r="X81" s="312">
        <v>22.400000000000002</v>
      </c>
    </row>
    <row r="85" spans="19:38">
      <c r="AA85" t="s">
        <v>1163</v>
      </c>
      <c r="AB85">
        <v>250</v>
      </c>
      <c r="AC85" s="311">
        <v>92.800000000000011</v>
      </c>
      <c r="AD85" s="312">
        <v>37.200000000000003</v>
      </c>
      <c r="AE85" s="315">
        <v>48</v>
      </c>
      <c r="AF85" s="317">
        <v>38</v>
      </c>
      <c r="AG85" s="312">
        <v>55.600000000000009</v>
      </c>
      <c r="AH85" s="312">
        <v>40</v>
      </c>
      <c r="AI85" s="312">
        <v>24.4</v>
      </c>
      <c r="AJ85" s="323">
        <v>39.200000000000003</v>
      </c>
      <c r="AK85" s="312">
        <v>32.800000000000004</v>
      </c>
      <c r="AL85" s="312">
        <v>18.8</v>
      </c>
    </row>
    <row r="86" spans="19:38">
      <c r="AA86" t="s">
        <v>1164</v>
      </c>
      <c r="AB86">
        <v>250</v>
      </c>
      <c r="AC86" s="312">
        <v>87.2</v>
      </c>
      <c r="AD86" s="312">
        <v>43.6</v>
      </c>
      <c r="AE86" s="312">
        <v>41.199999999999996</v>
      </c>
      <c r="AF86" s="317">
        <v>38.4</v>
      </c>
      <c r="AG86" s="312">
        <v>56.000000000000007</v>
      </c>
      <c r="AH86" s="319">
        <v>58.8</v>
      </c>
      <c r="AI86" s="312">
        <v>25.6</v>
      </c>
      <c r="AJ86" s="316">
        <v>26</v>
      </c>
      <c r="AK86" s="312">
        <v>37.6</v>
      </c>
      <c r="AL86" s="312">
        <v>19.600000000000001</v>
      </c>
    </row>
    <row r="87" spans="19:38">
      <c r="AA87" t="s">
        <v>1165</v>
      </c>
      <c r="AB87">
        <v>250</v>
      </c>
      <c r="AC87" s="312">
        <v>86.4</v>
      </c>
      <c r="AD87" s="314">
        <v>62.4</v>
      </c>
      <c r="AE87" s="312">
        <v>35.6</v>
      </c>
      <c r="AF87" s="312">
        <v>26.400000000000002</v>
      </c>
      <c r="AG87" s="312">
        <v>53.2</v>
      </c>
      <c r="AH87" s="312">
        <v>47.599999999999994</v>
      </c>
      <c r="AI87" s="312">
        <v>24.8</v>
      </c>
      <c r="AJ87" s="312">
        <v>17.599999999999998</v>
      </c>
      <c r="AK87" s="312">
        <v>32.800000000000004</v>
      </c>
      <c r="AL87" s="312">
        <v>16.400000000000002</v>
      </c>
    </row>
    <row r="88" spans="19:38">
      <c r="AA88" t="s">
        <v>1166</v>
      </c>
      <c r="AB88">
        <v>250</v>
      </c>
      <c r="AC88" s="312">
        <v>81.599999999999994</v>
      </c>
      <c r="AD88" s="312">
        <v>42</v>
      </c>
      <c r="AE88" s="312">
        <v>41.6</v>
      </c>
      <c r="AF88" s="312">
        <v>26.400000000000002</v>
      </c>
      <c r="AG88" s="312">
        <v>58.8</v>
      </c>
      <c r="AH88" s="320">
        <v>55.2</v>
      </c>
      <c r="AI88" s="312">
        <v>22.400000000000002</v>
      </c>
      <c r="AJ88" s="312">
        <v>18.8</v>
      </c>
      <c r="AK88" s="312">
        <v>34.799999999999997</v>
      </c>
      <c r="AL88" s="312">
        <v>16.8</v>
      </c>
    </row>
    <row r="89" spans="19:38">
      <c r="AA89" t="s">
        <v>1167</v>
      </c>
      <c r="AB89">
        <v>250</v>
      </c>
      <c r="AC89" s="312">
        <v>86.8</v>
      </c>
      <c r="AD89" s="312">
        <v>38.800000000000004</v>
      </c>
      <c r="AE89" s="316">
        <v>44.4</v>
      </c>
      <c r="AF89" s="312">
        <v>30.4</v>
      </c>
      <c r="AG89" s="312">
        <v>54.800000000000004</v>
      </c>
      <c r="AH89" s="321">
        <v>60.8</v>
      </c>
      <c r="AI89" s="312">
        <v>30</v>
      </c>
      <c r="AJ89" s="317">
        <v>30.4</v>
      </c>
      <c r="AK89" s="324">
        <v>44.800000000000004</v>
      </c>
      <c r="AL89" s="312">
        <v>22.400000000000002</v>
      </c>
    </row>
    <row r="90" spans="19:38">
      <c r="AC90" s="312"/>
      <c r="AD90" s="312"/>
      <c r="AE90" s="325"/>
      <c r="AF90" s="312"/>
      <c r="AG90" s="312"/>
      <c r="AH90" s="326"/>
      <c r="AI90" s="312"/>
      <c r="AJ90" s="327"/>
      <c r="AK90" s="328"/>
      <c r="AL90" s="312"/>
    </row>
  </sheetData>
  <mergeCells count="4">
    <mergeCell ref="D3:R3"/>
    <mergeCell ref="A7:A11"/>
    <mergeCell ref="A15:A19"/>
    <mergeCell ref="A23:A27"/>
  </mergeCells>
  <phoneticPr fontId="4" type="noConversion"/>
  <hyperlinks>
    <hyperlink ref="E40" r:id="rId1"/>
  </hyperlinks>
  <pageMargins left="0.7" right="0.7" top="0.75" bottom="0.75" header="0.3" footer="0.3"/>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249977111117893"/>
  </sheetPr>
  <dimension ref="F5:P55"/>
  <sheetViews>
    <sheetView showGridLines="0" topLeftCell="A16" workbookViewId="0">
      <selection activeCell="P23" sqref="P23"/>
    </sheetView>
  </sheetViews>
  <sheetFormatPr defaultRowHeight="13.8"/>
  <sheetData>
    <row r="5" spans="6:16" ht="55.8">
      <c r="F5" t="s">
        <v>1163</v>
      </c>
      <c r="G5" s="147"/>
      <c r="H5" s="148" t="s">
        <v>808</v>
      </c>
      <c r="I5" s="149" t="s">
        <v>732</v>
      </c>
      <c r="J5" s="149" t="s">
        <v>731</v>
      </c>
      <c r="K5" s="149" t="s">
        <v>733</v>
      </c>
      <c r="L5" s="149" t="s">
        <v>734</v>
      </c>
      <c r="M5" s="149" t="s">
        <v>736</v>
      </c>
      <c r="N5" s="149" t="s">
        <v>735</v>
      </c>
      <c r="O5" s="149" t="s">
        <v>788</v>
      </c>
      <c r="P5" s="149" t="s">
        <v>737</v>
      </c>
    </row>
    <row r="6" spans="6:16" ht="12" customHeight="1">
      <c r="F6" t="s">
        <v>1164</v>
      </c>
      <c r="G6" s="150" t="s">
        <v>809</v>
      </c>
      <c r="H6" s="151">
        <v>1250</v>
      </c>
      <c r="I6" s="443">
        <v>75.760000000000005</v>
      </c>
      <c r="J6" s="443">
        <v>70.08</v>
      </c>
      <c r="K6" s="444">
        <v>67.84</v>
      </c>
      <c r="L6" s="445">
        <v>61.68</v>
      </c>
      <c r="M6" s="445">
        <v>61.12</v>
      </c>
      <c r="N6" s="445">
        <v>56.64</v>
      </c>
      <c r="O6" s="445">
        <v>53.92</v>
      </c>
      <c r="P6" s="445">
        <v>45.6</v>
      </c>
    </row>
    <row r="7" spans="6:16" ht="12" customHeight="1">
      <c r="F7" t="s">
        <v>2226</v>
      </c>
      <c r="G7" s="152" t="s">
        <v>575</v>
      </c>
      <c r="H7" s="446">
        <v>20</v>
      </c>
      <c r="I7" s="153">
        <v>79.600000000000009</v>
      </c>
      <c r="J7" s="153">
        <v>74</v>
      </c>
      <c r="K7" s="154">
        <v>71.599999999999994</v>
      </c>
      <c r="L7" s="155">
        <v>65.600000000000009</v>
      </c>
      <c r="M7" s="155">
        <v>61.199999999999996</v>
      </c>
      <c r="N7" s="155">
        <v>56.000000000000007</v>
      </c>
      <c r="O7" s="155">
        <v>57.599999999999994</v>
      </c>
      <c r="P7" s="155">
        <v>48.8</v>
      </c>
    </row>
    <row r="8" spans="6:16" ht="12" customHeight="1">
      <c r="F8" t="s">
        <v>2227</v>
      </c>
      <c r="G8" s="156" t="s">
        <v>576</v>
      </c>
      <c r="H8" s="447">
        <v>20</v>
      </c>
      <c r="I8" s="158">
        <v>76.400000000000006</v>
      </c>
      <c r="J8" s="158">
        <v>65.600000000000009</v>
      </c>
      <c r="K8" s="159">
        <v>69.199999999999989</v>
      </c>
      <c r="L8" s="155">
        <v>61.6</v>
      </c>
      <c r="M8" s="155">
        <v>60.8</v>
      </c>
      <c r="N8" s="155">
        <v>64.400000000000006</v>
      </c>
      <c r="O8" s="155">
        <v>58.4</v>
      </c>
      <c r="P8" s="155">
        <v>43.6</v>
      </c>
    </row>
    <row r="9" spans="6:16" ht="12" customHeight="1">
      <c r="F9" t="s">
        <v>2228</v>
      </c>
      <c r="G9" s="156" t="s">
        <v>723</v>
      </c>
      <c r="H9" s="157">
        <v>250</v>
      </c>
      <c r="I9" s="158">
        <v>80.400000000000006</v>
      </c>
      <c r="J9" s="160">
        <v>75.2</v>
      </c>
      <c r="K9" s="161">
        <v>74</v>
      </c>
      <c r="L9" s="155">
        <v>65.600000000000009</v>
      </c>
      <c r="M9" s="155">
        <v>64</v>
      </c>
      <c r="N9" s="155">
        <v>60</v>
      </c>
      <c r="O9" s="155">
        <v>52.400000000000006</v>
      </c>
      <c r="P9" s="162">
        <v>51.2</v>
      </c>
    </row>
    <row r="10" spans="6:16" ht="12" customHeight="1">
      <c r="F10" t="s">
        <v>2229</v>
      </c>
      <c r="G10" s="156" t="s">
        <v>578</v>
      </c>
      <c r="H10" s="157">
        <v>250</v>
      </c>
      <c r="I10" s="158">
        <v>74</v>
      </c>
      <c r="J10" s="158">
        <v>70.399999999999991</v>
      </c>
      <c r="K10" s="159">
        <v>65.600000000000009</v>
      </c>
      <c r="L10" s="155">
        <v>56.8</v>
      </c>
      <c r="M10" s="155">
        <v>64.400000000000006</v>
      </c>
      <c r="N10" s="163">
        <v>51.2</v>
      </c>
      <c r="O10" s="155">
        <v>55.2</v>
      </c>
      <c r="P10" s="155">
        <v>40.799999999999997</v>
      </c>
    </row>
    <row r="11" spans="6:16" ht="12" customHeight="1">
      <c r="F11" t="s">
        <v>2230</v>
      </c>
      <c r="G11" s="164" t="s">
        <v>724</v>
      </c>
      <c r="H11" s="157">
        <v>250</v>
      </c>
      <c r="I11" s="165">
        <v>68.400000000000006</v>
      </c>
      <c r="J11" s="158">
        <v>65.2</v>
      </c>
      <c r="K11" s="166">
        <v>58.8</v>
      </c>
      <c r="L11" s="155">
        <v>58.8</v>
      </c>
      <c r="M11" s="163">
        <v>55.2</v>
      </c>
      <c r="N11" s="163">
        <v>51.6</v>
      </c>
      <c r="O11" s="163">
        <v>46</v>
      </c>
      <c r="P11" s="155">
        <v>43.6</v>
      </c>
    </row>
    <row r="12" spans="6:16" ht="12" customHeight="1">
      <c r="F12" t="s">
        <v>1163</v>
      </c>
      <c r="G12" s="152" t="s">
        <v>810</v>
      </c>
      <c r="H12" s="151">
        <v>250</v>
      </c>
      <c r="I12" s="153">
        <v>78.8</v>
      </c>
      <c r="J12" s="153">
        <v>71.2</v>
      </c>
      <c r="K12" s="167">
        <v>73.2</v>
      </c>
      <c r="L12" s="155">
        <v>64.8</v>
      </c>
      <c r="M12" s="155">
        <v>61.6</v>
      </c>
      <c r="N12" s="155">
        <v>56.8</v>
      </c>
      <c r="O12" s="162">
        <v>59.599999999999994</v>
      </c>
      <c r="P12" s="163">
        <v>38.4</v>
      </c>
    </row>
    <row r="13" spans="6:16" ht="12" customHeight="1">
      <c r="F13" t="s">
        <v>1164</v>
      </c>
      <c r="G13" s="156" t="s">
        <v>811</v>
      </c>
      <c r="H13" s="157">
        <v>250</v>
      </c>
      <c r="I13" s="158">
        <v>75.2</v>
      </c>
      <c r="J13" s="158">
        <v>70.8</v>
      </c>
      <c r="K13" s="159">
        <v>66.8</v>
      </c>
      <c r="L13" s="155">
        <v>63.6</v>
      </c>
      <c r="M13" s="162">
        <v>68.8</v>
      </c>
      <c r="N13" s="155">
        <v>57.199999999999996</v>
      </c>
      <c r="O13" s="162">
        <v>62.4</v>
      </c>
      <c r="P13" s="155">
        <v>46.400000000000006</v>
      </c>
    </row>
    <row r="14" spans="6:16" ht="12" customHeight="1">
      <c r="F14" t="s">
        <v>1165</v>
      </c>
      <c r="G14" s="156" t="s">
        <v>812</v>
      </c>
      <c r="H14" s="157">
        <v>250</v>
      </c>
      <c r="I14" s="158">
        <v>76.8</v>
      </c>
      <c r="J14" s="160">
        <v>79.600000000000009</v>
      </c>
      <c r="K14" s="161">
        <v>75.599999999999994</v>
      </c>
      <c r="L14" s="168">
        <v>72.8</v>
      </c>
      <c r="M14" s="155">
        <v>65.2</v>
      </c>
      <c r="N14" s="162">
        <v>64</v>
      </c>
      <c r="O14" s="155">
        <v>56.000000000000007</v>
      </c>
      <c r="P14" s="168">
        <v>56.399999999999991</v>
      </c>
    </row>
    <row r="15" spans="6:16" ht="12" customHeight="1">
      <c r="F15" t="s">
        <v>1166</v>
      </c>
      <c r="G15" s="156" t="s">
        <v>813</v>
      </c>
      <c r="H15" s="157">
        <v>12</v>
      </c>
      <c r="I15" s="158">
        <v>81.2</v>
      </c>
      <c r="J15" s="158">
        <v>70</v>
      </c>
      <c r="K15" s="159">
        <v>64.8</v>
      </c>
      <c r="L15" s="155">
        <v>56.000000000000007</v>
      </c>
      <c r="M15" s="155">
        <v>57.599999999999994</v>
      </c>
      <c r="N15" s="155">
        <v>56.8</v>
      </c>
      <c r="O15" s="155">
        <v>100</v>
      </c>
      <c r="P15" s="155">
        <v>46.800000000000004</v>
      </c>
    </row>
    <row r="16" spans="6:16" ht="12" customHeight="1">
      <c r="F16" t="s">
        <v>1167</v>
      </c>
      <c r="G16" s="169" t="s">
        <v>814</v>
      </c>
      <c r="H16" s="170">
        <v>250</v>
      </c>
      <c r="I16" s="165">
        <v>66.8</v>
      </c>
      <c r="J16" s="171">
        <v>58.8</v>
      </c>
      <c r="K16" s="166">
        <v>58.8</v>
      </c>
      <c r="L16" s="172">
        <v>51.2</v>
      </c>
      <c r="M16" s="163">
        <v>52.400000000000006</v>
      </c>
      <c r="N16" s="163">
        <v>48.4</v>
      </c>
      <c r="O16" s="172">
        <v>43.6</v>
      </c>
      <c r="P16" s="163">
        <v>40</v>
      </c>
    </row>
    <row r="17" spans="6:16" ht="12" customHeight="1">
      <c r="F17" t="s">
        <v>1163</v>
      </c>
      <c r="G17" s="173" t="s">
        <v>815</v>
      </c>
      <c r="H17" s="447">
        <v>175</v>
      </c>
      <c r="I17" s="153">
        <v>73.142857142857139</v>
      </c>
      <c r="J17" s="174">
        <v>76</v>
      </c>
      <c r="K17" s="167">
        <v>74.285714285714292</v>
      </c>
      <c r="L17" s="162">
        <v>68.571428571428569</v>
      </c>
      <c r="M17" s="738">
        <v>55.428571428571431</v>
      </c>
      <c r="N17" s="738">
        <v>49.714285714285715</v>
      </c>
      <c r="O17" s="155">
        <v>58.857142857142854</v>
      </c>
      <c r="P17" s="163">
        <v>36.571428571428569</v>
      </c>
    </row>
    <row r="18" spans="6:16" ht="12" customHeight="1">
      <c r="F18" t="s">
        <v>1164</v>
      </c>
      <c r="G18" s="156" t="s">
        <v>816</v>
      </c>
      <c r="H18" s="157">
        <v>1075</v>
      </c>
      <c r="I18" s="158">
        <v>76.186046511627907</v>
      </c>
      <c r="J18" s="158">
        <v>69.116279069767444</v>
      </c>
      <c r="K18" s="158">
        <v>66.79069767441861</v>
      </c>
      <c r="L18" s="158">
        <v>60.558139534883729</v>
      </c>
      <c r="M18" s="734">
        <v>62.046511627906973</v>
      </c>
      <c r="N18" s="734">
        <v>57.767441860465119</v>
      </c>
      <c r="O18" s="158">
        <v>53.116279069767444</v>
      </c>
      <c r="P18" s="158">
        <v>47.069767441860463</v>
      </c>
    </row>
    <row r="19" spans="6:16" ht="12" customHeight="1">
      <c r="F19" t="s">
        <v>1165</v>
      </c>
      <c r="G19" s="156" t="s">
        <v>817</v>
      </c>
      <c r="H19" s="157">
        <v>436</v>
      </c>
      <c r="I19" s="158">
        <v>76.376146788990823</v>
      </c>
      <c r="J19" s="158">
        <v>71.559633027522935</v>
      </c>
      <c r="K19" s="158">
        <v>67.889908256880744</v>
      </c>
      <c r="L19" s="158">
        <v>62.844036697247709</v>
      </c>
      <c r="M19" s="734">
        <v>64.908256880733944</v>
      </c>
      <c r="N19" s="740">
        <v>59.862385321100916</v>
      </c>
      <c r="O19" s="160">
        <v>61.009174311926607</v>
      </c>
      <c r="P19" s="158">
        <v>46.788990825688074</v>
      </c>
    </row>
    <row r="20" spans="6:16" ht="12" customHeight="1">
      <c r="F20" t="s">
        <v>1166</v>
      </c>
      <c r="G20" s="156" t="s">
        <v>818</v>
      </c>
      <c r="H20" s="157">
        <v>356</v>
      </c>
      <c r="I20" s="158">
        <v>73.31460674157303</v>
      </c>
      <c r="J20" s="158">
        <v>69.382022471910105</v>
      </c>
      <c r="K20" s="158">
        <v>68.539325842696627</v>
      </c>
      <c r="L20" s="158">
        <v>62.921348314606739</v>
      </c>
      <c r="M20" s="734">
        <v>60.955056179775283</v>
      </c>
      <c r="N20" s="734">
        <v>58.146067415730343</v>
      </c>
      <c r="O20" s="158">
        <v>49.157303370786515</v>
      </c>
      <c r="P20" s="158">
        <v>45.786516853932582</v>
      </c>
    </row>
    <row r="21" spans="6:16" ht="12" customHeight="1">
      <c r="F21" t="s">
        <v>1167</v>
      </c>
      <c r="G21" s="156" t="s">
        <v>819</v>
      </c>
      <c r="H21" s="157">
        <v>283</v>
      </c>
      <c r="I21" s="175">
        <v>79.505300353356887</v>
      </c>
      <c r="J21" s="176">
        <v>65.017667844522961</v>
      </c>
      <c r="K21" s="175">
        <v>62.897526501766791</v>
      </c>
      <c r="L21" s="176">
        <v>54.063604240282679</v>
      </c>
      <c r="M21" s="735">
        <v>59.010600706713781</v>
      </c>
      <c r="N21" s="735">
        <v>54.063604240282679</v>
      </c>
      <c r="O21" s="176">
        <v>45.936395759717314</v>
      </c>
      <c r="P21" s="175">
        <v>49.116607773851591</v>
      </c>
    </row>
    <row r="22" spans="6:16" ht="12" customHeight="1">
      <c r="G22" s="156" t="s">
        <v>727</v>
      </c>
      <c r="H22" s="157">
        <v>23</v>
      </c>
      <c r="I22" s="177">
        <v>69.696969696969703</v>
      </c>
      <c r="J22" s="177">
        <v>78.787878787878782</v>
      </c>
      <c r="K22" s="177">
        <v>75.757575757575751</v>
      </c>
      <c r="L22" s="177">
        <v>66.666666666666657</v>
      </c>
      <c r="M22" s="263">
        <v>39.393939393939391</v>
      </c>
      <c r="N22" s="263">
        <v>33.333333333333329</v>
      </c>
      <c r="O22" s="177">
        <v>57.575757575757578</v>
      </c>
      <c r="P22" s="177">
        <v>9.0909090909090917</v>
      </c>
    </row>
    <row r="23" spans="6:16" ht="12" customHeight="1">
      <c r="G23" s="156" t="s">
        <v>804</v>
      </c>
      <c r="H23" s="157">
        <v>131</v>
      </c>
      <c r="I23" s="178">
        <v>71.755725190839698</v>
      </c>
      <c r="J23" s="178">
        <v>74.809160305343511</v>
      </c>
      <c r="K23" s="179">
        <v>74.809160305343511</v>
      </c>
      <c r="L23" s="180">
        <v>71.755725190839698</v>
      </c>
      <c r="M23" s="201">
        <v>59.541984732824424</v>
      </c>
      <c r="N23" s="201">
        <v>54.961832061068705</v>
      </c>
      <c r="O23" s="178">
        <v>56.488549618320619</v>
      </c>
      <c r="P23" s="178">
        <v>43.511450381679388</v>
      </c>
    </row>
    <row r="24" spans="6:16" ht="12" customHeight="1">
      <c r="G24" s="156" t="s">
        <v>805</v>
      </c>
      <c r="H24" s="157">
        <v>875</v>
      </c>
      <c r="I24" s="178">
        <v>75.314285714285717</v>
      </c>
      <c r="J24" s="178">
        <v>67.885714285714286</v>
      </c>
      <c r="K24" s="178">
        <v>65.828571428571422</v>
      </c>
      <c r="L24" s="178">
        <v>58.4</v>
      </c>
      <c r="M24" s="201">
        <v>61.714285714285708</v>
      </c>
      <c r="N24" s="201">
        <v>58.05714285714285</v>
      </c>
      <c r="O24" s="178">
        <v>52</v>
      </c>
      <c r="P24" s="178">
        <v>45.371428571428574</v>
      </c>
    </row>
    <row r="25" spans="6:16" ht="12" customHeight="1">
      <c r="G25" s="156" t="s">
        <v>806</v>
      </c>
      <c r="H25" s="157">
        <v>164</v>
      </c>
      <c r="I25" s="178">
        <v>80.487804878048792</v>
      </c>
      <c r="J25" s="179">
        <v>78.048780487804876</v>
      </c>
      <c r="K25" s="178">
        <v>71.951219512195124</v>
      </c>
      <c r="L25" s="180">
        <v>71.951219512195124</v>
      </c>
      <c r="M25" s="201">
        <v>67.073170731707322</v>
      </c>
      <c r="N25" s="731">
        <v>59.146341463414629</v>
      </c>
      <c r="O25" s="179">
        <v>61.585365853658537</v>
      </c>
      <c r="P25" s="179">
        <v>54.268292682926834</v>
      </c>
    </row>
    <row r="26" spans="6:16" ht="12" customHeight="1">
      <c r="G26" s="156" t="s">
        <v>820</v>
      </c>
      <c r="H26" s="157">
        <v>270</v>
      </c>
      <c r="I26" s="178">
        <v>75.18518518518519</v>
      </c>
      <c r="J26" s="181">
        <v>62.962962962962962</v>
      </c>
      <c r="K26" s="178">
        <v>66.296296296296305</v>
      </c>
      <c r="L26" s="178">
        <v>58.148148148148152</v>
      </c>
      <c r="M26" s="201">
        <v>56.666666666666664</v>
      </c>
      <c r="N26" s="201">
        <v>48.888888888888886</v>
      </c>
      <c r="O26" s="181">
        <v>47.777777777777779</v>
      </c>
      <c r="P26" s="178">
        <v>42.962962962962962</v>
      </c>
    </row>
    <row r="27" spans="6:16" ht="12" customHeight="1">
      <c r="G27" s="156" t="s">
        <v>821</v>
      </c>
      <c r="H27" s="157">
        <v>980</v>
      </c>
      <c r="I27" s="178">
        <v>75.91836734693878</v>
      </c>
      <c r="J27" s="178">
        <v>72.040816326530603</v>
      </c>
      <c r="K27" s="178">
        <v>68.265306122448976</v>
      </c>
      <c r="L27" s="201">
        <v>62.65306122448979</v>
      </c>
      <c r="M27" s="201">
        <v>62.34693877551021</v>
      </c>
      <c r="N27" s="732">
        <v>58.775510204081641</v>
      </c>
      <c r="O27" s="178">
        <v>55.612244897959187</v>
      </c>
      <c r="P27" s="178">
        <v>46.326530612244895</v>
      </c>
    </row>
    <row r="28" spans="6:16" ht="12" customHeight="1">
      <c r="G28" s="156" t="s">
        <v>822</v>
      </c>
      <c r="H28" s="157">
        <v>1019</v>
      </c>
      <c r="I28" s="730">
        <v>76.447497546614329</v>
      </c>
      <c r="J28" s="201">
        <v>70.068694798822378</v>
      </c>
      <c r="K28" s="201">
        <v>69.087340529931311</v>
      </c>
      <c r="L28" s="201">
        <v>63.101079489695778</v>
      </c>
      <c r="M28" s="201">
        <v>62.11972522080471</v>
      </c>
      <c r="N28" s="201">
        <v>57.605495583905785</v>
      </c>
      <c r="O28" s="178">
        <v>54.955839057899901</v>
      </c>
      <c r="P28" s="178">
        <v>46.712463199214916</v>
      </c>
    </row>
    <row r="29" spans="6:16" ht="12" customHeight="1">
      <c r="G29" s="156" t="s">
        <v>823</v>
      </c>
      <c r="H29" s="157">
        <v>231</v>
      </c>
      <c r="I29" s="731">
        <v>72.727272727272734</v>
      </c>
      <c r="J29" s="732">
        <v>70.129870129870127</v>
      </c>
      <c r="K29" s="201">
        <v>62.337662337662337</v>
      </c>
      <c r="L29" s="201">
        <v>55.411255411255411</v>
      </c>
      <c r="M29" s="201">
        <v>56.709956709956714</v>
      </c>
      <c r="N29" s="201">
        <v>52.380952380952387</v>
      </c>
      <c r="O29" s="178">
        <v>49.350649350649348</v>
      </c>
      <c r="P29" s="178">
        <v>40.692640692640694</v>
      </c>
    </row>
    <row r="30" spans="6:16" ht="12" customHeight="1">
      <c r="G30" s="156" t="s">
        <v>784</v>
      </c>
      <c r="H30" s="157">
        <v>367</v>
      </c>
      <c r="I30" s="201">
        <v>68.937329700272471</v>
      </c>
      <c r="J30" s="201">
        <v>60.762942779291549</v>
      </c>
      <c r="K30" s="201">
        <v>54.495912806539515</v>
      </c>
      <c r="L30" s="201">
        <v>47.411444141689373</v>
      </c>
      <c r="M30" s="201">
        <v>53.405994550408721</v>
      </c>
      <c r="N30" s="201">
        <v>43.869209809264305</v>
      </c>
      <c r="O30" s="201">
        <v>44.959128065395092</v>
      </c>
      <c r="P30" s="201">
        <v>30.245231607629432</v>
      </c>
    </row>
    <row r="31" spans="6:16" ht="12" customHeight="1">
      <c r="G31" s="156" t="s">
        <v>785</v>
      </c>
      <c r="H31" s="157">
        <v>521</v>
      </c>
      <c r="I31" s="178">
        <v>75.815738963531658</v>
      </c>
      <c r="J31" s="178">
        <v>71.209213051823411</v>
      </c>
      <c r="K31" s="178">
        <v>69.289827255278311</v>
      </c>
      <c r="L31" s="201">
        <v>63.723608445297508</v>
      </c>
      <c r="M31" s="201">
        <v>60.076775431861805</v>
      </c>
      <c r="N31" s="178">
        <v>58.157389635316704</v>
      </c>
      <c r="O31" s="178">
        <v>55.470249520153544</v>
      </c>
      <c r="P31" s="178">
        <v>50.479846449136275</v>
      </c>
    </row>
    <row r="32" spans="6:16" ht="12" customHeight="1">
      <c r="G32" s="164" t="s">
        <v>786</v>
      </c>
      <c r="H32" s="157">
        <v>362</v>
      </c>
      <c r="I32" s="183">
        <v>82.596685082872924</v>
      </c>
      <c r="J32" s="183">
        <v>77.900552486187848</v>
      </c>
      <c r="K32" s="184">
        <v>79.281767955801115</v>
      </c>
      <c r="L32" s="736">
        <v>73.204419889502759</v>
      </c>
      <c r="M32" s="736">
        <v>70.44198895027624</v>
      </c>
      <c r="N32" s="184">
        <v>67.403314917127076</v>
      </c>
      <c r="O32" s="183">
        <v>60.773480662983424</v>
      </c>
      <c r="P32" s="183">
        <v>54.143646408839771</v>
      </c>
    </row>
    <row r="33" spans="6:16" ht="12" customHeight="1">
      <c r="G33" s="152" t="s">
        <v>824</v>
      </c>
      <c r="H33" s="151">
        <v>589</v>
      </c>
      <c r="I33" s="174">
        <v>82.852292020373525</v>
      </c>
      <c r="J33" s="174">
        <v>76.400679117147703</v>
      </c>
      <c r="K33" s="174">
        <v>73.344651952461803</v>
      </c>
      <c r="L33" s="733">
        <v>67.232597623089987</v>
      </c>
      <c r="M33" s="739">
        <v>68.930390492359933</v>
      </c>
      <c r="N33" s="174">
        <v>61.799660441426141</v>
      </c>
      <c r="O33" s="153">
        <v>57.555178268251275</v>
      </c>
      <c r="P33" s="153">
        <v>49.235993208828518</v>
      </c>
    </row>
    <row r="34" spans="6:16" ht="12" customHeight="1">
      <c r="G34" s="156" t="s">
        <v>825</v>
      </c>
      <c r="H34" s="157">
        <v>148</v>
      </c>
      <c r="I34" s="158">
        <v>73.648648648648646</v>
      </c>
      <c r="J34" s="158">
        <v>71.621621621621628</v>
      </c>
      <c r="K34" s="158">
        <v>72.297297297297305</v>
      </c>
      <c r="L34" s="737">
        <v>68.918918918918919</v>
      </c>
      <c r="M34" s="734">
        <v>60.810810810810814</v>
      </c>
      <c r="N34" s="158">
        <v>59.45945945945946</v>
      </c>
      <c r="O34" s="160">
        <v>61.486486486486491</v>
      </c>
      <c r="P34" s="165">
        <v>40.54054054054054</v>
      </c>
    </row>
    <row r="35" spans="6:16" ht="12" customHeight="1">
      <c r="G35" s="169" t="s">
        <v>826</v>
      </c>
      <c r="H35" s="170">
        <v>112</v>
      </c>
      <c r="I35" s="185">
        <v>85.714285714285708</v>
      </c>
      <c r="J35" s="185">
        <v>78.571428571428569</v>
      </c>
      <c r="K35" s="185">
        <v>75</v>
      </c>
      <c r="L35" s="735">
        <v>65.178571428571431</v>
      </c>
      <c r="M35" s="735">
        <v>66.071428571428569</v>
      </c>
      <c r="N35" s="175">
        <v>57.142857142857139</v>
      </c>
      <c r="O35" s="185">
        <v>59.821428571428569</v>
      </c>
      <c r="P35" s="186">
        <v>56.25</v>
      </c>
    </row>
    <row r="36" spans="6:16" ht="12" customHeight="1">
      <c r="G36" s="173" t="s">
        <v>827</v>
      </c>
      <c r="H36" s="157">
        <v>436</v>
      </c>
      <c r="I36" s="187">
        <v>69.047619047619051</v>
      </c>
      <c r="J36" s="188">
        <v>42.857142857142854</v>
      </c>
      <c r="K36" s="188">
        <v>38.095238095238095</v>
      </c>
      <c r="L36" s="263">
        <v>33.333333333333329</v>
      </c>
      <c r="M36" s="263">
        <v>35.714285714285715</v>
      </c>
      <c r="N36" s="188">
        <v>42.857142857142854</v>
      </c>
      <c r="O36" s="188">
        <v>30.952380952380953</v>
      </c>
      <c r="P36" s="177">
        <v>42.857142857142854</v>
      </c>
    </row>
    <row r="37" spans="6:16" ht="12" customHeight="1">
      <c r="G37" s="156" t="s">
        <v>828</v>
      </c>
      <c r="H37" s="157">
        <v>356</v>
      </c>
      <c r="I37" s="182">
        <v>53.448275862068961</v>
      </c>
      <c r="J37" s="178">
        <v>68.965517241379317</v>
      </c>
      <c r="K37" s="178">
        <v>65.517241379310349</v>
      </c>
      <c r="L37" s="201">
        <v>51.724137931034484</v>
      </c>
      <c r="M37" s="201">
        <v>37.931034482758619</v>
      </c>
      <c r="N37" s="182">
        <v>46.551724137931032</v>
      </c>
      <c r="O37" s="182">
        <v>43.103448275862064</v>
      </c>
      <c r="P37" s="178">
        <v>44.827586206896555</v>
      </c>
    </row>
    <row r="38" spans="6:16" ht="12" customHeight="1">
      <c r="G38" s="156" t="s">
        <v>829</v>
      </c>
      <c r="H38" s="157">
        <v>283</v>
      </c>
      <c r="I38" s="178">
        <v>74.789915966386559</v>
      </c>
      <c r="J38" s="178">
        <v>65.546218487394952</v>
      </c>
      <c r="K38" s="178">
        <v>64.705882352941174</v>
      </c>
      <c r="L38" s="201">
        <v>57.142857142857139</v>
      </c>
      <c r="M38" s="201">
        <v>52.100840336134461</v>
      </c>
      <c r="N38" s="178">
        <v>52.941176470588239</v>
      </c>
      <c r="O38" s="178">
        <v>55.462184873949582</v>
      </c>
      <c r="P38" s="180">
        <v>80</v>
      </c>
    </row>
    <row r="39" spans="6:16" ht="12" customHeight="1">
      <c r="G39" s="156" t="s">
        <v>830</v>
      </c>
      <c r="H39" s="157">
        <v>33</v>
      </c>
      <c r="I39" s="179">
        <v>83.620689655172413</v>
      </c>
      <c r="J39" s="180">
        <v>81.896551724137936</v>
      </c>
      <c r="K39" s="180">
        <v>79.022988505747122</v>
      </c>
      <c r="L39" s="731">
        <v>70.114942528735639</v>
      </c>
      <c r="M39" s="731">
        <v>69.827586206896555</v>
      </c>
      <c r="N39" s="180">
        <v>71.551724137931032</v>
      </c>
      <c r="O39" s="179">
        <v>63.793103448275865</v>
      </c>
      <c r="P39" s="179">
        <v>54.310344827586206</v>
      </c>
    </row>
    <row r="40" spans="6:16" ht="12" customHeight="1">
      <c r="G40" s="156" t="s">
        <v>831</v>
      </c>
      <c r="H40" s="157">
        <v>10</v>
      </c>
      <c r="I40" s="178">
        <v>78.8</v>
      </c>
      <c r="J40" s="178">
        <v>71.599999999999994</v>
      </c>
      <c r="K40" s="178">
        <v>23</v>
      </c>
      <c r="L40" s="201">
        <v>64.266666666666666</v>
      </c>
      <c r="M40" s="201">
        <v>62</v>
      </c>
      <c r="N40" s="178">
        <v>60.13333333333334</v>
      </c>
      <c r="O40" s="178">
        <v>56.133333333333333</v>
      </c>
      <c r="P40" s="178">
        <v>80</v>
      </c>
    </row>
    <row r="41" spans="6:16" ht="12" customHeight="1">
      <c r="I41" s="189"/>
      <c r="J41" s="189"/>
      <c r="K41" s="189"/>
      <c r="L41" s="189"/>
      <c r="M41" s="189"/>
      <c r="N41" s="189"/>
      <c r="O41" s="189"/>
      <c r="P41" s="189"/>
    </row>
    <row r="42" spans="6:16">
      <c r="I42" s="189"/>
      <c r="J42" s="189"/>
      <c r="K42" s="189"/>
      <c r="L42" s="189"/>
      <c r="M42" s="189"/>
      <c r="N42" s="189"/>
      <c r="O42" s="189"/>
      <c r="P42" s="189"/>
    </row>
    <row r="43" spans="6:16">
      <c r="I43" s="189"/>
      <c r="J43" s="189"/>
      <c r="K43" s="189"/>
      <c r="L43" s="189"/>
      <c r="M43" s="189"/>
      <c r="N43" s="189"/>
      <c r="O43" s="189"/>
      <c r="P43" s="189"/>
    </row>
    <row r="44" spans="6:16" ht="55.8">
      <c r="F44" t="s">
        <v>1163</v>
      </c>
      <c r="G44" s="147"/>
      <c r="H44" s="148" t="s">
        <v>808</v>
      </c>
      <c r="I44" s="149" t="s">
        <v>732</v>
      </c>
      <c r="J44" s="149" t="s">
        <v>731</v>
      </c>
      <c r="K44" s="149" t="s">
        <v>733</v>
      </c>
      <c r="L44" s="149" t="s">
        <v>734</v>
      </c>
      <c r="M44" s="149" t="s">
        <v>736</v>
      </c>
      <c r="N44" s="149" t="s">
        <v>735</v>
      </c>
      <c r="O44" s="149" t="s">
        <v>788</v>
      </c>
      <c r="P44" s="149" t="s">
        <v>737</v>
      </c>
    </row>
    <row r="45" spans="6:16" ht="12" customHeight="1">
      <c r="F45" t="s">
        <v>1164</v>
      </c>
      <c r="H45" s="381" t="str">
        <f>G6&amp;" ("&amp;H6&amp;")"</f>
        <v>Total (1250)</v>
      </c>
      <c r="I45" s="443">
        <v>75.760000000000005</v>
      </c>
      <c r="J45" s="443">
        <v>70.08</v>
      </c>
      <c r="K45" s="444">
        <v>67.84</v>
      </c>
      <c r="L45" s="445">
        <v>61.68</v>
      </c>
      <c r="M45" s="445">
        <v>61.12</v>
      </c>
      <c r="N45" s="445">
        <v>56.64</v>
      </c>
      <c r="O45" s="445">
        <v>53.92</v>
      </c>
      <c r="P45" s="445">
        <v>45.6</v>
      </c>
    </row>
    <row r="46" spans="6:16" ht="12" customHeight="1">
      <c r="F46" t="s">
        <v>1160</v>
      </c>
      <c r="H46" s="381" t="str">
        <f t="shared" ref="H46:H55" si="0">G7&amp;" ("&amp;H7&amp;")"</f>
        <v>上海 (20)</v>
      </c>
      <c r="I46" s="153">
        <v>79.600000000000009</v>
      </c>
      <c r="J46" s="153">
        <v>74</v>
      </c>
      <c r="K46" s="154">
        <v>71.599999999999994</v>
      </c>
      <c r="L46" s="155">
        <v>65.600000000000009</v>
      </c>
      <c r="M46" s="155">
        <v>61.199999999999996</v>
      </c>
      <c r="N46" s="155">
        <v>56.000000000000007</v>
      </c>
      <c r="O46" s="155">
        <v>57.599999999999994</v>
      </c>
      <c r="P46" s="155">
        <v>48.8</v>
      </c>
    </row>
    <row r="47" spans="6:16" ht="12" customHeight="1">
      <c r="F47" t="s">
        <v>1161</v>
      </c>
      <c r="H47" s="381" t="str">
        <f t="shared" si="0"/>
        <v>北京 (20)</v>
      </c>
      <c r="I47" s="158">
        <v>76.400000000000006</v>
      </c>
      <c r="J47" s="158">
        <v>65.600000000000009</v>
      </c>
      <c r="K47" s="159">
        <v>69.199999999999989</v>
      </c>
      <c r="L47" s="155">
        <v>61.6</v>
      </c>
      <c r="M47" s="155">
        <v>60.8</v>
      </c>
      <c r="N47" s="155">
        <v>64.400000000000006</v>
      </c>
      <c r="O47" s="155">
        <v>58.4</v>
      </c>
      <c r="P47" s="155">
        <v>43.6</v>
      </c>
    </row>
    <row r="48" spans="6:16" ht="12" customHeight="1">
      <c r="F48" t="s">
        <v>1162</v>
      </c>
      <c r="H48" s="381" t="str">
        <f t="shared" si="0"/>
        <v>広州 (250)</v>
      </c>
      <c r="I48" s="158">
        <v>80.400000000000006</v>
      </c>
      <c r="J48" s="160">
        <v>75.2</v>
      </c>
      <c r="K48" s="161">
        <v>74</v>
      </c>
      <c r="L48" s="155">
        <v>65.600000000000009</v>
      </c>
      <c r="M48" s="155">
        <v>64</v>
      </c>
      <c r="N48" s="155">
        <v>60</v>
      </c>
      <c r="O48" s="155">
        <v>52.400000000000006</v>
      </c>
      <c r="P48" s="162">
        <v>51.2</v>
      </c>
    </row>
    <row r="49" spans="6:16" ht="12" customHeight="1">
      <c r="F49" t="s">
        <v>2229</v>
      </c>
      <c r="H49" s="381" t="str">
        <f t="shared" si="0"/>
        <v>成都 (250)</v>
      </c>
      <c r="I49" s="158">
        <v>74</v>
      </c>
      <c r="J49" s="158">
        <v>70.399999999999991</v>
      </c>
      <c r="K49" s="159">
        <v>65.600000000000009</v>
      </c>
      <c r="L49" s="155">
        <v>56.8</v>
      </c>
      <c r="M49" s="155">
        <v>64.400000000000006</v>
      </c>
      <c r="N49" s="163">
        <v>51.2</v>
      </c>
      <c r="O49" s="155">
        <v>55.2</v>
      </c>
      <c r="P49" s="155">
        <v>40.799999999999997</v>
      </c>
    </row>
    <row r="50" spans="6:16" ht="12" customHeight="1">
      <c r="F50" t="s">
        <v>2230</v>
      </c>
      <c r="H50" s="381" t="str">
        <f t="shared" si="0"/>
        <v>蘇州 (250)</v>
      </c>
      <c r="I50" s="165">
        <v>68.400000000000006</v>
      </c>
      <c r="J50" s="158">
        <v>65.2</v>
      </c>
      <c r="K50" s="166">
        <v>58.8</v>
      </c>
      <c r="L50" s="155">
        <v>58.8</v>
      </c>
      <c r="M50" s="163">
        <v>55.2</v>
      </c>
      <c r="N50" s="163">
        <v>51.6</v>
      </c>
      <c r="O50" s="163">
        <v>46</v>
      </c>
      <c r="P50" s="155">
        <v>43.6</v>
      </c>
    </row>
    <row r="51" spans="6:16" ht="12" customHeight="1">
      <c r="F51" t="s">
        <v>1163</v>
      </c>
      <c r="H51" s="381" t="str">
        <f t="shared" si="0"/>
        <v>25-29 (250)</v>
      </c>
      <c r="I51" s="153">
        <v>78.8</v>
      </c>
      <c r="J51" s="153">
        <v>71.2</v>
      </c>
      <c r="K51" s="167">
        <v>73.2</v>
      </c>
      <c r="L51" s="155">
        <v>64.8</v>
      </c>
      <c r="M51" s="155">
        <v>61.6</v>
      </c>
      <c r="N51" s="155">
        <v>56.8</v>
      </c>
      <c r="O51" s="162">
        <v>59.599999999999994</v>
      </c>
      <c r="P51" s="163">
        <v>38.4</v>
      </c>
    </row>
    <row r="52" spans="6:16" ht="12" customHeight="1">
      <c r="F52" t="s">
        <v>1164</v>
      </c>
      <c r="H52" s="381" t="str">
        <f t="shared" si="0"/>
        <v>30-34 (250)</v>
      </c>
      <c r="I52" s="158">
        <v>75.2</v>
      </c>
      <c r="J52" s="158">
        <v>70.8</v>
      </c>
      <c r="K52" s="159">
        <v>66.8</v>
      </c>
      <c r="L52" s="155">
        <v>63.6</v>
      </c>
      <c r="M52" s="162">
        <v>68.8</v>
      </c>
      <c r="N52" s="155">
        <v>57.199999999999996</v>
      </c>
      <c r="O52" s="162">
        <v>62.4</v>
      </c>
      <c r="P52" s="155">
        <v>46.400000000000006</v>
      </c>
    </row>
    <row r="53" spans="6:16" ht="12" customHeight="1">
      <c r="F53" t="s">
        <v>1165</v>
      </c>
      <c r="H53" s="381" t="str">
        <f t="shared" si="0"/>
        <v>35-39 (250)</v>
      </c>
      <c r="I53" s="158">
        <v>76.8</v>
      </c>
      <c r="J53" s="160">
        <v>79.600000000000009</v>
      </c>
      <c r="K53" s="161">
        <v>75.599999999999994</v>
      </c>
      <c r="L53" s="168">
        <v>72.8</v>
      </c>
      <c r="M53" s="155">
        <v>65.2</v>
      </c>
      <c r="N53" s="162">
        <v>64</v>
      </c>
      <c r="O53" s="155">
        <v>56.000000000000007</v>
      </c>
      <c r="P53" s="168">
        <v>56.399999999999991</v>
      </c>
    </row>
    <row r="54" spans="6:16" ht="12" customHeight="1">
      <c r="F54" t="s">
        <v>1166</v>
      </c>
      <c r="H54" s="381" t="str">
        <f t="shared" si="0"/>
        <v>40-44 (12)</v>
      </c>
      <c r="I54" s="158">
        <v>81.2</v>
      </c>
      <c r="J54" s="158">
        <v>70</v>
      </c>
      <c r="K54" s="159">
        <v>64.8</v>
      </c>
      <c r="L54" s="155">
        <v>56.000000000000007</v>
      </c>
      <c r="M54" s="155">
        <v>57.599999999999994</v>
      </c>
      <c r="N54" s="155">
        <v>56.8</v>
      </c>
      <c r="O54" s="155">
        <v>100</v>
      </c>
      <c r="P54" s="155">
        <v>46.800000000000004</v>
      </c>
    </row>
    <row r="55" spans="6:16" ht="12" customHeight="1">
      <c r="F55" t="s">
        <v>1167</v>
      </c>
      <c r="H55" s="381" t="str">
        <f t="shared" si="0"/>
        <v>45-59 (250)</v>
      </c>
      <c r="I55" s="165">
        <v>66.8</v>
      </c>
      <c r="J55" s="171">
        <v>58.8</v>
      </c>
      <c r="K55" s="166">
        <v>58.8</v>
      </c>
      <c r="L55" s="172">
        <v>51.2</v>
      </c>
      <c r="M55" s="163">
        <v>52.400000000000006</v>
      </c>
      <c r="N55" s="163">
        <v>48.4</v>
      </c>
      <c r="O55" s="172">
        <v>43.6</v>
      </c>
      <c r="P55" s="163">
        <v>40</v>
      </c>
    </row>
  </sheetData>
  <phoneticPr fontId="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249977111117893"/>
  </sheetPr>
  <dimension ref="A1:K657"/>
  <sheetViews>
    <sheetView tabSelected="1" topLeftCell="A65" workbookViewId="0">
      <selection activeCell="P67" sqref="P67"/>
    </sheetView>
  </sheetViews>
  <sheetFormatPr defaultRowHeight="13.8"/>
  <sheetData>
    <row r="1" spans="1:9">
      <c r="A1" t="s">
        <v>2335</v>
      </c>
      <c r="B1" t="s">
        <v>2336</v>
      </c>
      <c r="C1" t="s">
        <v>2337</v>
      </c>
      <c r="D1" t="s">
        <v>2338</v>
      </c>
      <c r="E1" t="s">
        <v>2339</v>
      </c>
      <c r="F1" t="s">
        <v>2340</v>
      </c>
      <c r="G1" t="s">
        <v>2341</v>
      </c>
      <c r="H1" t="s">
        <v>2342</v>
      </c>
      <c r="I1" t="s">
        <v>2343</v>
      </c>
    </row>
    <row r="2" spans="1:9">
      <c r="A2" t="s">
        <v>576</v>
      </c>
      <c r="B2" t="s">
        <v>576</v>
      </c>
      <c r="C2" t="s">
        <v>573</v>
      </c>
      <c r="F2">
        <v>1</v>
      </c>
      <c r="G2" t="s">
        <v>722</v>
      </c>
    </row>
    <row r="3" spans="1:9">
      <c r="A3" t="s">
        <v>575</v>
      </c>
      <c r="B3" t="s">
        <v>575</v>
      </c>
      <c r="C3" t="s">
        <v>573</v>
      </c>
      <c r="F3">
        <v>2</v>
      </c>
      <c r="G3" t="s">
        <v>722</v>
      </c>
    </row>
    <row r="4" spans="1:9">
      <c r="A4" t="s">
        <v>723</v>
      </c>
      <c r="B4" t="s">
        <v>577</v>
      </c>
      <c r="C4" t="s">
        <v>573</v>
      </c>
      <c r="F4">
        <v>3</v>
      </c>
      <c r="G4" t="s">
        <v>722</v>
      </c>
    </row>
    <row r="5" spans="1:9">
      <c r="A5" t="s">
        <v>1287</v>
      </c>
      <c r="B5" t="s">
        <v>1807</v>
      </c>
      <c r="C5" t="s">
        <v>573</v>
      </c>
      <c r="F5">
        <v>4</v>
      </c>
      <c r="G5" t="s">
        <v>722</v>
      </c>
    </row>
    <row r="6" spans="1:9">
      <c r="A6" t="s">
        <v>725</v>
      </c>
      <c r="B6" t="s">
        <v>579</v>
      </c>
      <c r="C6" t="s">
        <v>573</v>
      </c>
      <c r="F6">
        <v>5</v>
      </c>
      <c r="G6" t="s">
        <v>722</v>
      </c>
    </row>
    <row r="7" spans="1:9">
      <c r="A7" t="s">
        <v>1290</v>
      </c>
      <c r="B7" t="s">
        <v>1809</v>
      </c>
      <c r="C7" t="s">
        <v>580</v>
      </c>
      <c r="F7">
        <v>1</v>
      </c>
      <c r="G7" t="s">
        <v>722</v>
      </c>
    </row>
    <row r="8" spans="1:9">
      <c r="A8" t="s">
        <v>1291</v>
      </c>
      <c r="B8" t="s">
        <v>1810</v>
      </c>
      <c r="C8" t="s">
        <v>580</v>
      </c>
      <c r="F8">
        <v>2</v>
      </c>
      <c r="G8" t="s">
        <v>722</v>
      </c>
    </row>
    <row r="9" spans="1:9">
      <c r="A9" t="s">
        <v>1292</v>
      </c>
      <c r="B9" t="s">
        <v>1811</v>
      </c>
      <c r="C9" t="s">
        <v>580</v>
      </c>
      <c r="F9">
        <v>3</v>
      </c>
      <c r="G9" t="s">
        <v>722</v>
      </c>
    </row>
    <row r="10" spans="1:9">
      <c r="A10" t="s">
        <v>1293</v>
      </c>
      <c r="B10" t="s">
        <v>1812</v>
      </c>
      <c r="C10" t="s">
        <v>580</v>
      </c>
      <c r="F10">
        <v>4</v>
      </c>
      <c r="G10" t="s">
        <v>722</v>
      </c>
    </row>
    <row r="11" spans="1:9">
      <c r="A11" t="s">
        <v>1294</v>
      </c>
      <c r="B11" t="s">
        <v>1813</v>
      </c>
      <c r="C11" t="s">
        <v>580</v>
      </c>
      <c r="F11">
        <v>5</v>
      </c>
      <c r="G11" t="s">
        <v>722</v>
      </c>
    </row>
    <row r="12" spans="1:9">
      <c r="A12" t="s">
        <v>1295</v>
      </c>
      <c r="B12" t="s">
        <v>1814</v>
      </c>
      <c r="C12" t="s">
        <v>580</v>
      </c>
      <c r="F12">
        <v>6</v>
      </c>
      <c r="G12" t="s">
        <v>722</v>
      </c>
    </row>
    <row r="13" spans="1:9">
      <c r="A13" t="s">
        <v>1296</v>
      </c>
      <c r="B13" t="s">
        <v>1815</v>
      </c>
      <c r="C13" t="s">
        <v>580</v>
      </c>
      <c r="F13">
        <v>7</v>
      </c>
      <c r="G13" t="s">
        <v>722</v>
      </c>
    </row>
    <row r="14" spans="1:9">
      <c r="A14" t="s">
        <v>1297</v>
      </c>
      <c r="B14" t="s">
        <v>1816</v>
      </c>
      <c r="C14" t="s">
        <v>580</v>
      </c>
      <c r="F14">
        <v>8</v>
      </c>
      <c r="G14" t="s">
        <v>722</v>
      </c>
    </row>
    <row r="15" spans="1:9">
      <c r="A15" t="s">
        <v>1298</v>
      </c>
      <c r="B15" t="s">
        <v>1817</v>
      </c>
      <c r="C15" t="s">
        <v>580</v>
      </c>
      <c r="F15">
        <v>9</v>
      </c>
      <c r="G15" t="s">
        <v>722</v>
      </c>
    </row>
    <row r="16" spans="1:9">
      <c r="A16" t="s">
        <v>1299</v>
      </c>
      <c r="B16" t="s">
        <v>1818</v>
      </c>
      <c r="C16" t="s">
        <v>580</v>
      </c>
      <c r="F16">
        <v>10</v>
      </c>
      <c r="G16" t="s">
        <v>722</v>
      </c>
    </row>
    <row r="17" spans="1:7">
      <c r="A17" t="s">
        <v>1300</v>
      </c>
      <c r="B17" t="s">
        <v>1819</v>
      </c>
      <c r="C17" t="s">
        <v>580</v>
      </c>
      <c r="F17">
        <v>11</v>
      </c>
      <c r="G17" t="s">
        <v>722</v>
      </c>
    </row>
    <row r="18" spans="1:7">
      <c r="A18" t="s">
        <v>1301</v>
      </c>
      <c r="B18" t="s">
        <v>1820</v>
      </c>
      <c r="C18" t="s">
        <v>580</v>
      </c>
      <c r="F18">
        <v>12</v>
      </c>
      <c r="G18" t="s">
        <v>722</v>
      </c>
    </row>
    <row r="19" spans="1:7">
      <c r="A19" t="s">
        <v>726</v>
      </c>
      <c r="B19" t="s">
        <v>586</v>
      </c>
      <c r="C19" t="s">
        <v>1302</v>
      </c>
      <c r="F19">
        <v>1</v>
      </c>
      <c r="G19" t="s">
        <v>722</v>
      </c>
    </row>
    <row r="20" spans="1:7">
      <c r="A20" t="s">
        <v>587</v>
      </c>
      <c r="B20" t="s">
        <v>587</v>
      </c>
      <c r="C20" t="s">
        <v>1302</v>
      </c>
      <c r="F20">
        <v>2</v>
      </c>
      <c r="G20" t="s">
        <v>722</v>
      </c>
    </row>
    <row r="21" spans="1:7">
      <c r="A21" t="s">
        <v>588</v>
      </c>
      <c r="B21" t="s">
        <v>588</v>
      </c>
      <c r="C21" t="s">
        <v>1302</v>
      </c>
      <c r="F21">
        <v>3</v>
      </c>
      <c r="G21" t="s">
        <v>722</v>
      </c>
    </row>
    <row r="22" spans="1:7">
      <c r="A22" t="s">
        <v>589</v>
      </c>
      <c r="B22" t="s">
        <v>589</v>
      </c>
      <c r="C22" t="s">
        <v>1302</v>
      </c>
      <c r="F22">
        <v>4</v>
      </c>
      <c r="G22" t="s">
        <v>722</v>
      </c>
    </row>
    <row r="23" spans="1:7">
      <c r="A23" t="s">
        <v>590</v>
      </c>
      <c r="B23" t="s">
        <v>590</v>
      </c>
      <c r="C23" t="s">
        <v>1302</v>
      </c>
      <c r="F23">
        <v>5</v>
      </c>
      <c r="G23" t="s">
        <v>722</v>
      </c>
    </row>
    <row r="24" spans="1:7">
      <c r="A24" t="s">
        <v>591</v>
      </c>
      <c r="B24" t="s">
        <v>591</v>
      </c>
      <c r="C24" t="s">
        <v>1302</v>
      </c>
      <c r="F24">
        <v>6</v>
      </c>
      <c r="G24" t="s">
        <v>722</v>
      </c>
    </row>
    <row r="25" spans="1:7">
      <c r="A25" t="s">
        <v>592</v>
      </c>
      <c r="B25" t="s">
        <v>592</v>
      </c>
      <c r="C25" t="s">
        <v>1302</v>
      </c>
      <c r="F25">
        <v>7</v>
      </c>
      <c r="G25" t="s">
        <v>722</v>
      </c>
    </row>
    <row r="26" spans="1:7">
      <c r="A26" t="s">
        <v>593</v>
      </c>
      <c r="B26" t="s">
        <v>593</v>
      </c>
      <c r="C26" t="s">
        <v>1302</v>
      </c>
      <c r="F26">
        <v>8</v>
      </c>
      <c r="G26" t="s">
        <v>722</v>
      </c>
    </row>
    <row r="27" spans="1:7">
      <c r="A27" t="s">
        <v>594</v>
      </c>
      <c r="B27" t="s">
        <v>594</v>
      </c>
      <c r="C27" t="s">
        <v>1302</v>
      </c>
      <c r="F27">
        <v>9</v>
      </c>
      <c r="G27" t="s">
        <v>722</v>
      </c>
    </row>
    <row r="28" spans="1:7">
      <c r="A28" t="s">
        <v>595</v>
      </c>
      <c r="B28" t="s">
        <v>595</v>
      </c>
      <c r="C28" t="s">
        <v>1302</v>
      </c>
      <c r="F28">
        <v>10</v>
      </c>
      <c r="G28" t="s">
        <v>722</v>
      </c>
    </row>
    <row r="29" spans="1:7">
      <c r="A29" t="s">
        <v>596</v>
      </c>
      <c r="B29" t="s">
        <v>596</v>
      </c>
      <c r="C29" t="s">
        <v>1302</v>
      </c>
      <c r="F29">
        <v>11</v>
      </c>
      <c r="G29" t="s">
        <v>722</v>
      </c>
    </row>
    <row r="30" spans="1:7">
      <c r="A30" t="s">
        <v>597</v>
      </c>
      <c r="B30" t="s">
        <v>597</v>
      </c>
      <c r="C30" t="s">
        <v>1302</v>
      </c>
      <c r="F30">
        <v>12</v>
      </c>
      <c r="G30" t="s">
        <v>722</v>
      </c>
    </row>
    <row r="31" spans="1:7">
      <c r="A31" t="s">
        <v>598</v>
      </c>
      <c r="B31" t="s">
        <v>598</v>
      </c>
      <c r="C31" t="s">
        <v>1302</v>
      </c>
      <c r="F31">
        <v>13</v>
      </c>
      <c r="G31" t="s">
        <v>722</v>
      </c>
    </row>
    <row r="32" spans="1:7">
      <c r="A32" t="s">
        <v>599</v>
      </c>
      <c r="B32" t="s">
        <v>599</v>
      </c>
      <c r="C32" t="s">
        <v>1302</v>
      </c>
      <c r="F32">
        <v>14</v>
      </c>
      <c r="G32" t="s">
        <v>722</v>
      </c>
    </row>
    <row r="33" spans="1:7">
      <c r="A33" t="s">
        <v>600</v>
      </c>
      <c r="B33" t="s">
        <v>600</v>
      </c>
      <c r="C33" t="s">
        <v>1302</v>
      </c>
      <c r="F33">
        <v>15</v>
      </c>
      <c r="G33" t="s">
        <v>722</v>
      </c>
    </row>
    <row r="34" spans="1:7">
      <c r="A34" t="s">
        <v>601</v>
      </c>
      <c r="B34" t="s">
        <v>601</v>
      </c>
      <c r="C34" t="s">
        <v>1302</v>
      </c>
      <c r="F34">
        <v>16</v>
      </c>
      <c r="G34" t="s">
        <v>722</v>
      </c>
    </row>
    <row r="35" spans="1:7">
      <c r="A35" t="s">
        <v>602</v>
      </c>
      <c r="B35" t="s">
        <v>602</v>
      </c>
      <c r="C35" t="s">
        <v>1302</v>
      </c>
      <c r="F35">
        <v>17</v>
      </c>
      <c r="G35" t="s">
        <v>722</v>
      </c>
    </row>
    <row r="36" spans="1:7">
      <c r="A36" t="s">
        <v>603</v>
      </c>
      <c r="B36" t="s">
        <v>603</v>
      </c>
      <c r="C36" t="s">
        <v>1302</v>
      </c>
      <c r="F36">
        <v>18</v>
      </c>
      <c r="G36" t="s">
        <v>722</v>
      </c>
    </row>
    <row r="37" spans="1:7">
      <c r="A37" t="s">
        <v>604</v>
      </c>
      <c r="B37" t="s">
        <v>604</v>
      </c>
      <c r="C37" t="s">
        <v>1302</v>
      </c>
      <c r="F37">
        <v>19</v>
      </c>
      <c r="G37" t="s">
        <v>722</v>
      </c>
    </row>
    <row r="38" spans="1:7">
      <c r="A38" t="s">
        <v>605</v>
      </c>
      <c r="B38" t="s">
        <v>1822</v>
      </c>
      <c r="C38" t="s">
        <v>1302</v>
      </c>
      <c r="F38">
        <v>20</v>
      </c>
      <c r="G38" t="s">
        <v>722</v>
      </c>
    </row>
    <row r="39" spans="1:7">
      <c r="A39" t="s">
        <v>1306</v>
      </c>
      <c r="B39" t="s">
        <v>1306</v>
      </c>
      <c r="C39" t="s">
        <v>583</v>
      </c>
      <c r="F39">
        <v>1</v>
      </c>
      <c r="G39" t="s">
        <v>722</v>
      </c>
    </row>
    <row r="40" spans="1:7">
      <c r="A40" t="s">
        <v>1307</v>
      </c>
      <c r="B40" t="s">
        <v>1307</v>
      </c>
      <c r="C40" t="s">
        <v>583</v>
      </c>
      <c r="F40">
        <v>2</v>
      </c>
      <c r="G40" t="s">
        <v>722</v>
      </c>
    </row>
    <row r="41" spans="1:7">
      <c r="A41" t="s">
        <v>1308</v>
      </c>
      <c r="B41" t="s">
        <v>1824</v>
      </c>
      <c r="C41" t="s">
        <v>583</v>
      </c>
      <c r="F41">
        <v>3</v>
      </c>
      <c r="G41" t="s">
        <v>722</v>
      </c>
    </row>
    <row r="42" spans="1:7">
      <c r="A42" t="s">
        <v>1309</v>
      </c>
      <c r="B42" t="s">
        <v>1825</v>
      </c>
      <c r="C42" t="s">
        <v>583</v>
      </c>
      <c r="F42">
        <v>4</v>
      </c>
      <c r="G42" t="s">
        <v>722</v>
      </c>
    </row>
    <row r="43" spans="1:7">
      <c r="A43" t="s">
        <v>1313</v>
      </c>
      <c r="B43" t="s">
        <v>1828</v>
      </c>
      <c r="C43" t="s">
        <v>1310</v>
      </c>
      <c r="F43">
        <v>1</v>
      </c>
      <c r="G43" t="s">
        <v>722</v>
      </c>
    </row>
    <row r="44" spans="1:7">
      <c r="A44" t="s">
        <v>1314</v>
      </c>
      <c r="B44" t="s">
        <v>1829</v>
      </c>
      <c r="C44" t="s">
        <v>1310</v>
      </c>
      <c r="F44">
        <v>2</v>
      </c>
      <c r="G44" t="s">
        <v>722</v>
      </c>
    </row>
    <row r="45" spans="1:7">
      <c r="A45" t="s">
        <v>1315</v>
      </c>
      <c r="B45" t="s">
        <v>1830</v>
      </c>
      <c r="C45" t="s">
        <v>1310</v>
      </c>
      <c r="F45">
        <v>3</v>
      </c>
      <c r="G45" t="s">
        <v>722</v>
      </c>
    </row>
    <row r="46" spans="1:7">
      <c r="A46" t="s">
        <v>1316</v>
      </c>
      <c r="B46" t="s">
        <v>1831</v>
      </c>
      <c r="C46" t="s">
        <v>1310</v>
      </c>
      <c r="F46">
        <v>4</v>
      </c>
      <c r="G46" t="s">
        <v>722</v>
      </c>
    </row>
    <row r="47" spans="1:7">
      <c r="A47" t="s">
        <v>1317</v>
      </c>
      <c r="B47" t="s">
        <v>1832</v>
      </c>
      <c r="C47" t="s">
        <v>1310</v>
      </c>
      <c r="F47">
        <v>5</v>
      </c>
      <c r="G47" t="s">
        <v>722</v>
      </c>
    </row>
    <row r="48" spans="1:7">
      <c r="A48" t="s">
        <v>1318</v>
      </c>
      <c r="B48" t="s">
        <v>1833</v>
      </c>
      <c r="C48" t="s">
        <v>1310</v>
      </c>
      <c r="F48">
        <v>6</v>
      </c>
      <c r="G48" t="s">
        <v>722</v>
      </c>
    </row>
    <row r="49" spans="1:7">
      <c r="A49" t="s">
        <v>1319</v>
      </c>
      <c r="B49" t="s">
        <v>1834</v>
      </c>
      <c r="C49" t="s">
        <v>1310</v>
      </c>
      <c r="F49">
        <v>7</v>
      </c>
      <c r="G49" t="s">
        <v>722</v>
      </c>
    </row>
    <row r="50" spans="1:7">
      <c r="A50" t="s">
        <v>1320</v>
      </c>
      <c r="B50" t="s">
        <v>1835</v>
      </c>
      <c r="C50" t="s">
        <v>1310</v>
      </c>
      <c r="F50">
        <v>8</v>
      </c>
      <c r="G50" t="s">
        <v>722</v>
      </c>
    </row>
    <row r="51" spans="1:7">
      <c r="A51" t="s">
        <v>1321</v>
      </c>
      <c r="B51" t="s">
        <v>1836</v>
      </c>
      <c r="C51" t="s">
        <v>1310</v>
      </c>
      <c r="F51">
        <v>9</v>
      </c>
      <c r="G51" t="s">
        <v>722</v>
      </c>
    </row>
    <row r="52" spans="1:7">
      <c r="A52" t="s">
        <v>1322</v>
      </c>
      <c r="B52" t="s">
        <v>1837</v>
      </c>
      <c r="C52" t="s">
        <v>1310</v>
      </c>
      <c r="F52">
        <v>10</v>
      </c>
      <c r="G52" t="s">
        <v>722</v>
      </c>
    </row>
    <row r="53" spans="1:7">
      <c r="A53" t="s">
        <v>1323</v>
      </c>
      <c r="B53" t="s">
        <v>1838</v>
      </c>
      <c r="C53" t="s">
        <v>1310</v>
      </c>
      <c r="F53">
        <v>11</v>
      </c>
      <c r="G53" t="s">
        <v>722</v>
      </c>
    </row>
    <row r="54" spans="1:7">
      <c r="A54" t="s">
        <v>1324</v>
      </c>
      <c r="B54" t="s">
        <v>1839</v>
      </c>
      <c r="C54" t="s">
        <v>1310</v>
      </c>
      <c r="F54">
        <v>12</v>
      </c>
      <c r="G54" t="s">
        <v>722</v>
      </c>
    </row>
    <row r="55" spans="1:7">
      <c r="A55" t="s">
        <v>1329</v>
      </c>
      <c r="B55" t="s">
        <v>1842</v>
      </c>
      <c r="C55" t="s">
        <v>1327</v>
      </c>
      <c r="F55">
        <v>1</v>
      </c>
      <c r="G55" t="s">
        <v>722</v>
      </c>
    </row>
    <row r="56" spans="1:7">
      <c r="A56" t="s">
        <v>1330</v>
      </c>
      <c r="B56" t="s">
        <v>1843</v>
      </c>
      <c r="C56" t="s">
        <v>1327</v>
      </c>
      <c r="F56">
        <v>2</v>
      </c>
      <c r="G56" t="s">
        <v>722</v>
      </c>
    </row>
    <row r="57" spans="1:7">
      <c r="A57" t="s">
        <v>1335</v>
      </c>
      <c r="B57" t="s">
        <v>1846</v>
      </c>
      <c r="C57" t="s">
        <v>1332</v>
      </c>
      <c r="F57">
        <v>1</v>
      </c>
      <c r="G57" t="s">
        <v>722</v>
      </c>
    </row>
    <row r="58" spans="1:7">
      <c r="A58" t="s">
        <v>1336</v>
      </c>
      <c r="B58" t="s">
        <v>1847</v>
      </c>
      <c r="C58" t="s">
        <v>1332</v>
      </c>
      <c r="F58">
        <v>2</v>
      </c>
      <c r="G58" t="s">
        <v>722</v>
      </c>
    </row>
    <row r="59" spans="1:7">
      <c r="A59" t="s">
        <v>1337</v>
      </c>
      <c r="B59" t="s">
        <v>1848</v>
      </c>
      <c r="C59" t="s">
        <v>1332</v>
      </c>
      <c r="F59">
        <v>3</v>
      </c>
      <c r="G59" t="s">
        <v>722</v>
      </c>
    </row>
    <row r="60" spans="1:7">
      <c r="A60" t="s">
        <v>1338</v>
      </c>
      <c r="B60" t="s">
        <v>1849</v>
      </c>
      <c r="C60" t="s">
        <v>1332</v>
      </c>
      <c r="F60">
        <v>4</v>
      </c>
      <c r="G60" t="s">
        <v>722</v>
      </c>
    </row>
    <row r="61" spans="1:7">
      <c r="A61" t="s">
        <v>1339</v>
      </c>
      <c r="B61" t="s">
        <v>1850</v>
      </c>
      <c r="C61" t="s">
        <v>1332</v>
      </c>
      <c r="F61">
        <v>5</v>
      </c>
      <c r="G61" t="s">
        <v>722</v>
      </c>
    </row>
    <row r="62" spans="1:7">
      <c r="A62" t="s">
        <v>1340</v>
      </c>
      <c r="B62" t="s">
        <v>1851</v>
      </c>
      <c r="C62" t="s">
        <v>1332</v>
      </c>
      <c r="F62">
        <v>6</v>
      </c>
      <c r="G62" t="s">
        <v>722</v>
      </c>
    </row>
    <row r="63" spans="1:7">
      <c r="A63" t="s">
        <v>1341</v>
      </c>
      <c r="B63" t="s">
        <v>1852</v>
      </c>
      <c r="C63" t="s">
        <v>1332</v>
      </c>
      <c r="F63">
        <v>7</v>
      </c>
      <c r="G63" t="s">
        <v>722</v>
      </c>
    </row>
    <row r="64" spans="1:7">
      <c r="A64" t="s">
        <v>1342</v>
      </c>
      <c r="B64" t="s">
        <v>1853</v>
      </c>
      <c r="C64" t="s">
        <v>1332</v>
      </c>
      <c r="F64">
        <v>8</v>
      </c>
      <c r="G64" t="s">
        <v>722</v>
      </c>
    </row>
    <row r="65" spans="1:11">
      <c r="A65" t="s">
        <v>1352</v>
      </c>
      <c r="B65" t="s">
        <v>1352</v>
      </c>
      <c r="C65" t="s">
        <v>617</v>
      </c>
      <c r="F65">
        <v>1</v>
      </c>
      <c r="G65" t="s">
        <v>722</v>
      </c>
    </row>
    <row r="66" spans="1:11">
      <c r="A66" t="s">
        <v>1353</v>
      </c>
      <c r="B66" t="s">
        <v>1857</v>
      </c>
      <c r="C66" t="s">
        <v>617</v>
      </c>
      <c r="F66">
        <v>2</v>
      </c>
      <c r="G66" t="s">
        <v>722</v>
      </c>
    </row>
    <row r="67" spans="1:11">
      <c r="A67" t="s">
        <v>1354</v>
      </c>
      <c r="B67" t="s">
        <v>1858</v>
      </c>
      <c r="C67" t="s">
        <v>617</v>
      </c>
      <c r="F67">
        <v>3</v>
      </c>
      <c r="G67" t="s">
        <v>722</v>
      </c>
    </row>
    <row r="68" spans="1:11">
      <c r="A68" t="s">
        <v>1355</v>
      </c>
      <c r="B68" t="s">
        <v>1859</v>
      </c>
      <c r="C68" t="s">
        <v>617</v>
      </c>
      <c r="F68">
        <v>4</v>
      </c>
      <c r="G68" t="s">
        <v>722</v>
      </c>
    </row>
    <row r="69" spans="1:11">
      <c r="A69" t="s">
        <v>1356</v>
      </c>
      <c r="B69" t="s">
        <v>1860</v>
      </c>
      <c r="C69" t="s">
        <v>617</v>
      </c>
      <c r="F69">
        <v>5</v>
      </c>
      <c r="G69" t="s">
        <v>722</v>
      </c>
    </row>
    <row r="70" spans="1:11">
      <c r="A70" t="s">
        <v>1357</v>
      </c>
      <c r="B70" t="s">
        <v>1861</v>
      </c>
      <c r="C70" t="s">
        <v>617</v>
      </c>
      <c r="F70">
        <v>6</v>
      </c>
      <c r="G70" t="s">
        <v>722</v>
      </c>
    </row>
    <row r="71" spans="1:11">
      <c r="A71" t="s">
        <v>1358</v>
      </c>
      <c r="B71" t="s">
        <v>1862</v>
      </c>
      <c r="C71" t="s">
        <v>617</v>
      </c>
      <c r="F71">
        <v>7</v>
      </c>
      <c r="G71" t="s">
        <v>722</v>
      </c>
    </row>
    <row r="72" spans="1:11">
      <c r="A72" t="s">
        <v>1</v>
      </c>
      <c r="B72" t="s">
        <v>1863</v>
      </c>
      <c r="C72" t="s">
        <v>617</v>
      </c>
      <c r="F72">
        <v>8</v>
      </c>
      <c r="G72" t="s">
        <v>722</v>
      </c>
    </row>
    <row r="73" spans="1:11">
      <c r="A73" t="s">
        <v>1359</v>
      </c>
      <c r="B73" t="s">
        <v>1864</v>
      </c>
      <c r="C73" t="s">
        <v>617</v>
      </c>
      <c r="F73">
        <v>9</v>
      </c>
      <c r="G73" t="s">
        <v>722</v>
      </c>
    </row>
    <row r="74" spans="1:11">
      <c r="A74" t="s">
        <v>1360</v>
      </c>
      <c r="B74" t="s">
        <v>1865</v>
      </c>
      <c r="C74" t="s">
        <v>617</v>
      </c>
      <c r="F74">
        <v>10</v>
      </c>
      <c r="G74" t="s">
        <v>722</v>
      </c>
    </row>
    <row r="75" spans="1:11">
      <c r="A75" t="s">
        <v>1361</v>
      </c>
      <c r="B75" t="s">
        <v>1866</v>
      </c>
      <c r="C75" t="s">
        <v>617</v>
      </c>
      <c r="F75">
        <v>11</v>
      </c>
      <c r="G75" t="s">
        <v>722</v>
      </c>
    </row>
    <row r="76" spans="1:11">
      <c r="A76" t="s">
        <v>5</v>
      </c>
      <c r="B76" t="s">
        <v>1867</v>
      </c>
      <c r="C76" t="s">
        <v>617</v>
      </c>
      <c r="F76">
        <v>12</v>
      </c>
      <c r="G76" t="s">
        <v>722</v>
      </c>
    </row>
    <row r="77" spans="1:11">
      <c r="A77" t="s">
        <v>1362</v>
      </c>
      <c r="B77" t="s">
        <v>1868</v>
      </c>
      <c r="C77" t="s">
        <v>617</v>
      </c>
      <c r="F77">
        <v>13</v>
      </c>
      <c r="G77" t="s">
        <v>722</v>
      </c>
      <c r="K77" t="s">
        <v>1862</v>
      </c>
    </row>
    <row r="78" spans="1:11">
      <c r="A78" t="s">
        <v>7</v>
      </c>
      <c r="B78" t="s">
        <v>1869</v>
      </c>
      <c r="C78" t="s">
        <v>617</v>
      </c>
      <c r="F78">
        <v>14</v>
      </c>
      <c r="G78" t="s">
        <v>722</v>
      </c>
      <c r="K78" t="s">
        <v>1863</v>
      </c>
    </row>
    <row r="79" spans="1:11">
      <c r="A79" t="s">
        <v>1363</v>
      </c>
      <c r="B79" t="s">
        <v>1870</v>
      </c>
      <c r="C79" t="s">
        <v>617</v>
      </c>
      <c r="F79">
        <v>15</v>
      </c>
      <c r="G79" t="s">
        <v>722</v>
      </c>
      <c r="K79" t="s">
        <v>1864</v>
      </c>
    </row>
    <row r="80" spans="1:11">
      <c r="A80" t="s">
        <v>1364</v>
      </c>
      <c r="B80" t="s">
        <v>1871</v>
      </c>
      <c r="C80" t="s">
        <v>617</v>
      </c>
      <c r="F80">
        <v>16</v>
      </c>
      <c r="G80" t="s">
        <v>722</v>
      </c>
      <c r="K80" t="s">
        <v>1865</v>
      </c>
    </row>
    <row r="81" spans="1:11">
      <c r="A81" t="s">
        <v>1365</v>
      </c>
      <c r="B81" t="s">
        <v>1365</v>
      </c>
      <c r="C81" t="s">
        <v>617</v>
      </c>
      <c r="F81">
        <v>17</v>
      </c>
      <c r="G81" t="s">
        <v>722</v>
      </c>
      <c r="K81" t="s">
        <v>1866</v>
      </c>
    </row>
    <row r="82" spans="1:11">
      <c r="A82" t="s">
        <v>1366</v>
      </c>
      <c r="B82" t="s">
        <v>1872</v>
      </c>
      <c r="C82" t="s">
        <v>617</v>
      </c>
      <c r="F82">
        <v>18</v>
      </c>
      <c r="G82" t="s">
        <v>722</v>
      </c>
    </row>
    <row r="83" spans="1:11">
      <c r="A83" t="s">
        <v>1367</v>
      </c>
      <c r="B83" t="s">
        <v>1873</v>
      </c>
      <c r="C83" t="s">
        <v>617</v>
      </c>
      <c r="F83">
        <v>19</v>
      </c>
      <c r="G83" t="s">
        <v>722</v>
      </c>
    </row>
    <row r="84" spans="1:11">
      <c r="A84" t="s">
        <v>8</v>
      </c>
      <c r="B84" t="s">
        <v>1874</v>
      </c>
      <c r="C84" t="s">
        <v>617</v>
      </c>
      <c r="F84">
        <v>20</v>
      </c>
      <c r="G84" t="s">
        <v>722</v>
      </c>
    </row>
    <row r="85" spans="1:11">
      <c r="A85" t="s">
        <v>1368</v>
      </c>
      <c r="B85" t="s">
        <v>1875</v>
      </c>
      <c r="C85" t="s">
        <v>617</v>
      </c>
      <c r="F85">
        <v>21</v>
      </c>
      <c r="G85" t="s">
        <v>722</v>
      </c>
    </row>
    <row r="86" spans="1:11">
      <c r="A86" t="s">
        <v>1369</v>
      </c>
      <c r="B86" t="s">
        <v>1876</v>
      </c>
      <c r="C86" t="s">
        <v>617</v>
      </c>
      <c r="F86">
        <v>22</v>
      </c>
      <c r="G86" t="s">
        <v>722</v>
      </c>
    </row>
    <row r="87" spans="1:11">
      <c r="A87" t="s">
        <v>1370</v>
      </c>
      <c r="B87" t="s">
        <v>1877</v>
      </c>
      <c r="C87" t="s">
        <v>617</v>
      </c>
      <c r="F87">
        <v>23</v>
      </c>
      <c r="G87" t="s">
        <v>722</v>
      </c>
    </row>
    <row r="88" spans="1:11">
      <c r="A88" t="s">
        <v>1371</v>
      </c>
      <c r="B88" t="s">
        <v>1878</v>
      </c>
      <c r="C88" t="s">
        <v>617</v>
      </c>
      <c r="F88">
        <v>24</v>
      </c>
      <c r="G88" t="s">
        <v>722</v>
      </c>
    </row>
    <row r="89" spans="1:11">
      <c r="A89" t="s">
        <v>4</v>
      </c>
      <c r="B89" t="s">
        <v>1879</v>
      </c>
      <c r="C89" t="s">
        <v>617</v>
      </c>
      <c r="F89">
        <v>25</v>
      </c>
      <c r="G89" t="s">
        <v>722</v>
      </c>
    </row>
    <row r="90" spans="1:11">
      <c r="A90" t="s">
        <v>1372</v>
      </c>
      <c r="B90" t="s">
        <v>1880</v>
      </c>
      <c r="C90" t="s">
        <v>617</v>
      </c>
      <c r="F90">
        <v>26</v>
      </c>
      <c r="G90" t="s">
        <v>722</v>
      </c>
    </row>
    <row r="91" spans="1:11">
      <c r="A91" t="s">
        <v>6</v>
      </c>
      <c r="B91" t="s">
        <v>1881</v>
      </c>
      <c r="C91" t="s">
        <v>617</v>
      </c>
      <c r="F91">
        <v>27</v>
      </c>
      <c r="G91" t="s">
        <v>722</v>
      </c>
    </row>
    <row r="92" spans="1:11">
      <c r="A92" t="s">
        <v>1373</v>
      </c>
      <c r="B92" t="s">
        <v>1882</v>
      </c>
      <c r="C92" t="s">
        <v>617</v>
      </c>
      <c r="F92">
        <v>28</v>
      </c>
      <c r="G92" t="s">
        <v>722</v>
      </c>
    </row>
    <row r="93" spans="1:11">
      <c r="A93" t="s">
        <v>1374</v>
      </c>
      <c r="B93" t="s">
        <v>1883</v>
      </c>
      <c r="C93" t="s">
        <v>617</v>
      </c>
      <c r="F93">
        <v>29</v>
      </c>
      <c r="G93" t="s">
        <v>722</v>
      </c>
    </row>
    <row r="94" spans="1:11">
      <c r="A94" t="s">
        <v>1375</v>
      </c>
      <c r="B94" t="s">
        <v>1375</v>
      </c>
      <c r="C94" t="s">
        <v>617</v>
      </c>
      <c r="F94">
        <v>30</v>
      </c>
      <c r="G94" t="s">
        <v>722</v>
      </c>
    </row>
    <row r="95" spans="1:11">
      <c r="A95" t="s">
        <v>1376</v>
      </c>
      <c r="B95" t="s">
        <v>1884</v>
      </c>
      <c r="C95" t="s">
        <v>617</v>
      </c>
      <c r="F95">
        <v>31</v>
      </c>
      <c r="G95" t="s">
        <v>722</v>
      </c>
    </row>
    <row r="96" spans="1:11">
      <c r="A96" t="s">
        <v>1377</v>
      </c>
      <c r="B96" t="s">
        <v>1885</v>
      </c>
      <c r="C96" t="s">
        <v>617</v>
      </c>
      <c r="F96">
        <v>32</v>
      </c>
      <c r="G96" t="s">
        <v>722</v>
      </c>
    </row>
    <row r="97" spans="1:7">
      <c r="A97" t="s">
        <v>1378</v>
      </c>
      <c r="B97" t="s">
        <v>1886</v>
      </c>
      <c r="C97" t="s">
        <v>617</v>
      </c>
      <c r="F97">
        <v>33</v>
      </c>
      <c r="G97" t="s">
        <v>722</v>
      </c>
    </row>
    <row r="98" spans="1:7">
      <c r="A98" t="s">
        <v>3</v>
      </c>
      <c r="B98" t="s">
        <v>1887</v>
      </c>
      <c r="C98" t="s">
        <v>617</v>
      </c>
      <c r="F98">
        <v>34</v>
      </c>
      <c r="G98" t="s">
        <v>722</v>
      </c>
    </row>
    <row r="99" spans="1:7">
      <c r="A99" t="s">
        <v>1379</v>
      </c>
      <c r="B99" t="s">
        <v>1888</v>
      </c>
      <c r="C99" t="s">
        <v>617</v>
      </c>
      <c r="F99">
        <v>35</v>
      </c>
      <c r="G99" t="s">
        <v>722</v>
      </c>
    </row>
    <row r="100" spans="1:7">
      <c r="A100" t="s">
        <v>1380</v>
      </c>
      <c r="B100" t="s">
        <v>1889</v>
      </c>
      <c r="C100" t="s">
        <v>617</v>
      </c>
      <c r="F100">
        <v>36</v>
      </c>
      <c r="G100" t="s">
        <v>722</v>
      </c>
    </row>
    <row r="101" spans="1:7">
      <c r="A101" t="s">
        <v>1381</v>
      </c>
      <c r="B101" t="s">
        <v>1890</v>
      </c>
      <c r="C101" t="s">
        <v>617</v>
      </c>
      <c r="F101">
        <v>37</v>
      </c>
      <c r="G101" t="s">
        <v>722</v>
      </c>
    </row>
    <row r="102" spans="1:7">
      <c r="A102" t="s">
        <v>1382</v>
      </c>
      <c r="B102" t="s">
        <v>1891</v>
      </c>
      <c r="C102" t="s">
        <v>617</v>
      </c>
      <c r="F102">
        <v>38</v>
      </c>
      <c r="G102" t="s">
        <v>722</v>
      </c>
    </row>
    <row r="103" spans="1:7">
      <c r="A103" t="s">
        <v>1383</v>
      </c>
      <c r="B103" t="s">
        <v>1892</v>
      </c>
      <c r="C103" t="s">
        <v>617</v>
      </c>
      <c r="F103">
        <v>39</v>
      </c>
      <c r="G103" t="s">
        <v>722</v>
      </c>
    </row>
    <row r="104" spans="1:7">
      <c r="A104" t="s">
        <v>755</v>
      </c>
      <c r="B104" t="s">
        <v>615</v>
      </c>
      <c r="C104" t="s">
        <v>617</v>
      </c>
      <c r="F104">
        <v>40</v>
      </c>
      <c r="G104" t="s">
        <v>722</v>
      </c>
    </row>
    <row r="105" spans="1:7">
      <c r="A105" t="s">
        <v>1387</v>
      </c>
      <c r="B105" t="s">
        <v>1895</v>
      </c>
      <c r="C105" t="s">
        <v>1384</v>
      </c>
      <c r="F105">
        <v>1</v>
      </c>
      <c r="G105" t="s">
        <v>722</v>
      </c>
    </row>
    <row r="106" spans="1:7">
      <c r="A106" t="s">
        <v>745</v>
      </c>
      <c r="B106" t="s">
        <v>636</v>
      </c>
      <c r="C106" t="s">
        <v>1384</v>
      </c>
      <c r="F106">
        <v>2</v>
      </c>
      <c r="G106" t="s">
        <v>722</v>
      </c>
    </row>
    <row r="107" spans="1:7">
      <c r="A107" t="s">
        <v>1388</v>
      </c>
      <c r="B107" t="s">
        <v>1896</v>
      </c>
      <c r="C107" t="s">
        <v>1384</v>
      </c>
      <c r="F107">
        <v>3</v>
      </c>
      <c r="G107" t="s">
        <v>722</v>
      </c>
    </row>
    <row r="108" spans="1:7">
      <c r="A108" t="s">
        <v>1389</v>
      </c>
      <c r="B108" t="s">
        <v>1897</v>
      </c>
      <c r="C108" t="s">
        <v>1384</v>
      </c>
      <c r="F108">
        <v>4</v>
      </c>
      <c r="G108" t="s">
        <v>722</v>
      </c>
    </row>
    <row r="109" spans="1:7">
      <c r="A109" t="s">
        <v>1390</v>
      </c>
      <c r="B109" t="s">
        <v>1898</v>
      </c>
      <c r="C109" t="s">
        <v>1384</v>
      </c>
      <c r="F109">
        <v>5</v>
      </c>
      <c r="G109" t="s">
        <v>722</v>
      </c>
    </row>
    <row r="110" spans="1:7">
      <c r="A110" t="s">
        <v>1391</v>
      </c>
      <c r="B110" t="s">
        <v>1899</v>
      </c>
      <c r="C110" t="s">
        <v>1384</v>
      </c>
      <c r="F110">
        <v>6</v>
      </c>
      <c r="G110" t="s">
        <v>722</v>
      </c>
    </row>
    <row r="111" spans="1:7">
      <c r="A111" t="s">
        <v>746</v>
      </c>
      <c r="B111" t="s">
        <v>637</v>
      </c>
      <c r="C111" t="s">
        <v>1384</v>
      </c>
      <c r="F111">
        <v>7</v>
      </c>
      <c r="G111" t="s">
        <v>722</v>
      </c>
    </row>
    <row r="112" spans="1:7">
      <c r="A112" t="s">
        <v>1392</v>
      </c>
      <c r="B112" t="s">
        <v>1900</v>
      </c>
      <c r="C112" t="s">
        <v>1384</v>
      </c>
      <c r="F112">
        <v>8</v>
      </c>
      <c r="G112" t="s">
        <v>722</v>
      </c>
    </row>
    <row r="113" spans="1:7">
      <c r="A113" t="s">
        <v>1393</v>
      </c>
      <c r="B113" t="s">
        <v>1901</v>
      </c>
      <c r="C113" t="s">
        <v>1384</v>
      </c>
      <c r="F113">
        <v>9</v>
      </c>
      <c r="G113" t="s">
        <v>722</v>
      </c>
    </row>
    <row r="114" spans="1:7">
      <c r="A114" t="s">
        <v>747</v>
      </c>
      <c r="B114" t="s">
        <v>638</v>
      </c>
      <c r="C114" t="s">
        <v>1384</v>
      </c>
      <c r="F114">
        <v>10</v>
      </c>
      <c r="G114" t="s">
        <v>722</v>
      </c>
    </row>
    <row r="115" spans="1:7">
      <c r="A115" t="s">
        <v>1394</v>
      </c>
      <c r="B115" t="s">
        <v>1902</v>
      </c>
      <c r="C115" t="s">
        <v>1384</v>
      </c>
      <c r="F115">
        <v>11</v>
      </c>
      <c r="G115" t="s">
        <v>722</v>
      </c>
    </row>
    <row r="116" spans="1:7">
      <c r="A116" t="s">
        <v>1395</v>
      </c>
      <c r="B116" t="s">
        <v>1903</v>
      </c>
      <c r="C116" t="s">
        <v>1384</v>
      </c>
      <c r="F116">
        <v>12</v>
      </c>
      <c r="G116" t="s">
        <v>722</v>
      </c>
    </row>
    <row r="117" spans="1:7">
      <c r="A117" t="s">
        <v>750</v>
      </c>
      <c r="B117" t="s">
        <v>641</v>
      </c>
      <c r="C117" t="s">
        <v>1384</v>
      </c>
      <c r="F117">
        <v>13</v>
      </c>
      <c r="G117" t="s">
        <v>722</v>
      </c>
    </row>
    <row r="118" spans="1:7">
      <c r="A118" t="s">
        <v>1396</v>
      </c>
      <c r="B118" t="s">
        <v>1904</v>
      </c>
      <c r="C118" t="s">
        <v>1384</v>
      </c>
      <c r="F118">
        <v>14</v>
      </c>
      <c r="G118" t="s">
        <v>722</v>
      </c>
    </row>
    <row r="119" spans="1:7">
      <c r="A119" t="s">
        <v>1397</v>
      </c>
      <c r="B119" t="s">
        <v>1905</v>
      </c>
      <c r="C119" t="s">
        <v>1384</v>
      </c>
      <c r="F119">
        <v>15</v>
      </c>
      <c r="G119" t="s">
        <v>722</v>
      </c>
    </row>
    <row r="120" spans="1:7">
      <c r="A120" t="s">
        <v>1398</v>
      </c>
      <c r="B120" t="s">
        <v>1906</v>
      </c>
      <c r="C120" t="s">
        <v>1384</v>
      </c>
      <c r="F120">
        <v>16</v>
      </c>
      <c r="G120" t="s">
        <v>722</v>
      </c>
    </row>
    <row r="121" spans="1:7">
      <c r="A121" t="s">
        <v>1399</v>
      </c>
      <c r="B121" t="s">
        <v>1907</v>
      </c>
      <c r="C121" t="s">
        <v>1384</v>
      </c>
      <c r="F121">
        <v>17</v>
      </c>
      <c r="G121" t="s">
        <v>722</v>
      </c>
    </row>
    <row r="122" spans="1:7">
      <c r="A122" t="s">
        <v>1400</v>
      </c>
      <c r="B122" t="s">
        <v>1908</v>
      </c>
      <c r="C122" t="s">
        <v>1384</v>
      </c>
      <c r="F122">
        <v>18</v>
      </c>
      <c r="G122" t="s">
        <v>722</v>
      </c>
    </row>
    <row r="123" spans="1:7">
      <c r="A123" t="s">
        <v>1401</v>
      </c>
      <c r="B123" t="s">
        <v>1909</v>
      </c>
      <c r="C123" t="s">
        <v>1384</v>
      </c>
      <c r="F123">
        <v>19</v>
      </c>
      <c r="G123" t="s">
        <v>722</v>
      </c>
    </row>
    <row r="124" spans="1:7">
      <c r="A124" t="s">
        <v>1402</v>
      </c>
      <c r="B124" t="s">
        <v>1910</v>
      </c>
      <c r="C124" t="s">
        <v>1384</v>
      </c>
      <c r="F124">
        <v>20</v>
      </c>
      <c r="G124" t="s">
        <v>722</v>
      </c>
    </row>
    <row r="125" spans="1:7">
      <c r="A125" t="s">
        <v>1403</v>
      </c>
      <c r="B125" t="s">
        <v>1911</v>
      </c>
      <c r="C125" t="s">
        <v>1384</v>
      </c>
      <c r="F125">
        <v>21</v>
      </c>
      <c r="G125" t="s">
        <v>722</v>
      </c>
    </row>
    <row r="126" spans="1:7">
      <c r="A126" t="s">
        <v>1404</v>
      </c>
      <c r="B126" t="s">
        <v>642</v>
      </c>
      <c r="C126" t="s">
        <v>1384</v>
      </c>
      <c r="F126">
        <v>22</v>
      </c>
      <c r="G126" t="s">
        <v>722</v>
      </c>
    </row>
    <row r="127" spans="1:7">
      <c r="A127" t="s">
        <v>1405</v>
      </c>
      <c r="B127" t="s">
        <v>1912</v>
      </c>
      <c r="C127" t="s">
        <v>1384</v>
      </c>
      <c r="F127">
        <v>23</v>
      </c>
      <c r="G127" t="s">
        <v>722</v>
      </c>
    </row>
    <row r="128" spans="1:7">
      <c r="A128" t="s">
        <v>748</v>
      </c>
      <c r="B128" t="s">
        <v>639</v>
      </c>
      <c r="C128" t="s">
        <v>1384</v>
      </c>
      <c r="F128">
        <v>24</v>
      </c>
      <c r="G128" t="s">
        <v>722</v>
      </c>
    </row>
    <row r="129" spans="1:7">
      <c r="A129" t="s">
        <v>749</v>
      </c>
      <c r="B129" t="s">
        <v>640</v>
      </c>
      <c r="C129" t="s">
        <v>1384</v>
      </c>
      <c r="F129">
        <v>25</v>
      </c>
      <c r="G129" t="s">
        <v>722</v>
      </c>
    </row>
    <row r="130" spans="1:7">
      <c r="A130" t="s">
        <v>729</v>
      </c>
      <c r="B130" t="s">
        <v>615</v>
      </c>
      <c r="C130" t="s">
        <v>1384</v>
      </c>
      <c r="F130">
        <v>26</v>
      </c>
      <c r="G130" t="s">
        <v>722</v>
      </c>
    </row>
    <row r="131" spans="1:7">
      <c r="A131" t="s">
        <v>756</v>
      </c>
      <c r="B131" t="s">
        <v>671</v>
      </c>
      <c r="C131" t="s">
        <v>1421</v>
      </c>
      <c r="F131">
        <v>1</v>
      </c>
      <c r="G131" t="s">
        <v>722</v>
      </c>
    </row>
    <row r="132" spans="1:7">
      <c r="A132" t="s">
        <v>757</v>
      </c>
      <c r="B132" t="s">
        <v>672</v>
      </c>
      <c r="C132" t="s">
        <v>1421</v>
      </c>
      <c r="F132">
        <v>2</v>
      </c>
      <c r="G132" t="s">
        <v>722</v>
      </c>
    </row>
    <row r="133" spans="1:7">
      <c r="A133" t="s">
        <v>758</v>
      </c>
      <c r="B133" t="s">
        <v>673</v>
      </c>
      <c r="C133" t="s">
        <v>1421</v>
      </c>
      <c r="F133">
        <v>3</v>
      </c>
      <c r="G133" t="s">
        <v>722</v>
      </c>
    </row>
    <row r="134" spans="1:7">
      <c r="A134" t="s">
        <v>759</v>
      </c>
      <c r="B134" t="s">
        <v>674</v>
      </c>
      <c r="C134" t="s">
        <v>1421</v>
      </c>
      <c r="F134">
        <v>4</v>
      </c>
      <c r="G134" t="s">
        <v>722</v>
      </c>
    </row>
    <row r="135" spans="1:7">
      <c r="A135" t="s">
        <v>760</v>
      </c>
      <c r="B135" t="s">
        <v>675</v>
      </c>
      <c r="C135" t="s">
        <v>1421</v>
      </c>
      <c r="F135">
        <v>5</v>
      </c>
      <c r="G135" t="s">
        <v>722</v>
      </c>
    </row>
    <row r="136" spans="1:7">
      <c r="A136" t="s">
        <v>1423</v>
      </c>
      <c r="B136" t="s">
        <v>1921</v>
      </c>
      <c r="C136" t="s">
        <v>1421</v>
      </c>
      <c r="F136">
        <v>6</v>
      </c>
      <c r="G136" t="s">
        <v>722</v>
      </c>
    </row>
    <row r="137" spans="1:7">
      <c r="A137" t="s">
        <v>1434</v>
      </c>
      <c r="B137" t="s">
        <v>1434</v>
      </c>
      <c r="C137" t="s">
        <v>621</v>
      </c>
      <c r="F137">
        <v>1</v>
      </c>
      <c r="G137" t="s">
        <v>722</v>
      </c>
    </row>
    <row r="138" spans="1:7">
      <c r="A138" t="s">
        <v>1435</v>
      </c>
      <c r="B138" t="s">
        <v>1435</v>
      </c>
      <c r="C138" t="s">
        <v>621</v>
      </c>
      <c r="F138">
        <v>2</v>
      </c>
      <c r="G138" t="s">
        <v>722</v>
      </c>
    </row>
    <row r="139" spans="1:7">
      <c r="A139" t="s">
        <v>1436</v>
      </c>
      <c r="B139" t="s">
        <v>1923</v>
      </c>
      <c r="C139" t="s">
        <v>621</v>
      </c>
      <c r="F139">
        <v>3</v>
      </c>
      <c r="G139" t="s">
        <v>722</v>
      </c>
    </row>
    <row r="140" spans="1:7">
      <c r="A140" t="s">
        <v>1439</v>
      </c>
      <c r="B140" t="s">
        <v>1926</v>
      </c>
      <c r="C140" t="s">
        <v>623</v>
      </c>
      <c r="F140">
        <v>1</v>
      </c>
      <c r="G140" t="s">
        <v>722</v>
      </c>
    </row>
    <row r="141" spans="1:7">
      <c r="A141" t="s">
        <v>1440</v>
      </c>
      <c r="B141" t="s">
        <v>1927</v>
      </c>
      <c r="C141" t="s">
        <v>623</v>
      </c>
      <c r="F141">
        <v>2</v>
      </c>
      <c r="G141" t="s">
        <v>722</v>
      </c>
    </row>
    <row r="142" spans="1:7">
      <c r="A142" t="s">
        <v>1352</v>
      </c>
      <c r="B142" t="s">
        <v>1352</v>
      </c>
      <c r="C142" t="s">
        <v>625</v>
      </c>
      <c r="F142">
        <v>1</v>
      </c>
      <c r="G142" t="s">
        <v>722</v>
      </c>
    </row>
    <row r="143" spans="1:7">
      <c r="A143" t="s">
        <v>1353</v>
      </c>
      <c r="B143" t="s">
        <v>1857</v>
      </c>
      <c r="C143" t="s">
        <v>625</v>
      </c>
      <c r="F143">
        <v>2</v>
      </c>
      <c r="G143" t="s">
        <v>722</v>
      </c>
    </row>
    <row r="144" spans="1:7">
      <c r="A144" t="s">
        <v>1354</v>
      </c>
      <c r="B144" t="s">
        <v>1858</v>
      </c>
      <c r="C144" t="s">
        <v>625</v>
      </c>
      <c r="F144">
        <v>3</v>
      </c>
      <c r="G144" t="s">
        <v>722</v>
      </c>
    </row>
    <row r="145" spans="1:7">
      <c r="A145" t="s">
        <v>1355</v>
      </c>
      <c r="B145" t="s">
        <v>1859</v>
      </c>
      <c r="C145" t="s">
        <v>625</v>
      </c>
      <c r="F145">
        <v>4</v>
      </c>
      <c r="G145" t="s">
        <v>722</v>
      </c>
    </row>
    <row r="146" spans="1:7">
      <c r="A146" t="s">
        <v>1356</v>
      </c>
      <c r="B146" t="s">
        <v>1860</v>
      </c>
      <c r="C146" t="s">
        <v>625</v>
      </c>
      <c r="F146">
        <v>5</v>
      </c>
      <c r="G146" t="s">
        <v>722</v>
      </c>
    </row>
    <row r="147" spans="1:7">
      <c r="A147" t="s">
        <v>1357</v>
      </c>
      <c r="B147" t="s">
        <v>1861</v>
      </c>
      <c r="C147" t="s">
        <v>625</v>
      </c>
      <c r="F147">
        <v>6</v>
      </c>
      <c r="G147" t="s">
        <v>722</v>
      </c>
    </row>
    <row r="148" spans="1:7">
      <c r="A148" t="s">
        <v>1358</v>
      </c>
      <c r="B148" t="s">
        <v>1862</v>
      </c>
      <c r="C148" t="s">
        <v>625</v>
      </c>
      <c r="F148">
        <v>7</v>
      </c>
      <c r="G148" t="s">
        <v>722</v>
      </c>
    </row>
    <row r="149" spans="1:7">
      <c r="A149" t="s">
        <v>1</v>
      </c>
      <c r="B149" t="s">
        <v>1863</v>
      </c>
      <c r="C149" t="s">
        <v>625</v>
      </c>
      <c r="F149">
        <v>8</v>
      </c>
      <c r="G149" t="s">
        <v>722</v>
      </c>
    </row>
    <row r="150" spans="1:7">
      <c r="A150" t="s">
        <v>1359</v>
      </c>
      <c r="B150" t="s">
        <v>1864</v>
      </c>
      <c r="C150" t="s">
        <v>625</v>
      </c>
      <c r="F150">
        <v>9</v>
      </c>
      <c r="G150" t="s">
        <v>722</v>
      </c>
    </row>
    <row r="151" spans="1:7">
      <c r="A151" t="s">
        <v>1360</v>
      </c>
      <c r="B151" t="s">
        <v>1865</v>
      </c>
      <c r="C151" t="s">
        <v>625</v>
      </c>
      <c r="F151">
        <v>10</v>
      </c>
      <c r="G151" t="s">
        <v>722</v>
      </c>
    </row>
    <row r="152" spans="1:7">
      <c r="A152" t="s">
        <v>1361</v>
      </c>
      <c r="B152" t="s">
        <v>1866</v>
      </c>
      <c r="C152" t="s">
        <v>625</v>
      </c>
      <c r="F152">
        <v>11</v>
      </c>
      <c r="G152" t="s">
        <v>722</v>
      </c>
    </row>
    <row r="153" spans="1:7">
      <c r="A153" t="s">
        <v>5</v>
      </c>
      <c r="B153" t="s">
        <v>1867</v>
      </c>
      <c r="C153" t="s">
        <v>625</v>
      </c>
      <c r="F153">
        <v>12</v>
      </c>
      <c r="G153" t="s">
        <v>722</v>
      </c>
    </row>
    <row r="154" spans="1:7">
      <c r="A154" t="s">
        <v>1362</v>
      </c>
      <c r="B154" t="s">
        <v>1868</v>
      </c>
      <c r="C154" t="s">
        <v>625</v>
      </c>
      <c r="F154">
        <v>13</v>
      </c>
      <c r="G154" t="s">
        <v>722</v>
      </c>
    </row>
    <row r="155" spans="1:7">
      <c r="A155" t="s">
        <v>7</v>
      </c>
      <c r="B155" t="s">
        <v>1869</v>
      </c>
      <c r="C155" t="s">
        <v>625</v>
      </c>
      <c r="F155">
        <v>14</v>
      </c>
      <c r="G155" t="s">
        <v>722</v>
      </c>
    </row>
    <row r="156" spans="1:7">
      <c r="A156" t="s">
        <v>1363</v>
      </c>
      <c r="B156" t="s">
        <v>1870</v>
      </c>
      <c r="C156" t="s">
        <v>625</v>
      </c>
      <c r="F156">
        <v>15</v>
      </c>
      <c r="G156" t="s">
        <v>722</v>
      </c>
    </row>
    <row r="157" spans="1:7">
      <c r="A157" t="s">
        <v>1364</v>
      </c>
      <c r="B157" t="s">
        <v>1871</v>
      </c>
      <c r="C157" t="s">
        <v>625</v>
      </c>
      <c r="F157">
        <v>16</v>
      </c>
      <c r="G157" t="s">
        <v>722</v>
      </c>
    </row>
    <row r="158" spans="1:7">
      <c r="A158" t="s">
        <v>1365</v>
      </c>
      <c r="B158" t="s">
        <v>1365</v>
      </c>
      <c r="C158" t="s">
        <v>625</v>
      </c>
      <c r="F158">
        <v>17</v>
      </c>
      <c r="G158" t="s">
        <v>722</v>
      </c>
    </row>
    <row r="159" spans="1:7">
      <c r="A159" t="s">
        <v>1366</v>
      </c>
      <c r="B159" t="s">
        <v>1872</v>
      </c>
      <c r="C159" t="s">
        <v>625</v>
      </c>
      <c r="F159">
        <v>18</v>
      </c>
      <c r="G159" t="s">
        <v>722</v>
      </c>
    </row>
    <row r="160" spans="1:7">
      <c r="A160" t="s">
        <v>1367</v>
      </c>
      <c r="B160" t="s">
        <v>1873</v>
      </c>
      <c r="C160" t="s">
        <v>625</v>
      </c>
      <c r="F160">
        <v>19</v>
      </c>
      <c r="G160" t="s">
        <v>722</v>
      </c>
    </row>
    <row r="161" spans="1:7">
      <c r="A161" t="s">
        <v>8</v>
      </c>
      <c r="B161" t="s">
        <v>1874</v>
      </c>
      <c r="C161" t="s">
        <v>625</v>
      </c>
      <c r="F161">
        <v>20</v>
      </c>
      <c r="G161" t="s">
        <v>722</v>
      </c>
    </row>
    <row r="162" spans="1:7">
      <c r="A162" t="s">
        <v>1368</v>
      </c>
      <c r="B162" t="s">
        <v>1875</v>
      </c>
      <c r="C162" t="s">
        <v>625</v>
      </c>
      <c r="F162">
        <v>21</v>
      </c>
      <c r="G162" t="s">
        <v>722</v>
      </c>
    </row>
    <row r="163" spans="1:7">
      <c r="A163" t="s">
        <v>1369</v>
      </c>
      <c r="B163" t="s">
        <v>1876</v>
      </c>
      <c r="C163" t="s">
        <v>625</v>
      </c>
      <c r="F163">
        <v>22</v>
      </c>
      <c r="G163" t="s">
        <v>722</v>
      </c>
    </row>
    <row r="164" spans="1:7">
      <c r="A164" t="s">
        <v>1370</v>
      </c>
      <c r="B164" t="s">
        <v>1877</v>
      </c>
      <c r="C164" t="s">
        <v>625</v>
      </c>
      <c r="F164">
        <v>23</v>
      </c>
      <c r="G164" t="s">
        <v>722</v>
      </c>
    </row>
    <row r="165" spans="1:7">
      <c r="A165" t="s">
        <v>1371</v>
      </c>
      <c r="B165" t="s">
        <v>1878</v>
      </c>
      <c r="C165" t="s">
        <v>625</v>
      </c>
      <c r="F165">
        <v>24</v>
      </c>
      <c r="G165" t="s">
        <v>722</v>
      </c>
    </row>
    <row r="166" spans="1:7">
      <c r="A166" t="s">
        <v>4</v>
      </c>
      <c r="B166" t="s">
        <v>1879</v>
      </c>
      <c r="C166" t="s">
        <v>625</v>
      </c>
      <c r="F166">
        <v>25</v>
      </c>
      <c r="G166" t="s">
        <v>722</v>
      </c>
    </row>
    <row r="167" spans="1:7">
      <c r="A167" t="s">
        <v>1372</v>
      </c>
      <c r="B167" t="s">
        <v>1880</v>
      </c>
      <c r="C167" t="s">
        <v>625</v>
      </c>
      <c r="F167">
        <v>26</v>
      </c>
      <c r="G167" t="s">
        <v>722</v>
      </c>
    </row>
    <row r="168" spans="1:7">
      <c r="A168" t="s">
        <v>6</v>
      </c>
      <c r="B168" t="s">
        <v>1881</v>
      </c>
      <c r="C168" t="s">
        <v>625</v>
      </c>
      <c r="F168">
        <v>27</v>
      </c>
      <c r="G168" t="s">
        <v>722</v>
      </c>
    </row>
    <row r="169" spans="1:7">
      <c r="A169" t="s">
        <v>1373</v>
      </c>
      <c r="B169" t="s">
        <v>1882</v>
      </c>
      <c r="C169" t="s">
        <v>625</v>
      </c>
      <c r="F169">
        <v>28</v>
      </c>
      <c r="G169" t="s">
        <v>722</v>
      </c>
    </row>
    <row r="170" spans="1:7">
      <c r="A170" t="s">
        <v>1374</v>
      </c>
      <c r="B170" t="s">
        <v>1883</v>
      </c>
      <c r="C170" t="s">
        <v>625</v>
      </c>
      <c r="F170">
        <v>29</v>
      </c>
      <c r="G170" t="s">
        <v>722</v>
      </c>
    </row>
    <row r="171" spans="1:7">
      <c r="A171" t="s">
        <v>1375</v>
      </c>
      <c r="B171" t="s">
        <v>1375</v>
      </c>
      <c r="C171" t="s">
        <v>625</v>
      </c>
      <c r="F171">
        <v>30</v>
      </c>
      <c r="G171" t="s">
        <v>722</v>
      </c>
    </row>
    <row r="172" spans="1:7">
      <c r="A172" t="s">
        <v>1376</v>
      </c>
      <c r="B172" t="s">
        <v>1884</v>
      </c>
      <c r="C172" t="s">
        <v>625</v>
      </c>
      <c r="F172">
        <v>31</v>
      </c>
      <c r="G172" t="s">
        <v>722</v>
      </c>
    </row>
    <row r="173" spans="1:7">
      <c r="A173" t="s">
        <v>1377</v>
      </c>
      <c r="B173" t="s">
        <v>1885</v>
      </c>
      <c r="C173" t="s">
        <v>625</v>
      </c>
      <c r="F173">
        <v>32</v>
      </c>
      <c r="G173" t="s">
        <v>722</v>
      </c>
    </row>
    <row r="174" spans="1:7">
      <c r="A174" t="s">
        <v>1378</v>
      </c>
      <c r="B174" t="s">
        <v>1886</v>
      </c>
      <c r="C174" t="s">
        <v>625</v>
      </c>
      <c r="F174">
        <v>33</v>
      </c>
      <c r="G174" t="s">
        <v>722</v>
      </c>
    </row>
    <row r="175" spans="1:7">
      <c r="A175" t="s">
        <v>3</v>
      </c>
      <c r="B175" t="s">
        <v>1887</v>
      </c>
      <c r="C175" t="s">
        <v>625</v>
      </c>
      <c r="F175">
        <v>34</v>
      </c>
      <c r="G175" t="s">
        <v>722</v>
      </c>
    </row>
    <row r="176" spans="1:7">
      <c r="A176" t="s">
        <v>1379</v>
      </c>
      <c r="B176" t="s">
        <v>1888</v>
      </c>
      <c r="C176" t="s">
        <v>625</v>
      </c>
      <c r="F176">
        <v>35</v>
      </c>
      <c r="G176" t="s">
        <v>722</v>
      </c>
    </row>
    <row r="177" spans="1:7">
      <c r="A177" t="s">
        <v>1380</v>
      </c>
      <c r="B177" t="s">
        <v>1889</v>
      </c>
      <c r="C177" t="s">
        <v>625</v>
      </c>
      <c r="F177">
        <v>36</v>
      </c>
      <c r="G177" t="s">
        <v>722</v>
      </c>
    </row>
    <row r="178" spans="1:7">
      <c r="A178" t="s">
        <v>1381</v>
      </c>
      <c r="B178" t="s">
        <v>1890</v>
      </c>
      <c r="C178" t="s">
        <v>625</v>
      </c>
      <c r="F178">
        <v>37</v>
      </c>
      <c r="G178" t="s">
        <v>722</v>
      </c>
    </row>
    <row r="179" spans="1:7">
      <c r="A179" t="s">
        <v>1382</v>
      </c>
      <c r="B179" t="s">
        <v>1891</v>
      </c>
      <c r="C179" t="s">
        <v>625</v>
      </c>
      <c r="F179">
        <v>38</v>
      </c>
      <c r="G179" t="s">
        <v>722</v>
      </c>
    </row>
    <row r="180" spans="1:7">
      <c r="A180" t="s">
        <v>1383</v>
      </c>
      <c r="B180" t="s">
        <v>1892</v>
      </c>
      <c r="C180" t="s">
        <v>625</v>
      </c>
      <c r="F180">
        <v>39</v>
      </c>
      <c r="G180" t="s">
        <v>722</v>
      </c>
    </row>
    <row r="181" spans="1:7">
      <c r="A181" t="s">
        <v>1445</v>
      </c>
      <c r="B181" t="s">
        <v>1931</v>
      </c>
      <c r="C181" t="s">
        <v>625</v>
      </c>
      <c r="F181">
        <v>40</v>
      </c>
      <c r="G181" t="s">
        <v>722</v>
      </c>
    </row>
    <row r="182" spans="1:7">
      <c r="A182" t="s">
        <v>1446</v>
      </c>
      <c r="B182" t="s">
        <v>1932</v>
      </c>
      <c r="C182" t="s">
        <v>625</v>
      </c>
      <c r="F182">
        <v>41</v>
      </c>
      <c r="G182" t="s">
        <v>722</v>
      </c>
    </row>
    <row r="183" spans="1:7">
      <c r="A183" t="s">
        <v>766</v>
      </c>
      <c r="B183" t="s">
        <v>1933</v>
      </c>
      <c r="C183" t="s">
        <v>625</v>
      </c>
      <c r="F183">
        <v>42</v>
      </c>
      <c r="G183" t="s">
        <v>722</v>
      </c>
    </row>
    <row r="184" spans="1:7">
      <c r="A184" t="s">
        <v>1452</v>
      </c>
      <c r="B184" t="s">
        <v>1937</v>
      </c>
      <c r="C184" t="s">
        <v>626</v>
      </c>
      <c r="F184">
        <v>1</v>
      </c>
      <c r="G184" t="s">
        <v>722</v>
      </c>
    </row>
    <row r="185" spans="1:7">
      <c r="A185" t="s">
        <v>1453</v>
      </c>
      <c r="B185" t="s">
        <v>1938</v>
      </c>
      <c r="C185" t="s">
        <v>626</v>
      </c>
      <c r="F185">
        <v>2</v>
      </c>
      <c r="G185" t="s">
        <v>722</v>
      </c>
    </row>
    <row r="186" spans="1:7">
      <c r="A186" t="s">
        <v>1454</v>
      </c>
      <c r="B186" t="s">
        <v>19</v>
      </c>
      <c r="C186" t="s">
        <v>626</v>
      </c>
      <c r="F186">
        <v>3</v>
      </c>
      <c r="G186" t="s">
        <v>722</v>
      </c>
    </row>
    <row r="187" spans="1:7">
      <c r="A187" t="s">
        <v>1455</v>
      </c>
      <c r="B187" t="s">
        <v>1939</v>
      </c>
      <c r="C187" t="s">
        <v>626</v>
      </c>
      <c r="F187">
        <v>4</v>
      </c>
      <c r="G187" t="s">
        <v>722</v>
      </c>
    </row>
    <row r="188" spans="1:7">
      <c r="A188" t="s">
        <v>1456</v>
      </c>
      <c r="B188" t="s">
        <v>1940</v>
      </c>
      <c r="C188" t="s">
        <v>626</v>
      </c>
      <c r="F188">
        <v>5</v>
      </c>
      <c r="G188" t="s">
        <v>722</v>
      </c>
    </row>
    <row r="189" spans="1:7">
      <c r="A189" t="s">
        <v>1457</v>
      </c>
      <c r="B189" t="s">
        <v>1941</v>
      </c>
      <c r="C189" t="s">
        <v>626</v>
      </c>
      <c r="F189">
        <v>6</v>
      </c>
      <c r="G189" t="s">
        <v>722</v>
      </c>
    </row>
    <row r="190" spans="1:7">
      <c r="A190" t="s">
        <v>1458</v>
      </c>
      <c r="B190" t="s">
        <v>1942</v>
      </c>
      <c r="C190" t="s">
        <v>626</v>
      </c>
      <c r="F190">
        <v>7</v>
      </c>
      <c r="G190" t="s">
        <v>722</v>
      </c>
    </row>
    <row r="191" spans="1:7">
      <c r="A191" t="s">
        <v>1459</v>
      </c>
      <c r="B191" t="s">
        <v>1943</v>
      </c>
      <c r="C191" t="s">
        <v>626</v>
      </c>
      <c r="F191">
        <v>8</v>
      </c>
      <c r="G191" t="s">
        <v>722</v>
      </c>
    </row>
    <row r="192" spans="1:7">
      <c r="A192" t="s">
        <v>755</v>
      </c>
      <c r="B192" t="s">
        <v>615</v>
      </c>
      <c r="C192" t="s">
        <v>626</v>
      </c>
      <c r="F192">
        <v>9</v>
      </c>
      <c r="G192" t="s">
        <v>722</v>
      </c>
    </row>
    <row r="193" spans="1:7">
      <c r="A193" t="s">
        <v>1461</v>
      </c>
      <c r="B193" t="s">
        <v>1945</v>
      </c>
      <c r="C193" t="s">
        <v>627</v>
      </c>
      <c r="F193">
        <v>1</v>
      </c>
      <c r="G193" t="s">
        <v>722</v>
      </c>
    </row>
    <row r="194" spans="1:7">
      <c r="A194" t="s">
        <v>1462</v>
      </c>
      <c r="B194" t="s">
        <v>1946</v>
      </c>
      <c r="C194" t="s">
        <v>627</v>
      </c>
      <c r="F194">
        <v>2</v>
      </c>
      <c r="G194" t="s">
        <v>722</v>
      </c>
    </row>
    <row r="195" spans="1:7">
      <c r="A195" t="s">
        <v>1463</v>
      </c>
      <c r="B195" t="s">
        <v>1947</v>
      </c>
      <c r="C195" t="s">
        <v>627</v>
      </c>
      <c r="F195">
        <v>3</v>
      </c>
      <c r="G195" t="s">
        <v>722</v>
      </c>
    </row>
    <row r="196" spans="1:7">
      <c r="A196" t="s">
        <v>1464</v>
      </c>
      <c r="B196" t="s">
        <v>1948</v>
      </c>
      <c r="C196" t="s">
        <v>627</v>
      </c>
      <c r="F196">
        <v>4</v>
      </c>
      <c r="G196" t="s">
        <v>722</v>
      </c>
    </row>
    <row r="197" spans="1:7">
      <c r="A197" t="s">
        <v>1465</v>
      </c>
      <c r="B197" t="s">
        <v>1949</v>
      </c>
      <c r="C197" t="s">
        <v>627</v>
      </c>
      <c r="F197">
        <v>5</v>
      </c>
      <c r="G197" t="s">
        <v>722</v>
      </c>
    </row>
    <row r="198" spans="1:7">
      <c r="A198" t="s">
        <v>1467</v>
      </c>
      <c r="B198" t="s">
        <v>1951</v>
      </c>
      <c r="C198" t="s">
        <v>628</v>
      </c>
      <c r="F198">
        <v>1</v>
      </c>
      <c r="G198" t="s">
        <v>722</v>
      </c>
    </row>
    <row r="199" spans="1:7">
      <c r="A199" t="s">
        <v>1468</v>
      </c>
      <c r="B199" t="s">
        <v>1952</v>
      </c>
      <c r="C199" t="s">
        <v>628</v>
      </c>
      <c r="F199">
        <v>2</v>
      </c>
      <c r="G199" t="s">
        <v>722</v>
      </c>
    </row>
    <row r="200" spans="1:7">
      <c r="A200" t="s">
        <v>1469</v>
      </c>
      <c r="B200" t="s">
        <v>1953</v>
      </c>
      <c r="C200" t="s">
        <v>628</v>
      </c>
      <c r="F200">
        <v>3</v>
      </c>
      <c r="G200" t="s">
        <v>722</v>
      </c>
    </row>
    <row r="201" spans="1:7">
      <c r="A201" t="s">
        <v>1470</v>
      </c>
      <c r="B201" t="s">
        <v>1954</v>
      </c>
      <c r="C201" t="s">
        <v>628</v>
      </c>
      <c r="F201">
        <v>4</v>
      </c>
      <c r="G201" t="s">
        <v>722</v>
      </c>
    </row>
    <row r="202" spans="1:7">
      <c r="A202" t="s">
        <v>1471</v>
      </c>
      <c r="B202" t="s">
        <v>1955</v>
      </c>
      <c r="C202" t="s">
        <v>628</v>
      </c>
      <c r="F202">
        <v>5</v>
      </c>
      <c r="G202" t="s">
        <v>722</v>
      </c>
    </row>
    <row r="203" spans="1:7">
      <c r="A203" t="s">
        <v>1476</v>
      </c>
      <c r="B203" t="s">
        <v>1959</v>
      </c>
      <c r="C203" t="s">
        <v>1473</v>
      </c>
      <c r="F203">
        <v>1</v>
      </c>
      <c r="G203" t="s">
        <v>722</v>
      </c>
    </row>
    <row r="204" spans="1:7">
      <c r="A204" t="s">
        <v>1477</v>
      </c>
      <c r="B204" t="s">
        <v>1960</v>
      </c>
      <c r="C204" t="s">
        <v>1473</v>
      </c>
      <c r="F204">
        <v>2</v>
      </c>
      <c r="G204" t="s">
        <v>722</v>
      </c>
    </row>
    <row r="205" spans="1:7">
      <c r="A205" t="s">
        <v>1481</v>
      </c>
      <c r="B205" t="s">
        <v>1963</v>
      </c>
      <c r="C205" t="s">
        <v>632</v>
      </c>
      <c r="F205">
        <v>1</v>
      </c>
      <c r="G205" t="s">
        <v>722</v>
      </c>
    </row>
    <row r="206" spans="1:7">
      <c r="A206" t="s">
        <v>1482</v>
      </c>
      <c r="B206" t="s">
        <v>1964</v>
      </c>
      <c r="C206" t="s">
        <v>632</v>
      </c>
      <c r="F206">
        <v>2</v>
      </c>
      <c r="G206" t="s">
        <v>722</v>
      </c>
    </row>
    <row r="207" spans="1:7">
      <c r="A207" t="s">
        <v>1483</v>
      </c>
      <c r="B207" t="s">
        <v>1965</v>
      </c>
      <c r="C207" t="s">
        <v>632</v>
      </c>
      <c r="F207">
        <v>3</v>
      </c>
      <c r="G207" t="s">
        <v>722</v>
      </c>
    </row>
    <row r="208" spans="1:7">
      <c r="A208" t="s">
        <v>1484</v>
      </c>
      <c r="B208" t="s">
        <v>1966</v>
      </c>
      <c r="C208" t="s">
        <v>632</v>
      </c>
      <c r="F208">
        <v>4</v>
      </c>
      <c r="G208" t="s">
        <v>722</v>
      </c>
    </row>
    <row r="209" spans="1:7">
      <c r="A209" t="s">
        <v>1485</v>
      </c>
      <c r="B209" t="s">
        <v>1967</v>
      </c>
      <c r="C209" t="s">
        <v>632</v>
      </c>
      <c r="F209">
        <v>5</v>
      </c>
      <c r="G209" t="s">
        <v>722</v>
      </c>
    </row>
    <row r="210" spans="1:7">
      <c r="A210" t="s">
        <v>1486</v>
      </c>
      <c r="B210" t="s">
        <v>1968</v>
      </c>
      <c r="C210" t="s">
        <v>632</v>
      </c>
      <c r="F210">
        <v>6</v>
      </c>
      <c r="G210" t="s">
        <v>722</v>
      </c>
    </row>
    <row r="211" spans="1:7">
      <c r="A211" t="s">
        <v>1487</v>
      </c>
      <c r="B211" t="s">
        <v>1969</v>
      </c>
      <c r="C211" t="s">
        <v>632</v>
      </c>
      <c r="F211">
        <v>7</v>
      </c>
      <c r="G211" t="s">
        <v>722</v>
      </c>
    </row>
    <row r="212" spans="1:7">
      <c r="A212" t="s">
        <v>730</v>
      </c>
      <c r="B212" t="s">
        <v>620</v>
      </c>
      <c r="C212" t="s">
        <v>632</v>
      </c>
      <c r="F212">
        <v>8</v>
      </c>
      <c r="G212" t="s">
        <v>722</v>
      </c>
    </row>
    <row r="213" spans="1:7">
      <c r="A213" t="s">
        <v>1490</v>
      </c>
      <c r="B213" t="s">
        <v>701</v>
      </c>
      <c r="C213" t="s">
        <v>1488</v>
      </c>
      <c r="F213">
        <v>1</v>
      </c>
      <c r="G213" t="s">
        <v>722</v>
      </c>
    </row>
    <row r="214" spans="1:7">
      <c r="A214" t="s">
        <v>1491</v>
      </c>
      <c r="B214" t="s">
        <v>702</v>
      </c>
      <c r="C214" t="s">
        <v>1488</v>
      </c>
      <c r="F214">
        <v>2</v>
      </c>
      <c r="G214" t="s">
        <v>722</v>
      </c>
    </row>
    <row r="215" spans="1:7">
      <c r="A215" t="s">
        <v>1492</v>
      </c>
      <c r="B215" t="s">
        <v>703</v>
      </c>
      <c r="C215" t="s">
        <v>1488</v>
      </c>
      <c r="F215">
        <v>3</v>
      </c>
      <c r="G215" t="s">
        <v>722</v>
      </c>
    </row>
    <row r="216" spans="1:7">
      <c r="A216" t="s">
        <v>1493</v>
      </c>
      <c r="B216" t="s">
        <v>1971</v>
      </c>
      <c r="C216" t="s">
        <v>1488</v>
      </c>
      <c r="F216">
        <v>4</v>
      </c>
      <c r="G216" t="s">
        <v>722</v>
      </c>
    </row>
    <row r="217" spans="1:7">
      <c r="A217" t="s">
        <v>1494</v>
      </c>
      <c r="B217" t="s">
        <v>1972</v>
      </c>
      <c r="C217" t="s">
        <v>1488</v>
      </c>
      <c r="F217">
        <v>5</v>
      </c>
      <c r="G217" t="s">
        <v>722</v>
      </c>
    </row>
    <row r="218" spans="1:7">
      <c r="A218" t="s">
        <v>1495</v>
      </c>
      <c r="B218" t="s">
        <v>1973</v>
      </c>
      <c r="C218" t="s">
        <v>1488</v>
      </c>
      <c r="F218">
        <v>6</v>
      </c>
      <c r="G218" t="s">
        <v>722</v>
      </c>
    </row>
    <row r="219" spans="1:7">
      <c r="A219" t="s">
        <v>1496</v>
      </c>
      <c r="B219" t="s">
        <v>1974</v>
      </c>
      <c r="C219" t="s">
        <v>1488</v>
      </c>
      <c r="F219">
        <v>7</v>
      </c>
      <c r="G219" t="s">
        <v>722</v>
      </c>
    </row>
    <row r="220" spans="1:7">
      <c r="A220" t="s">
        <v>1497</v>
      </c>
      <c r="B220" t="s">
        <v>1497</v>
      </c>
      <c r="C220" t="s">
        <v>1488</v>
      </c>
      <c r="F220">
        <v>8</v>
      </c>
      <c r="G220" t="s">
        <v>722</v>
      </c>
    </row>
    <row r="221" spans="1:7">
      <c r="A221" t="s">
        <v>730</v>
      </c>
      <c r="B221" t="s">
        <v>620</v>
      </c>
      <c r="C221" t="s">
        <v>1488</v>
      </c>
      <c r="F221">
        <v>9</v>
      </c>
      <c r="G221" t="s">
        <v>722</v>
      </c>
    </row>
    <row r="222" spans="1:7">
      <c r="A222" t="s">
        <v>1500</v>
      </c>
      <c r="B222" t="s">
        <v>1976</v>
      </c>
      <c r="C222" t="s">
        <v>635</v>
      </c>
      <c r="F222">
        <v>1</v>
      </c>
      <c r="G222" t="s">
        <v>722</v>
      </c>
    </row>
    <row r="223" spans="1:7">
      <c r="A223" t="s">
        <v>1501</v>
      </c>
      <c r="B223" t="s">
        <v>1977</v>
      </c>
      <c r="C223" t="s">
        <v>635</v>
      </c>
      <c r="F223">
        <v>2</v>
      </c>
      <c r="G223" t="s">
        <v>722</v>
      </c>
    </row>
    <row r="224" spans="1:7">
      <c r="A224" t="s">
        <v>1502</v>
      </c>
      <c r="B224" t="s">
        <v>1978</v>
      </c>
      <c r="C224" t="s">
        <v>635</v>
      </c>
      <c r="F224">
        <v>3</v>
      </c>
      <c r="G224" t="s">
        <v>722</v>
      </c>
    </row>
    <row r="225" spans="1:7">
      <c r="A225" t="s">
        <v>1503</v>
      </c>
      <c r="B225" t="s">
        <v>1979</v>
      </c>
      <c r="C225" t="s">
        <v>635</v>
      </c>
      <c r="F225">
        <v>4</v>
      </c>
      <c r="G225" t="s">
        <v>722</v>
      </c>
    </row>
    <row r="226" spans="1:7">
      <c r="A226" t="s">
        <v>1504</v>
      </c>
      <c r="B226" t="s">
        <v>1980</v>
      </c>
      <c r="C226" t="s">
        <v>635</v>
      </c>
      <c r="F226">
        <v>5</v>
      </c>
      <c r="G226" t="s">
        <v>722</v>
      </c>
    </row>
    <row r="227" spans="1:7">
      <c r="A227" t="s">
        <v>1505</v>
      </c>
      <c r="B227" t="s">
        <v>1981</v>
      </c>
      <c r="C227" t="s">
        <v>635</v>
      </c>
      <c r="F227">
        <v>6</v>
      </c>
      <c r="G227" t="s">
        <v>722</v>
      </c>
    </row>
    <row r="228" spans="1:7">
      <c r="A228" t="s">
        <v>1506</v>
      </c>
      <c r="B228" t="s">
        <v>1982</v>
      </c>
      <c r="C228" t="s">
        <v>635</v>
      </c>
      <c r="F228">
        <v>7</v>
      </c>
      <c r="G228" t="s">
        <v>722</v>
      </c>
    </row>
    <row r="229" spans="1:7">
      <c r="A229" t="s">
        <v>1507</v>
      </c>
      <c r="B229" t="s">
        <v>1983</v>
      </c>
      <c r="C229" t="s">
        <v>635</v>
      </c>
      <c r="F229">
        <v>8</v>
      </c>
      <c r="G229" t="s">
        <v>722</v>
      </c>
    </row>
    <row r="230" spans="1:7">
      <c r="A230" t="s">
        <v>1508</v>
      </c>
      <c r="B230" t="s">
        <v>1984</v>
      </c>
      <c r="C230" t="s">
        <v>635</v>
      </c>
      <c r="F230">
        <v>9</v>
      </c>
      <c r="G230" t="s">
        <v>722</v>
      </c>
    </row>
    <row r="231" spans="1:7">
      <c r="A231" t="s">
        <v>1509</v>
      </c>
      <c r="B231" t="s">
        <v>1985</v>
      </c>
      <c r="C231" t="s">
        <v>635</v>
      </c>
      <c r="F231">
        <v>10</v>
      </c>
      <c r="G231" t="s">
        <v>722</v>
      </c>
    </row>
    <row r="232" spans="1:7">
      <c r="A232" t="s">
        <v>1510</v>
      </c>
      <c r="B232" t="s">
        <v>1986</v>
      </c>
      <c r="C232" t="s">
        <v>635</v>
      </c>
      <c r="F232">
        <v>11</v>
      </c>
      <c r="G232" t="s">
        <v>722</v>
      </c>
    </row>
    <row r="233" spans="1:7">
      <c r="A233" t="s">
        <v>1511</v>
      </c>
      <c r="B233" t="s">
        <v>1987</v>
      </c>
      <c r="C233" t="s">
        <v>635</v>
      </c>
      <c r="F233">
        <v>12</v>
      </c>
      <c r="G233" t="s">
        <v>722</v>
      </c>
    </row>
    <row r="234" spans="1:7">
      <c r="A234" t="s">
        <v>1512</v>
      </c>
      <c r="B234" t="s">
        <v>1988</v>
      </c>
      <c r="C234" t="s">
        <v>635</v>
      </c>
      <c r="F234">
        <v>13</v>
      </c>
      <c r="G234" t="s">
        <v>722</v>
      </c>
    </row>
    <row r="235" spans="1:7">
      <c r="A235" t="s">
        <v>1513</v>
      </c>
      <c r="B235" t="s">
        <v>1989</v>
      </c>
      <c r="C235" t="s">
        <v>635</v>
      </c>
      <c r="F235">
        <v>14</v>
      </c>
      <c r="G235" t="s">
        <v>722</v>
      </c>
    </row>
    <row r="236" spans="1:7">
      <c r="A236" t="s">
        <v>1514</v>
      </c>
      <c r="B236" t="s">
        <v>1990</v>
      </c>
      <c r="C236" t="s">
        <v>635</v>
      </c>
      <c r="F236">
        <v>15</v>
      </c>
      <c r="G236" t="s">
        <v>722</v>
      </c>
    </row>
    <row r="237" spans="1:7">
      <c r="A237" t="s">
        <v>1515</v>
      </c>
      <c r="B237" t="s">
        <v>1991</v>
      </c>
      <c r="C237" t="s">
        <v>635</v>
      </c>
      <c r="F237">
        <v>16</v>
      </c>
      <c r="G237" t="s">
        <v>722</v>
      </c>
    </row>
    <row r="238" spans="1:7">
      <c r="A238" t="s">
        <v>1516</v>
      </c>
      <c r="B238" t="s">
        <v>1992</v>
      </c>
      <c r="C238" t="s">
        <v>635</v>
      </c>
      <c r="F238">
        <v>17</v>
      </c>
      <c r="G238" t="s">
        <v>722</v>
      </c>
    </row>
    <row r="239" spans="1:7">
      <c r="A239" t="s">
        <v>1517</v>
      </c>
      <c r="B239" t="s">
        <v>1993</v>
      </c>
      <c r="C239" t="s">
        <v>635</v>
      </c>
      <c r="F239">
        <v>18</v>
      </c>
      <c r="G239" t="s">
        <v>722</v>
      </c>
    </row>
    <row r="240" spans="1:7">
      <c r="A240" t="s">
        <v>1518</v>
      </c>
      <c r="B240" t="s">
        <v>1994</v>
      </c>
      <c r="C240" t="s">
        <v>635</v>
      </c>
      <c r="F240">
        <v>19</v>
      </c>
      <c r="G240" t="s">
        <v>722</v>
      </c>
    </row>
    <row r="241" spans="1:7">
      <c r="A241" t="s">
        <v>1519</v>
      </c>
      <c r="B241" t="s">
        <v>1995</v>
      </c>
      <c r="C241" t="s">
        <v>635</v>
      </c>
      <c r="F241">
        <v>20</v>
      </c>
      <c r="G241" t="s">
        <v>722</v>
      </c>
    </row>
    <row r="242" spans="1:7">
      <c r="A242" t="s">
        <v>1387</v>
      </c>
      <c r="B242" t="s">
        <v>1895</v>
      </c>
      <c r="C242" t="s">
        <v>644</v>
      </c>
      <c r="F242">
        <v>1</v>
      </c>
      <c r="G242" t="s">
        <v>722</v>
      </c>
    </row>
    <row r="243" spans="1:7">
      <c r="A243" t="s">
        <v>745</v>
      </c>
      <c r="B243" t="s">
        <v>636</v>
      </c>
      <c r="C243" t="s">
        <v>644</v>
      </c>
      <c r="F243">
        <v>2</v>
      </c>
      <c r="G243" t="s">
        <v>722</v>
      </c>
    </row>
    <row r="244" spans="1:7">
      <c r="A244" t="s">
        <v>1388</v>
      </c>
      <c r="B244" t="s">
        <v>1896</v>
      </c>
      <c r="C244" t="s">
        <v>644</v>
      </c>
      <c r="F244">
        <v>3</v>
      </c>
      <c r="G244" t="s">
        <v>722</v>
      </c>
    </row>
    <row r="245" spans="1:7">
      <c r="A245" t="s">
        <v>1389</v>
      </c>
      <c r="B245" t="s">
        <v>1897</v>
      </c>
      <c r="C245" t="s">
        <v>644</v>
      </c>
      <c r="F245">
        <v>4</v>
      </c>
      <c r="G245" t="s">
        <v>722</v>
      </c>
    </row>
    <row r="246" spans="1:7">
      <c r="A246" t="s">
        <v>1390</v>
      </c>
      <c r="B246" t="s">
        <v>1898</v>
      </c>
      <c r="C246" t="s">
        <v>644</v>
      </c>
      <c r="F246">
        <v>5</v>
      </c>
      <c r="G246" t="s">
        <v>722</v>
      </c>
    </row>
    <row r="247" spans="1:7">
      <c r="A247" t="s">
        <v>1391</v>
      </c>
      <c r="B247" t="s">
        <v>1899</v>
      </c>
      <c r="C247" t="s">
        <v>644</v>
      </c>
      <c r="F247">
        <v>6</v>
      </c>
      <c r="G247" t="s">
        <v>722</v>
      </c>
    </row>
    <row r="248" spans="1:7">
      <c r="A248" t="s">
        <v>746</v>
      </c>
      <c r="B248" t="s">
        <v>637</v>
      </c>
      <c r="C248" t="s">
        <v>644</v>
      </c>
      <c r="F248">
        <v>7</v>
      </c>
      <c r="G248" t="s">
        <v>722</v>
      </c>
    </row>
    <row r="249" spans="1:7">
      <c r="A249" t="s">
        <v>1392</v>
      </c>
      <c r="B249" t="s">
        <v>1900</v>
      </c>
      <c r="C249" t="s">
        <v>644</v>
      </c>
      <c r="F249">
        <v>8</v>
      </c>
      <c r="G249" t="s">
        <v>722</v>
      </c>
    </row>
    <row r="250" spans="1:7">
      <c r="A250" t="s">
        <v>1393</v>
      </c>
      <c r="B250" t="s">
        <v>1901</v>
      </c>
      <c r="C250" t="s">
        <v>644</v>
      </c>
      <c r="F250">
        <v>9</v>
      </c>
      <c r="G250" t="s">
        <v>722</v>
      </c>
    </row>
    <row r="251" spans="1:7">
      <c r="A251" t="s">
        <v>747</v>
      </c>
      <c r="B251" t="s">
        <v>638</v>
      </c>
      <c r="C251" t="s">
        <v>644</v>
      </c>
      <c r="F251">
        <v>10</v>
      </c>
      <c r="G251" t="s">
        <v>722</v>
      </c>
    </row>
    <row r="252" spans="1:7">
      <c r="A252" t="s">
        <v>1394</v>
      </c>
      <c r="B252" t="s">
        <v>1902</v>
      </c>
      <c r="C252" t="s">
        <v>644</v>
      </c>
      <c r="F252">
        <v>11</v>
      </c>
      <c r="G252" t="s">
        <v>722</v>
      </c>
    </row>
    <row r="253" spans="1:7">
      <c r="A253" t="s">
        <v>1395</v>
      </c>
      <c r="B253" t="s">
        <v>1903</v>
      </c>
      <c r="C253" t="s">
        <v>644</v>
      </c>
      <c r="F253">
        <v>12</v>
      </c>
      <c r="G253" t="s">
        <v>722</v>
      </c>
    </row>
    <row r="254" spans="1:7">
      <c r="A254" t="s">
        <v>750</v>
      </c>
      <c r="B254" t="s">
        <v>641</v>
      </c>
      <c r="C254" t="s">
        <v>644</v>
      </c>
      <c r="F254">
        <v>13</v>
      </c>
      <c r="G254" t="s">
        <v>722</v>
      </c>
    </row>
    <row r="255" spans="1:7">
      <c r="A255" t="s">
        <v>1396</v>
      </c>
      <c r="B255" t="s">
        <v>1904</v>
      </c>
      <c r="C255" t="s">
        <v>644</v>
      </c>
      <c r="F255">
        <v>14</v>
      </c>
      <c r="G255" t="s">
        <v>722</v>
      </c>
    </row>
    <row r="256" spans="1:7">
      <c r="A256" t="s">
        <v>1397</v>
      </c>
      <c r="B256" t="s">
        <v>1905</v>
      </c>
      <c r="C256" t="s">
        <v>644</v>
      </c>
      <c r="F256">
        <v>15</v>
      </c>
      <c r="G256" t="s">
        <v>722</v>
      </c>
    </row>
    <row r="257" spans="1:7">
      <c r="A257" t="s">
        <v>1398</v>
      </c>
      <c r="B257" t="s">
        <v>1906</v>
      </c>
      <c r="C257" t="s">
        <v>644</v>
      </c>
      <c r="F257">
        <v>16</v>
      </c>
      <c r="G257" t="s">
        <v>722</v>
      </c>
    </row>
    <row r="258" spans="1:7">
      <c r="A258" t="s">
        <v>1399</v>
      </c>
      <c r="B258" t="s">
        <v>1907</v>
      </c>
      <c r="C258" t="s">
        <v>644</v>
      </c>
      <c r="F258">
        <v>17</v>
      </c>
      <c r="G258" t="s">
        <v>722</v>
      </c>
    </row>
    <row r="259" spans="1:7">
      <c r="A259" t="s">
        <v>1400</v>
      </c>
      <c r="B259" t="s">
        <v>1908</v>
      </c>
      <c r="C259" t="s">
        <v>644</v>
      </c>
      <c r="F259">
        <v>18</v>
      </c>
      <c r="G259" t="s">
        <v>722</v>
      </c>
    </row>
    <row r="260" spans="1:7">
      <c r="A260" t="s">
        <v>1401</v>
      </c>
      <c r="B260" t="s">
        <v>1909</v>
      </c>
      <c r="C260" t="s">
        <v>644</v>
      </c>
      <c r="F260">
        <v>19</v>
      </c>
      <c r="G260" t="s">
        <v>722</v>
      </c>
    </row>
    <row r="261" spans="1:7">
      <c r="A261" t="s">
        <v>1402</v>
      </c>
      <c r="B261" t="s">
        <v>1910</v>
      </c>
      <c r="C261" t="s">
        <v>644</v>
      </c>
      <c r="F261">
        <v>20</v>
      </c>
      <c r="G261" t="s">
        <v>722</v>
      </c>
    </row>
    <row r="262" spans="1:7">
      <c r="A262" t="s">
        <v>1403</v>
      </c>
      <c r="B262" t="s">
        <v>1911</v>
      </c>
      <c r="C262" t="s">
        <v>644</v>
      </c>
      <c r="F262">
        <v>21</v>
      </c>
      <c r="G262" t="s">
        <v>722</v>
      </c>
    </row>
    <row r="263" spans="1:7">
      <c r="A263" t="s">
        <v>1404</v>
      </c>
      <c r="B263" t="s">
        <v>642</v>
      </c>
      <c r="C263" t="s">
        <v>644</v>
      </c>
      <c r="F263">
        <v>22</v>
      </c>
      <c r="G263" t="s">
        <v>722</v>
      </c>
    </row>
    <row r="264" spans="1:7">
      <c r="A264" t="s">
        <v>1405</v>
      </c>
      <c r="B264" t="s">
        <v>1912</v>
      </c>
      <c r="C264" t="s">
        <v>644</v>
      </c>
      <c r="F264">
        <v>23</v>
      </c>
      <c r="G264" t="s">
        <v>722</v>
      </c>
    </row>
    <row r="265" spans="1:7">
      <c r="A265" t="s">
        <v>748</v>
      </c>
      <c r="B265" t="s">
        <v>639</v>
      </c>
      <c r="C265" t="s">
        <v>644</v>
      </c>
      <c r="F265">
        <v>24</v>
      </c>
      <c r="G265" t="s">
        <v>722</v>
      </c>
    </row>
    <row r="266" spans="1:7">
      <c r="A266" t="s">
        <v>749</v>
      </c>
      <c r="B266" t="s">
        <v>640</v>
      </c>
      <c r="C266" t="s">
        <v>644</v>
      </c>
      <c r="F266">
        <v>25</v>
      </c>
      <c r="G266" t="s">
        <v>722</v>
      </c>
    </row>
    <row r="267" spans="1:7">
      <c r="A267" t="s">
        <v>729</v>
      </c>
      <c r="B267" t="s">
        <v>615</v>
      </c>
      <c r="C267" t="s">
        <v>644</v>
      </c>
      <c r="F267">
        <v>26</v>
      </c>
      <c r="G267" t="s">
        <v>722</v>
      </c>
    </row>
    <row r="268" spans="1:7">
      <c r="A268" t="s">
        <v>1524</v>
      </c>
      <c r="B268" t="s">
        <v>2000</v>
      </c>
      <c r="C268" t="s">
        <v>646</v>
      </c>
      <c r="F268">
        <v>1</v>
      </c>
      <c r="G268" t="s">
        <v>722</v>
      </c>
    </row>
    <row r="269" spans="1:7">
      <c r="A269" t="s">
        <v>1525</v>
      </c>
      <c r="B269" t="s">
        <v>2001</v>
      </c>
      <c r="C269" t="s">
        <v>646</v>
      </c>
      <c r="F269">
        <v>2</v>
      </c>
      <c r="G269" t="s">
        <v>722</v>
      </c>
    </row>
    <row r="270" spans="1:7">
      <c r="A270" t="s">
        <v>1526</v>
      </c>
      <c r="B270" t="s">
        <v>2002</v>
      </c>
      <c r="C270" t="s">
        <v>646</v>
      </c>
      <c r="F270">
        <v>3</v>
      </c>
      <c r="G270" t="s">
        <v>722</v>
      </c>
    </row>
    <row r="271" spans="1:7">
      <c r="A271" t="s">
        <v>1527</v>
      </c>
      <c r="B271" t="s">
        <v>2003</v>
      </c>
      <c r="C271" t="s">
        <v>646</v>
      </c>
      <c r="F271">
        <v>4</v>
      </c>
      <c r="G271" t="s">
        <v>722</v>
      </c>
    </row>
    <row r="272" spans="1:7">
      <c r="A272" t="s">
        <v>1528</v>
      </c>
      <c r="B272" t="s">
        <v>2004</v>
      </c>
      <c r="C272" t="s">
        <v>646</v>
      </c>
      <c r="F272">
        <v>5</v>
      </c>
      <c r="G272" t="s">
        <v>722</v>
      </c>
    </row>
    <row r="273" spans="1:7">
      <c r="A273" t="s">
        <v>1529</v>
      </c>
      <c r="B273" t="s">
        <v>2005</v>
      </c>
      <c r="C273" t="s">
        <v>646</v>
      </c>
      <c r="F273">
        <v>6</v>
      </c>
      <c r="G273" t="s">
        <v>722</v>
      </c>
    </row>
    <row r="274" spans="1:7">
      <c r="A274" t="s">
        <v>1530</v>
      </c>
      <c r="B274" t="s">
        <v>2006</v>
      </c>
      <c r="C274" t="s">
        <v>646</v>
      </c>
      <c r="F274">
        <v>7</v>
      </c>
      <c r="G274" t="s">
        <v>722</v>
      </c>
    </row>
    <row r="275" spans="1:7">
      <c r="A275" t="s">
        <v>1531</v>
      </c>
      <c r="B275" t="s">
        <v>2007</v>
      </c>
      <c r="C275" t="s">
        <v>646</v>
      </c>
      <c r="F275">
        <v>8</v>
      </c>
      <c r="G275" t="s">
        <v>722</v>
      </c>
    </row>
    <row r="276" spans="1:7">
      <c r="A276" t="s">
        <v>1532</v>
      </c>
      <c r="B276" t="s">
        <v>2008</v>
      </c>
      <c r="C276" t="s">
        <v>646</v>
      </c>
      <c r="F276">
        <v>9</v>
      </c>
      <c r="G276" t="s">
        <v>722</v>
      </c>
    </row>
    <row r="277" spans="1:7">
      <c r="A277" t="s">
        <v>1533</v>
      </c>
      <c r="B277" t="s">
        <v>2009</v>
      </c>
      <c r="C277" t="s">
        <v>646</v>
      </c>
      <c r="F277">
        <v>10</v>
      </c>
      <c r="G277" t="s">
        <v>722</v>
      </c>
    </row>
    <row r="278" spans="1:7">
      <c r="A278" t="s">
        <v>1534</v>
      </c>
      <c r="B278" t="s">
        <v>2010</v>
      </c>
      <c r="C278" t="s">
        <v>646</v>
      </c>
      <c r="F278">
        <v>11</v>
      </c>
      <c r="G278" t="s">
        <v>722</v>
      </c>
    </row>
    <row r="279" spans="1:7">
      <c r="A279" t="s">
        <v>1535</v>
      </c>
      <c r="B279" t="s">
        <v>2011</v>
      </c>
      <c r="C279" t="s">
        <v>646</v>
      </c>
      <c r="F279">
        <v>12</v>
      </c>
      <c r="G279" t="s">
        <v>722</v>
      </c>
    </row>
    <row r="280" spans="1:7">
      <c r="A280" t="s">
        <v>1536</v>
      </c>
      <c r="B280" t="s">
        <v>2012</v>
      </c>
      <c r="C280" t="s">
        <v>646</v>
      </c>
      <c r="F280">
        <v>13</v>
      </c>
      <c r="G280" t="s">
        <v>722</v>
      </c>
    </row>
    <row r="281" spans="1:7">
      <c r="A281" t="s">
        <v>1537</v>
      </c>
      <c r="B281" t="s">
        <v>2013</v>
      </c>
      <c r="C281" t="s">
        <v>646</v>
      </c>
      <c r="F281">
        <v>14</v>
      </c>
      <c r="G281" t="s">
        <v>722</v>
      </c>
    </row>
    <row r="282" spans="1:7">
      <c r="A282" t="s">
        <v>1538</v>
      </c>
      <c r="B282" t="s">
        <v>2014</v>
      </c>
      <c r="C282" t="s">
        <v>646</v>
      </c>
      <c r="F282">
        <v>15</v>
      </c>
      <c r="G282" t="s">
        <v>722</v>
      </c>
    </row>
    <row r="283" spans="1:7">
      <c r="A283" t="s">
        <v>1539</v>
      </c>
      <c r="B283" t="s">
        <v>2015</v>
      </c>
      <c r="C283" t="s">
        <v>646</v>
      </c>
      <c r="F283">
        <v>16</v>
      </c>
      <c r="G283" t="s">
        <v>722</v>
      </c>
    </row>
    <row r="284" spans="1:7">
      <c r="A284" t="s">
        <v>1540</v>
      </c>
      <c r="B284" t="s">
        <v>2016</v>
      </c>
      <c r="C284" t="s">
        <v>646</v>
      </c>
      <c r="F284">
        <v>17</v>
      </c>
      <c r="G284" t="s">
        <v>722</v>
      </c>
    </row>
    <row r="285" spans="1:7">
      <c r="A285" t="s">
        <v>1541</v>
      </c>
      <c r="B285" t="s">
        <v>2017</v>
      </c>
      <c r="C285" t="s">
        <v>646</v>
      </c>
      <c r="F285">
        <v>18</v>
      </c>
      <c r="G285" t="s">
        <v>722</v>
      </c>
    </row>
    <row r="286" spans="1:7">
      <c r="A286" t="s">
        <v>1542</v>
      </c>
      <c r="B286" t="s">
        <v>2018</v>
      </c>
      <c r="C286" t="s">
        <v>646</v>
      </c>
      <c r="F286">
        <v>19</v>
      </c>
      <c r="G286" t="s">
        <v>722</v>
      </c>
    </row>
    <row r="287" spans="1:7">
      <c r="A287" t="s">
        <v>1543</v>
      </c>
      <c r="B287" t="s">
        <v>2019</v>
      </c>
      <c r="C287" t="s">
        <v>646</v>
      </c>
      <c r="F287">
        <v>20</v>
      </c>
      <c r="G287" t="s">
        <v>722</v>
      </c>
    </row>
    <row r="288" spans="1:7">
      <c r="A288" t="s">
        <v>1544</v>
      </c>
      <c r="B288" t="s">
        <v>2020</v>
      </c>
      <c r="C288" t="s">
        <v>646</v>
      </c>
      <c r="F288">
        <v>21</v>
      </c>
      <c r="G288" t="s">
        <v>722</v>
      </c>
    </row>
    <row r="289" spans="1:7">
      <c r="A289" t="s">
        <v>1545</v>
      </c>
      <c r="B289" t="s">
        <v>2021</v>
      </c>
      <c r="C289" t="s">
        <v>646</v>
      </c>
      <c r="F289">
        <v>22</v>
      </c>
      <c r="G289" t="s">
        <v>722</v>
      </c>
    </row>
    <row r="290" spans="1:7">
      <c r="A290" t="s">
        <v>1546</v>
      </c>
      <c r="B290" t="s">
        <v>2022</v>
      </c>
      <c r="C290" t="s">
        <v>646</v>
      </c>
      <c r="F290">
        <v>23</v>
      </c>
      <c r="G290" t="s">
        <v>722</v>
      </c>
    </row>
    <row r="291" spans="1:7">
      <c r="A291" t="s">
        <v>1547</v>
      </c>
      <c r="B291" t="s">
        <v>2023</v>
      </c>
      <c r="C291" t="s">
        <v>646</v>
      </c>
      <c r="F291">
        <v>24</v>
      </c>
      <c r="G291" t="s">
        <v>722</v>
      </c>
    </row>
    <row r="292" spans="1:7">
      <c r="A292" t="s">
        <v>1548</v>
      </c>
      <c r="B292" t="s">
        <v>2024</v>
      </c>
      <c r="C292" t="s">
        <v>646</v>
      </c>
      <c r="F292">
        <v>25</v>
      </c>
      <c r="G292" t="s">
        <v>722</v>
      </c>
    </row>
    <row r="293" spans="1:7">
      <c r="A293" t="s">
        <v>1549</v>
      </c>
      <c r="B293" t="s">
        <v>2025</v>
      </c>
      <c r="C293" t="s">
        <v>646</v>
      </c>
      <c r="F293">
        <v>26</v>
      </c>
      <c r="G293" t="s">
        <v>722</v>
      </c>
    </row>
    <row r="294" spans="1:7">
      <c r="A294" t="s">
        <v>1550</v>
      </c>
      <c r="B294" t="s">
        <v>2026</v>
      </c>
      <c r="C294" t="s">
        <v>646</v>
      </c>
      <c r="F294">
        <v>27</v>
      </c>
      <c r="G294" t="s">
        <v>722</v>
      </c>
    </row>
    <row r="295" spans="1:7">
      <c r="A295" t="s">
        <v>1551</v>
      </c>
      <c r="B295" t="s">
        <v>2027</v>
      </c>
      <c r="C295" t="s">
        <v>646</v>
      </c>
      <c r="F295">
        <v>28</v>
      </c>
      <c r="G295" t="s">
        <v>722</v>
      </c>
    </row>
    <row r="296" spans="1:7">
      <c r="A296" t="s">
        <v>1552</v>
      </c>
      <c r="B296" t="s">
        <v>2028</v>
      </c>
      <c r="C296" t="s">
        <v>646</v>
      </c>
      <c r="F296">
        <v>29</v>
      </c>
      <c r="G296" t="s">
        <v>722</v>
      </c>
    </row>
    <row r="297" spans="1:7">
      <c r="A297" t="s">
        <v>1553</v>
      </c>
      <c r="B297" t="s">
        <v>2029</v>
      </c>
      <c r="C297" t="s">
        <v>646</v>
      </c>
      <c r="F297">
        <v>30</v>
      </c>
      <c r="G297" t="s">
        <v>722</v>
      </c>
    </row>
    <row r="298" spans="1:7">
      <c r="A298" t="s">
        <v>1554</v>
      </c>
      <c r="B298" t="s">
        <v>2030</v>
      </c>
      <c r="C298" t="s">
        <v>646</v>
      </c>
      <c r="F298">
        <v>31</v>
      </c>
      <c r="G298" t="s">
        <v>722</v>
      </c>
    </row>
    <row r="299" spans="1:7">
      <c r="A299" t="s">
        <v>1555</v>
      </c>
      <c r="B299" t="s">
        <v>2031</v>
      </c>
      <c r="C299" t="s">
        <v>646</v>
      </c>
      <c r="F299">
        <v>32</v>
      </c>
      <c r="G299" t="s">
        <v>722</v>
      </c>
    </row>
    <row r="300" spans="1:7">
      <c r="A300" t="s">
        <v>1556</v>
      </c>
      <c r="B300" t="s">
        <v>2032</v>
      </c>
      <c r="C300" t="s">
        <v>646</v>
      </c>
      <c r="F300">
        <v>33</v>
      </c>
      <c r="G300" t="s">
        <v>722</v>
      </c>
    </row>
    <row r="301" spans="1:7">
      <c r="A301" t="s">
        <v>1557</v>
      </c>
      <c r="B301" t="s">
        <v>2033</v>
      </c>
      <c r="C301" t="s">
        <v>646</v>
      </c>
      <c r="F301">
        <v>34</v>
      </c>
      <c r="G301" t="s">
        <v>722</v>
      </c>
    </row>
    <row r="302" spans="1:7">
      <c r="A302" t="s">
        <v>1558</v>
      </c>
      <c r="B302" t="s">
        <v>2034</v>
      </c>
      <c r="C302" t="s">
        <v>646</v>
      </c>
      <c r="F302">
        <v>35</v>
      </c>
      <c r="G302" t="s">
        <v>722</v>
      </c>
    </row>
    <row r="303" spans="1:7">
      <c r="A303" t="s">
        <v>1559</v>
      </c>
      <c r="B303" t="s">
        <v>2035</v>
      </c>
      <c r="C303" t="s">
        <v>646</v>
      </c>
      <c r="F303">
        <v>36</v>
      </c>
      <c r="G303" t="s">
        <v>722</v>
      </c>
    </row>
    <row r="304" spans="1:7">
      <c r="A304" t="s">
        <v>1560</v>
      </c>
      <c r="B304" t="s">
        <v>2036</v>
      </c>
      <c r="C304" t="s">
        <v>646</v>
      </c>
      <c r="F304">
        <v>37</v>
      </c>
      <c r="G304" t="s">
        <v>722</v>
      </c>
    </row>
    <row r="305" spans="1:7">
      <c r="A305" t="s">
        <v>1561</v>
      </c>
      <c r="B305" t="s">
        <v>2037</v>
      </c>
      <c r="C305" t="s">
        <v>646</v>
      </c>
      <c r="F305">
        <v>38</v>
      </c>
      <c r="G305" t="s">
        <v>722</v>
      </c>
    </row>
    <row r="306" spans="1:7">
      <c r="A306" t="s">
        <v>1562</v>
      </c>
      <c r="B306" t="s">
        <v>2038</v>
      </c>
      <c r="C306" t="s">
        <v>646</v>
      </c>
      <c r="F306">
        <v>39</v>
      </c>
      <c r="G306" t="s">
        <v>722</v>
      </c>
    </row>
    <row r="307" spans="1:7">
      <c r="A307" t="s">
        <v>1524</v>
      </c>
      <c r="B307" t="s">
        <v>2000</v>
      </c>
      <c r="C307" t="s">
        <v>647</v>
      </c>
      <c r="F307">
        <v>1</v>
      </c>
      <c r="G307" t="s">
        <v>722</v>
      </c>
    </row>
    <row r="308" spans="1:7">
      <c r="A308" t="s">
        <v>1525</v>
      </c>
      <c r="B308" t="s">
        <v>2001</v>
      </c>
      <c r="C308" t="s">
        <v>647</v>
      </c>
      <c r="F308">
        <v>2</v>
      </c>
      <c r="G308" t="s">
        <v>722</v>
      </c>
    </row>
    <row r="309" spans="1:7">
      <c r="A309" t="s">
        <v>1526</v>
      </c>
      <c r="B309" t="s">
        <v>2002</v>
      </c>
      <c r="C309" t="s">
        <v>647</v>
      </c>
      <c r="F309">
        <v>3</v>
      </c>
      <c r="G309" t="s">
        <v>722</v>
      </c>
    </row>
    <row r="310" spans="1:7">
      <c r="A310" t="s">
        <v>1527</v>
      </c>
      <c r="B310" t="s">
        <v>2003</v>
      </c>
      <c r="C310" t="s">
        <v>647</v>
      </c>
      <c r="F310">
        <v>4</v>
      </c>
      <c r="G310" t="s">
        <v>722</v>
      </c>
    </row>
    <row r="311" spans="1:7">
      <c r="A311" t="s">
        <v>1528</v>
      </c>
      <c r="B311" t="s">
        <v>2004</v>
      </c>
      <c r="C311" t="s">
        <v>647</v>
      </c>
      <c r="F311">
        <v>5</v>
      </c>
      <c r="G311" t="s">
        <v>722</v>
      </c>
    </row>
    <row r="312" spans="1:7">
      <c r="A312" t="s">
        <v>1529</v>
      </c>
      <c r="B312" t="s">
        <v>2005</v>
      </c>
      <c r="C312" t="s">
        <v>647</v>
      </c>
      <c r="F312">
        <v>6</v>
      </c>
      <c r="G312" t="s">
        <v>722</v>
      </c>
    </row>
    <row r="313" spans="1:7">
      <c r="A313" t="s">
        <v>1530</v>
      </c>
      <c r="B313" t="s">
        <v>2006</v>
      </c>
      <c r="C313" t="s">
        <v>647</v>
      </c>
      <c r="F313">
        <v>7</v>
      </c>
      <c r="G313" t="s">
        <v>722</v>
      </c>
    </row>
    <row r="314" spans="1:7">
      <c r="A314" t="s">
        <v>1531</v>
      </c>
      <c r="B314" t="s">
        <v>2007</v>
      </c>
      <c r="C314" t="s">
        <v>647</v>
      </c>
      <c r="F314">
        <v>8</v>
      </c>
      <c r="G314" t="s">
        <v>722</v>
      </c>
    </row>
    <row r="315" spans="1:7">
      <c r="A315" t="s">
        <v>1532</v>
      </c>
      <c r="B315" t="s">
        <v>2008</v>
      </c>
      <c r="C315" t="s">
        <v>647</v>
      </c>
      <c r="F315">
        <v>9</v>
      </c>
      <c r="G315" t="s">
        <v>722</v>
      </c>
    </row>
    <row r="316" spans="1:7">
      <c r="A316" t="s">
        <v>1533</v>
      </c>
      <c r="B316" t="s">
        <v>2009</v>
      </c>
      <c r="C316" t="s">
        <v>647</v>
      </c>
      <c r="F316">
        <v>10</v>
      </c>
      <c r="G316" t="s">
        <v>722</v>
      </c>
    </row>
    <row r="317" spans="1:7">
      <c r="A317" t="s">
        <v>1534</v>
      </c>
      <c r="B317" t="s">
        <v>2010</v>
      </c>
      <c r="C317" t="s">
        <v>647</v>
      </c>
      <c r="F317">
        <v>11</v>
      </c>
      <c r="G317" t="s">
        <v>722</v>
      </c>
    </row>
    <row r="318" spans="1:7">
      <c r="A318" t="s">
        <v>1535</v>
      </c>
      <c r="B318" t="s">
        <v>2011</v>
      </c>
      <c r="C318" t="s">
        <v>647</v>
      </c>
      <c r="F318">
        <v>12</v>
      </c>
      <c r="G318" t="s">
        <v>722</v>
      </c>
    </row>
    <row r="319" spans="1:7">
      <c r="A319" t="s">
        <v>1536</v>
      </c>
      <c r="B319" t="s">
        <v>2012</v>
      </c>
      <c r="C319" t="s">
        <v>647</v>
      </c>
      <c r="F319">
        <v>13</v>
      </c>
      <c r="G319" t="s">
        <v>722</v>
      </c>
    </row>
    <row r="320" spans="1:7">
      <c r="A320" t="s">
        <v>1537</v>
      </c>
      <c r="B320" t="s">
        <v>2013</v>
      </c>
      <c r="C320" t="s">
        <v>647</v>
      </c>
      <c r="F320">
        <v>14</v>
      </c>
      <c r="G320" t="s">
        <v>722</v>
      </c>
    </row>
    <row r="321" spans="1:7">
      <c r="A321" t="s">
        <v>1538</v>
      </c>
      <c r="B321" t="s">
        <v>2014</v>
      </c>
      <c r="C321" t="s">
        <v>647</v>
      </c>
      <c r="F321">
        <v>15</v>
      </c>
      <c r="G321" t="s">
        <v>722</v>
      </c>
    </row>
    <row r="322" spans="1:7">
      <c r="A322" t="s">
        <v>1539</v>
      </c>
      <c r="B322" t="s">
        <v>2015</v>
      </c>
      <c r="C322" t="s">
        <v>647</v>
      </c>
      <c r="F322">
        <v>16</v>
      </c>
      <c r="G322" t="s">
        <v>722</v>
      </c>
    </row>
    <row r="323" spans="1:7">
      <c r="A323" t="s">
        <v>1540</v>
      </c>
      <c r="B323" t="s">
        <v>2016</v>
      </c>
      <c r="C323" t="s">
        <v>647</v>
      </c>
      <c r="F323">
        <v>17</v>
      </c>
      <c r="G323" t="s">
        <v>722</v>
      </c>
    </row>
    <row r="324" spans="1:7">
      <c r="A324" t="s">
        <v>1541</v>
      </c>
      <c r="B324" t="s">
        <v>2017</v>
      </c>
      <c r="C324" t="s">
        <v>647</v>
      </c>
      <c r="F324">
        <v>18</v>
      </c>
      <c r="G324" t="s">
        <v>722</v>
      </c>
    </row>
    <row r="325" spans="1:7">
      <c r="A325" t="s">
        <v>1542</v>
      </c>
      <c r="B325" t="s">
        <v>2018</v>
      </c>
      <c r="C325" t="s">
        <v>647</v>
      </c>
      <c r="F325">
        <v>19</v>
      </c>
      <c r="G325" t="s">
        <v>722</v>
      </c>
    </row>
    <row r="326" spans="1:7">
      <c r="A326" t="s">
        <v>1543</v>
      </c>
      <c r="B326" t="s">
        <v>2019</v>
      </c>
      <c r="C326" t="s">
        <v>647</v>
      </c>
      <c r="F326">
        <v>20</v>
      </c>
      <c r="G326" t="s">
        <v>722</v>
      </c>
    </row>
    <row r="327" spans="1:7">
      <c r="A327" t="s">
        <v>1544</v>
      </c>
      <c r="B327" t="s">
        <v>2020</v>
      </c>
      <c r="C327" t="s">
        <v>647</v>
      </c>
      <c r="F327">
        <v>21</v>
      </c>
      <c r="G327" t="s">
        <v>722</v>
      </c>
    </row>
    <row r="328" spans="1:7">
      <c r="A328" t="s">
        <v>1545</v>
      </c>
      <c r="B328" t="s">
        <v>2021</v>
      </c>
      <c r="C328" t="s">
        <v>647</v>
      </c>
      <c r="F328">
        <v>22</v>
      </c>
      <c r="G328" t="s">
        <v>722</v>
      </c>
    </row>
    <row r="329" spans="1:7">
      <c r="A329" t="s">
        <v>1546</v>
      </c>
      <c r="B329" t="s">
        <v>2022</v>
      </c>
      <c r="C329" t="s">
        <v>647</v>
      </c>
      <c r="F329">
        <v>23</v>
      </c>
      <c r="G329" t="s">
        <v>722</v>
      </c>
    </row>
    <row r="330" spans="1:7">
      <c r="A330" t="s">
        <v>1547</v>
      </c>
      <c r="B330" t="s">
        <v>2023</v>
      </c>
      <c r="C330" t="s">
        <v>647</v>
      </c>
      <c r="F330">
        <v>24</v>
      </c>
      <c r="G330" t="s">
        <v>722</v>
      </c>
    </row>
    <row r="331" spans="1:7">
      <c r="A331" t="s">
        <v>1548</v>
      </c>
      <c r="B331" t="s">
        <v>2024</v>
      </c>
      <c r="C331" t="s">
        <v>647</v>
      </c>
      <c r="F331">
        <v>25</v>
      </c>
      <c r="G331" t="s">
        <v>722</v>
      </c>
    </row>
    <row r="332" spans="1:7">
      <c r="A332" t="s">
        <v>1549</v>
      </c>
      <c r="B332" t="s">
        <v>2025</v>
      </c>
      <c r="C332" t="s">
        <v>647</v>
      </c>
      <c r="F332">
        <v>26</v>
      </c>
      <c r="G332" t="s">
        <v>722</v>
      </c>
    </row>
    <row r="333" spans="1:7">
      <c r="A333" t="s">
        <v>1550</v>
      </c>
      <c r="B333" t="s">
        <v>2026</v>
      </c>
      <c r="C333" t="s">
        <v>647</v>
      </c>
      <c r="F333">
        <v>27</v>
      </c>
      <c r="G333" t="s">
        <v>722</v>
      </c>
    </row>
    <row r="334" spans="1:7">
      <c r="A334" t="s">
        <v>1551</v>
      </c>
      <c r="B334" t="s">
        <v>2027</v>
      </c>
      <c r="C334" t="s">
        <v>647</v>
      </c>
      <c r="F334">
        <v>28</v>
      </c>
      <c r="G334" t="s">
        <v>722</v>
      </c>
    </row>
    <row r="335" spans="1:7">
      <c r="A335" t="s">
        <v>1552</v>
      </c>
      <c r="B335" t="s">
        <v>2028</v>
      </c>
      <c r="C335" t="s">
        <v>647</v>
      </c>
      <c r="F335">
        <v>29</v>
      </c>
      <c r="G335" t="s">
        <v>722</v>
      </c>
    </row>
    <row r="336" spans="1:7">
      <c r="A336" t="s">
        <v>1553</v>
      </c>
      <c r="B336" t="s">
        <v>2029</v>
      </c>
      <c r="C336" t="s">
        <v>647</v>
      </c>
      <c r="F336">
        <v>30</v>
      </c>
      <c r="G336" t="s">
        <v>722</v>
      </c>
    </row>
    <row r="337" spans="1:7">
      <c r="A337" t="s">
        <v>1554</v>
      </c>
      <c r="B337" t="s">
        <v>2030</v>
      </c>
      <c r="C337" t="s">
        <v>647</v>
      </c>
      <c r="F337">
        <v>31</v>
      </c>
      <c r="G337" t="s">
        <v>722</v>
      </c>
    </row>
    <row r="338" spans="1:7">
      <c r="A338" t="s">
        <v>1555</v>
      </c>
      <c r="B338" t="s">
        <v>2031</v>
      </c>
      <c r="C338" t="s">
        <v>647</v>
      </c>
      <c r="F338">
        <v>32</v>
      </c>
      <c r="G338" t="s">
        <v>722</v>
      </c>
    </row>
    <row r="339" spans="1:7">
      <c r="A339" t="s">
        <v>1556</v>
      </c>
      <c r="B339" t="s">
        <v>2032</v>
      </c>
      <c r="C339" t="s">
        <v>647</v>
      </c>
      <c r="F339">
        <v>33</v>
      </c>
      <c r="G339" t="s">
        <v>722</v>
      </c>
    </row>
    <row r="340" spans="1:7">
      <c r="A340" t="s">
        <v>1557</v>
      </c>
      <c r="B340" t="s">
        <v>2033</v>
      </c>
      <c r="C340" t="s">
        <v>647</v>
      </c>
      <c r="F340">
        <v>34</v>
      </c>
      <c r="G340" t="s">
        <v>722</v>
      </c>
    </row>
    <row r="341" spans="1:7">
      <c r="A341" t="s">
        <v>1558</v>
      </c>
      <c r="B341" t="s">
        <v>2034</v>
      </c>
      <c r="C341" t="s">
        <v>647</v>
      </c>
      <c r="F341">
        <v>35</v>
      </c>
      <c r="G341" t="s">
        <v>722</v>
      </c>
    </row>
    <row r="342" spans="1:7">
      <c r="A342" t="s">
        <v>1559</v>
      </c>
      <c r="B342" t="s">
        <v>2035</v>
      </c>
      <c r="C342" t="s">
        <v>647</v>
      </c>
      <c r="F342">
        <v>36</v>
      </c>
      <c r="G342" t="s">
        <v>722</v>
      </c>
    </row>
    <row r="343" spans="1:7">
      <c r="A343" t="s">
        <v>1560</v>
      </c>
      <c r="B343" t="s">
        <v>2036</v>
      </c>
      <c r="C343" t="s">
        <v>647</v>
      </c>
      <c r="F343">
        <v>37</v>
      </c>
      <c r="G343" t="s">
        <v>722</v>
      </c>
    </row>
    <row r="344" spans="1:7">
      <c r="A344" t="s">
        <v>1561</v>
      </c>
      <c r="B344" t="s">
        <v>2037</v>
      </c>
      <c r="C344" t="s">
        <v>647</v>
      </c>
      <c r="F344">
        <v>38</v>
      </c>
      <c r="G344" t="s">
        <v>722</v>
      </c>
    </row>
    <row r="345" spans="1:7">
      <c r="A345" t="s">
        <v>1562</v>
      </c>
      <c r="B345" t="s">
        <v>2038</v>
      </c>
      <c r="C345" t="s">
        <v>647</v>
      </c>
      <c r="F345">
        <v>39</v>
      </c>
      <c r="G345" t="s">
        <v>722</v>
      </c>
    </row>
    <row r="346" spans="1:7">
      <c r="A346" t="s">
        <v>1524</v>
      </c>
      <c r="B346" t="s">
        <v>2000</v>
      </c>
      <c r="C346" t="s">
        <v>648</v>
      </c>
      <c r="F346">
        <v>1</v>
      </c>
      <c r="G346" t="s">
        <v>722</v>
      </c>
    </row>
    <row r="347" spans="1:7">
      <c r="A347" t="s">
        <v>1525</v>
      </c>
      <c r="B347" t="s">
        <v>2001</v>
      </c>
      <c r="C347" t="s">
        <v>648</v>
      </c>
      <c r="F347">
        <v>2</v>
      </c>
      <c r="G347" t="s">
        <v>722</v>
      </c>
    </row>
    <row r="348" spans="1:7">
      <c r="A348" t="s">
        <v>1526</v>
      </c>
      <c r="B348" t="s">
        <v>2002</v>
      </c>
      <c r="C348" t="s">
        <v>648</v>
      </c>
      <c r="F348">
        <v>3</v>
      </c>
      <c r="G348" t="s">
        <v>722</v>
      </c>
    </row>
    <row r="349" spans="1:7">
      <c r="A349" t="s">
        <v>1527</v>
      </c>
      <c r="B349" t="s">
        <v>2003</v>
      </c>
      <c r="C349" t="s">
        <v>648</v>
      </c>
      <c r="F349">
        <v>4</v>
      </c>
      <c r="G349" t="s">
        <v>722</v>
      </c>
    </row>
    <row r="350" spans="1:7">
      <c r="A350" t="s">
        <v>1528</v>
      </c>
      <c r="B350" t="s">
        <v>2004</v>
      </c>
      <c r="C350" t="s">
        <v>648</v>
      </c>
      <c r="F350">
        <v>5</v>
      </c>
      <c r="G350" t="s">
        <v>722</v>
      </c>
    </row>
    <row r="351" spans="1:7">
      <c r="A351" t="s">
        <v>1529</v>
      </c>
      <c r="B351" t="s">
        <v>2005</v>
      </c>
      <c r="C351" t="s">
        <v>648</v>
      </c>
      <c r="F351">
        <v>6</v>
      </c>
      <c r="G351" t="s">
        <v>722</v>
      </c>
    </row>
    <row r="352" spans="1:7">
      <c r="A352" t="s">
        <v>1530</v>
      </c>
      <c r="B352" t="s">
        <v>2006</v>
      </c>
      <c r="C352" t="s">
        <v>648</v>
      </c>
      <c r="F352">
        <v>7</v>
      </c>
      <c r="G352" t="s">
        <v>722</v>
      </c>
    </row>
    <row r="353" spans="1:7">
      <c r="A353" t="s">
        <v>1531</v>
      </c>
      <c r="B353" t="s">
        <v>2007</v>
      </c>
      <c r="C353" t="s">
        <v>648</v>
      </c>
      <c r="F353">
        <v>8</v>
      </c>
      <c r="G353" t="s">
        <v>722</v>
      </c>
    </row>
    <row r="354" spans="1:7">
      <c r="A354" t="s">
        <v>1532</v>
      </c>
      <c r="B354" t="s">
        <v>2008</v>
      </c>
      <c r="C354" t="s">
        <v>648</v>
      </c>
      <c r="F354">
        <v>9</v>
      </c>
      <c r="G354" t="s">
        <v>722</v>
      </c>
    </row>
    <row r="355" spans="1:7">
      <c r="A355" t="s">
        <v>1533</v>
      </c>
      <c r="B355" t="s">
        <v>2009</v>
      </c>
      <c r="C355" t="s">
        <v>648</v>
      </c>
      <c r="F355">
        <v>10</v>
      </c>
      <c r="G355" t="s">
        <v>722</v>
      </c>
    </row>
    <row r="356" spans="1:7">
      <c r="A356" t="s">
        <v>1534</v>
      </c>
      <c r="B356" t="s">
        <v>2010</v>
      </c>
      <c r="C356" t="s">
        <v>648</v>
      </c>
      <c r="F356">
        <v>11</v>
      </c>
      <c r="G356" t="s">
        <v>722</v>
      </c>
    </row>
    <row r="357" spans="1:7">
      <c r="A357" t="s">
        <v>1535</v>
      </c>
      <c r="B357" t="s">
        <v>2011</v>
      </c>
      <c r="C357" t="s">
        <v>648</v>
      </c>
      <c r="F357">
        <v>12</v>
      </c>
      <c r="G357" t="s">
        <v>722</v>
      </c>
    </row>
    <row r="358" spans="1:7">
      <c r="A358" t="s">
        <v>1536</v>
      </c>
      <c r="B358" t="s">
        <v>2012</v>
      </c>
      <c r="C358" t="s">
        <v>648</v>
      </c>
      <c r="F358">
        <v>13</v>
      </c>
      <c r="G358" t="s">
        <v>722</v>
      </c>
    </row>
    <row r="359" spans="1:7">
      <c r="A359" t="s">
        <v>1537</v>
      </c>
      <c r="B359" t="s">
        <v>2013</v>
      </c>
      <c r="C359" t="s">
        <v>648</v>
      </c>
      <c r="F359">
        <v>14</v>
      </c>
      <c r="G359" t="s">
        <v>722</v>
      </c>
    </row>
    <row r="360" spans="1:7">
      <c r="A360" t="s">
        <v>1538</v>
      </c>
      <c r="B360" t="s">
        <v>2014</v>
      </c>
      <c r="C360" t="s">
        <v>648</v>
      </c>
      <c r="F360">
        <v>15</v>
      </c>
      <c r="G360" t="s">
        <v>722</v>
      </c>
    </row>
    <row r="361" spans="1:7">
      <c r="A361" t="s">
        <v>1539</v>
      </c>
      <c r="B361" t="s">
        <v>2015</v>
      </c>
      <c r="C361" t="s">
        <v>648</v>
      </c>
      <c r="F361">
        <v>16</v>
      </c>
      <c r="G361" t="s">
        <v>722</v>
      </c>
    </row>
    <row r="362" spans="1:7">
      <c r="A362" t="s">
        <v>1540</v>
      </c>
      <c r="B362" t="s">
        <v>2016</v>
      </c>
      <c r="C362" t="s">
        <v>648</v>
      </c>
      <c r="F362">
        <v>17</v>
      </c>
      <c r="G362" t="s">
        <v>722</v>
      </c>
    </row>
    <row r="363" spans="1:7">
      <c r="A363" t="s">
        <v>1541</v>
      </c>
      <c r="B363" t="s">
        <v>2017</v>
      </c>
      <c r="C363" t="s">
        <v>648</v>
      </c>
      <c r="F363">
        <v>18</v>
      </c>
      <c r="G363" t="s">
        <v>722</v>
      </c>
    </row>
    <row r="364" spans="1:7">
      <c r="A364" t="s">
        <v>1542</v>
      </c>
      <c r="B364" t="s">
        <v>2018</v>
      </c>
      <c r="C364" t="s">
        <v>648</v>
      </c>
      <c r="F364">
        <v>19</v>
      </c>
      <c r="G364" t="s">
        <v>722</v>
      </c>
    </row>
    <row r="365" spans="1:7">
      <c r="A365" t="s">
        <v>1543</v>
      </c>
      <c r="B365" t="s">
        <v>2019</v>
      </c>
      <c r="C365" t="s">
        <v>648</v>
      </c>
      <c r="F365">
        <v>20</v>
      </c>
      <c r="G365" t="s">
        <v>722</v>
      </c>
    </row>
    <row r="366" spans="1:7">
      <c r="A366" t="s">
        <v>1544</v>
      </c>
      <c r="B366" t="s">
        <v>2020</v>
      </c>
      <c r="C366" t="s">
        <v>648</v>
      </c>
      <c r="F366">
        <v>21</v>
      </c>
      <c r="G366" t="s">
        <v>722</v>
      </c>
    </row>
    <row r="367" spans="1:7">
      <c r="A367" t="s">
        <v>1545</v>
      </c>
      <c r="B367" t="s">
        <v>2021</v>
      </c>
      <c r="C367" t="s">
        <v>648</v>
      </c>
      <c r="F367">
        <v>22</v>
      </c>
      <c r="G367" t="s">
        <v>722</v>
      </c>
    </row>
    <row r="368" spans="1:7">
      <c r="A368" t="s">
        <v>1546</v>
      </c>
      <c r="B368" t="s">
        <v>2022</v>
      </c>
      <c r="C368" t="s">
        <v>648</v>
      </c>
      <c r="F368">
        <v>23</v>
      </c>
      <c r="G368" t="s">
        <v>722</v>
      </c>
    </row>
    <row r="369" spans="1:7">
      <c r="A369" t="s">
        <v>1547</v>
      </c>
      <c r="B369" t="s">
        <v>2023</v>
      </c>
      <c r="C369" t="s">
        <v>648</v>
      </c>
      <c r="F369">
        <v>24</v>
      </c>
      <c r="G369" t="s">
        <v>722</v>
      </c>
    </row>
    <row r="370" spans="1:7">
      <c r="A370" t="s">
        <v>1548</v>
      </c>
      <c r="B370" t="s">
        <v>2024</v>
      </c>
      <c r="C370" t="s">
        <v>648</v>
      </c>
      <c r="F370">
        <v>25</v>
      </c>
      <c r="G370" t="s">
        <v>722</v>
      </c>
    </row>
    <row r="371" spans="1:7">
      <c r="A371" t="s">
        <v>1549</v>
      </c>
      <c r="B371" t="s">
        <v>2025</v>
      </c>
      <c r="C371" t="s">
        <v>648</v>
      </c>
      <c r="F371">
        <v>26</v>
      </c>
      <c r="G371" t="s">
        <v>722</v>
      </c>
    </row>
    <row r="372" spans="1:7">
      <c r="A372" t="s">
        <v>1550</v>
      </c>
      <c r="B372" t="s">
        <v>2026</v>
      </c>
      <c r="C372" t="s">
        <v>648</v>
      </c>
      <c r="F372">
        <v>27</v>
      </c>
      <c r="G372" t="s">
        <v>722</v>
      </c>
    </row>
    <row r="373" spans="1:7">
      <c r="A373" t="s">
        <v>1551</v>
      </c>
      <c r="B373" t="s">
        <v>2027</v>
      </c>
      <c r="C373" t="s">
        <v>648</v>
      </c>
      <c r="F373">
        <v>28</v>
      </c>
      <c r="G373" t="s">
        <v>722</v>
      </c>
    </row>
    <row r="374" spans="1:7">
      <c r="A374" t="s">
        <v>1552</v>
      </c>
      <c r="B374" t="s">
        <v>2028</v>
      </c>
      <c r="C374" t="s">
        <v>648</v>
      </c>
      <c r="F374">
        <v>29</v>
      </c>
      <c r="G374" t="s">
        <v>722</v>
      </c>
    </row>
    <row r="375" spans="1:7">
      <c r="A375" t="s">
        <v>1553</v>
      </c>
      <c r="B375" t="s">
        <v>2029</v>
      </c>
      <c r="C375" t="s">
        <v>648</v>
      </c>
      <c r="F375">
        <v>30</v>
      </c>
      <c r="G375" t="s">
        <v>722</v>
      </c>
    </row>
    <row r="376" spans="1:7">
      <c r="A376" t="s">
        <v>1554</v>
      </c>
      <c r="B376" t="s">
        <v>2030</v>
      </c>
      <c r="C376" t="s">
        <v>648</v>
      </c>
      <c r="F376">
        <v>31</v>
      </c>
      <c r="G376" t="s">
        <v>722</v>
      </c>
    </row>
    <row r="377" spans="1:7">
      <c r="A377" t="s">
        <v>1555</v>
      </c>
      <c r="B377" t="s">
        <v>2031</v>
      </c>
      <c r="C377" t="s">
        <v>648</v>
      </c>
      <c r="F377">
        <v>32</v>
      </c>
      <c r="G377" t="s">
        <v>722</v>
      </c>
    </row>
    <row r="378" spans="1:7">
      <c r="A378" t="s">
        <v>1556</v>
      </c>
      <c r="B378" t="s">
        <v>2032</v>
      </c>
      <c r="C378" t="s">
        <v>648</v>
      </c>
      <c r="F378">
        <v>33</v>
      </c>
      <c r="G378" t="s">
        <v>722</v>
      </c>
    </row>
    <row r="379" spans="1:7">
      <c r="A379" t="s">
        <v>1557</v>
      </c>
      <c r="B379" t="s">
        <v>2033</v>
      </c>
      <c r="C379" t="s">
        <v>648</v>
      </c>
      <c r="F379">
        <v>34</v>
      </c>
      <c r="G379" t="s">
        <v>722</v>
      </c>
    </row>
    <row r="380" spans="1:7">
      <c r="A380" t="s">
        <v>1558</v>
      </c>
      <c r="B380" t="s">
        <v>2034</v>
      </c>
      <c r="C380" t="s">
        <v>648</v>
      </c>
      <c r="F380">
        <v>35</v>
      </c>
      <c r="G380" t="s">
        <v>722</v>
      </c>
    </row>
    <row r="381" spans="1:7">
      <c r="A381" t="s">
        <v>1559</v>
      </c>
      <c r="B381" t="s">
        <v>2035</v>
      </c>
      <c r="C381" t="s">
        <v>648</v>
      </c>
      <c r="F381">
        <v>36</v>
      </c>
      <c r="G381" t="s">
        <v>722</v>
      </c>
    </row>
    <row r="382" spans="1:7">
      <c r="A382" t="s">
        <v>1560</v>
      </c>
      <c r="B382" t="s">
        <v>2036</v>
      </c>
      <c r="C382" t="s">
        <v>648</v>
      </c>
      <c r="F382">
        <v>37</v>
      </c>
      <c r="G382" t="s">
        <v>722</v>
      </c>
    </row>
    <row r="383" spans="1:7">
      <c r="A383" t="s">
        <v>1561</v>
      </c>
      <c r="B383" t="s">
        <v>2037</v>
      </c>
      <c r="C383" t="s">
        <v>648</v>
      </c>
      <c r="F383">
        <v>38</v>
      </c>
      <c r="G383" t="s">
        <v>722</v>
      </c>
    </row>
    <row r="384" spans="1:7">
      <c r="A384" t="s">
        <v>1562</v>
      </c>
      <c r="B384" t="s">
        <v>2038</v>
      </c>
      <c r="C384" t="s">
        <v>648</v>
      </c>
      <c r="F384">
        <v>39</v>
      </c>
      <c r="G384" t="s">
        <v>722</v>
      </c>
    </row>
    <row r="385" spans="1:7">
      <c r="A385" t="s">
        <v>761</v>
      </c>
      <c r="B385" t="s">
        <v>2046</v>
      </c>
      <c r="C385" t="s">
        <v>661</v>
      </c>
      <c r="F385">
        <v>1</v>
      </c>
      <c r="G385" t="s">
        <v>722</v>
      </c>
    </row>
    <row r="386" spans="1:7">
      <c r="A386" t="s">
        <v>762</v>
      </c>
      <c r="B386" t="s">
        <v>687</v>
      </c>
      <c r="C386" t="s">
        <v>661</v>
      </c>
      <c r="F386">
        <v>2</v>
      </c>
      <c r="G386" t="s">
        <v>722</v>
      </c>
    </row>
    <row r="387" spans="1:7">
      <c r="A387" t="s">
        <v>763</v>
      </c>
      <c r="B387" t="s">
        <v>2047</v>
      </c>
      <c r="C387" t="s">
        <v>661</v>
      </c>
      <c r="F387">
        <v>3</v>
      </c>
      <c r="G387" t="s">
        <v>722</v>
      </c>
    </row>
    <row r="388" spans="1:7">
      <c r="A388" t="s">
        <v>764</v>
      </c>
      <c r="B388" t="s">
        <v>2048</v>
      </c>
      <c r="C388" t="s">
        <v>661</v>
      </c>
      <c r="F388">
        <v>4</v>
      </c>
      <c r="G388" t="s">
        <v>722</v>
      </c>
    </row>
    <row r="389" spans="1:7">
      <c r="A389" t="s">
        <v>765</v>
      </c>
      <c r="B389" t="s">
        <v>2049</v>
      </c>
      <c r="C389" t="s">
        <v>661</v>
      </c>
      <c r="F389">
        <v>5</v>
      </c>
      <c r="G389" t="s">
        <v>722</v>
      </c>
    </row>
    <row r="390" spans="1:7">
      <c r="A390" t="s">
        <v>1584</v>
      </c>
      <c r="B390" t="s">
        <v>2056</v>
      </c>
      <c r="C390" t="s">
        <v>664</v>
      </c>
      <c r="F390">
        <v>1</v>
      </c>
      <c r="G390" t="s">
        <v>722</v>
      </c>
    </row>
    <row r="391" spans="1:7">
      <c r="A391" t="s">
        <v>1585</v>
      </c>
      <c r="B391" t="s">
        <v>2057</v>
      </c>
      <c r="C391" t="s">
        <v>664</v>
      </c>
      <c r="F391">
        <v>2</v>
      </c>
      <c r="G391" t="s">
        <v>722</v>
      </c>
    </row>
    <row r="392" spans="1:7">
      <c r="A392" t="s">
        <v>1586</v>
      </c>
      <c r="B392" t="s">
        <v>2058</v>
      </c>
      <c r="C392" t="s">
        <v>664</v>
      </c>
      <c r="F392">
        <v>3</v>
      </c>
      <c r="G392" t="s">
        <v>722</v>
      </c>
    </row>
    <row r="393" spans="1:7">
      <c r="A393" t="s">
        <v>1587</v>
      </c>
      <c r="B393" t="s">
        <v>2059</v>
      </c>
      <c r="C393" t="s">
        <v>664</v>
      </c>
      <c r="F393">
        <v>4</v>
      </c>
      <c r="G393" t="s">
        <v>722</v>
      </c>
    </row>
    <row r="394" spans="1:7">
      <c r="A394" t="s">
        <v>1588</v>
      </c>
      <c r="B394" t="s">
        <v>2060</v>
      </c>
      <c r="C394" t="s">
        <v>664</v>
      </c>
      <c r="F394">
        <v>5</v>
      </c>
      <c r="G394" t="s">
        <v>722</v>
      </c>
    </row>
    <row r="395" spans="1:7">
      <c r="A395" t="s">
        <v>1589</v>
      </c>
      <c r="B395" t="s">
        <v>2061</v>
      </c>
      <c r="C395" t="s">
        <v>664</v>
      </c>
      <c r="F395">
        <v>6</v>
      </c>
      <c r="G395" t="s">
        <v>722</v>
      </c>
    </row>
    <row r="396" spans="1:7">
      <c r="A396" t="s">
        <v>1590</v>
      </c>
      <c r="B396" t="s">
        <v>2062</v>
      </c>
      <c r="C396" t="s">
        <v>664</v>
      </c>
      <c r="F396">
        <v>7</v>
      </c>
      <c r="G396" t="s">
        <v>722</v>
      </c>
    </row>
    <row r="397" spans="1:7">
      <c r="A397" t="s">
        <v>1591</v>
      </c>
      <c r="B397" t="s">
        <v>2063</v>
      </c>
      <c r="C397" t="s">
        <v>664</v>
      </c>
      <c r="F397">
        <v>8</v>
      </c>
      <c r="G397" t="s">
        <v>722</v>
      </c>
    </row>
    <row r="398" spans="1:7">
      <c r="A398" t="s">
        <v>728</v>
      </c>
      <c r="B398" t="s">
        <v>2064</v>
      </c>
      <c r="C398" t="s">
        <v>664</v>
      </c>
      <c r="F398">
        <v>9</v>
      </c>
      <c r="G398" t="s">
        <v>722</v>
      </c>
    </row>
    <row r="399" spans="1:7">
      <c r="A399" t="s">
        <v>1595</v>
      </c>
      <c r="B399" t="s">
        <v>2067</v>
      </c>
      <c r="C399" t="s">
        <v>665</v>
      </c>
      <c r="F399">
        <v>1</v>
      </c>
      <c r="G399" t="s">
        <v>722</v>
      </c>
    </row>
    <row r="400" spans="1:7">
      <c r="A400" t="s">
        <v>1596</v>
      </c>
      <c r="B400" t="s">
        <v>2068</v>
      </c>
      <c r="C400" t="s">
        <v>665</v>
      </c>
      <c r="F400">
        <v>2</v>
      </c>
      <c r="G400" t="s">
        <v>722</v>
      </c>
    </row>
    <row r="401" spans="1:7">
      <c r="A401" t="s">
        <v>1336</v>
      </c>
      <c r="B401" t="s">
        <v>2070</v>
      </c>
      <c r="C401" t="s">
        <v>666</v>
      </c>
      <c r="F401">
        <v>1</v>
      </c>
      <c r="G401" t="s">
        <v>722</v>
      </c>
    </row>
    <row r="402" spans="1:7">
      <c r="A402" t="s">
        <v>1598</v>
      </c>
      <c r="B402" t="s">
        <v>2071</v>
      </c>
      <c r="C402" t="s">
        <v>666</v>
      </c>
      <c r="F402">
        <v>2</v>
      </c>
      <c r="G402" t="s">
        <v>722</v>
      </c>
    </row>
    <row r="403" spans="1:7">
      <c r="A403" t="s">
        <v>1599</v>
      </c>
      <c r="B403" t="s">
        <v>2072</v>
      </c>
      <c r="C403" t="s">
        <v>666</v>
      </c>
      <c r="F403">
        <v>3</v>
      </c>
      <c r="G403" t="s">
        <v>722</v>
      </c>
    </row>
    <row r="404" spans="1:7">
      <c r="A404" t="s">
        <v>1600</v>
      </c>
      <c r="B404" t="s">
        <v>2073</v>
      </c>
      <c r="C404" t="s">
        <v>666</v>
      </c>
      <c r="F404">
        <v>4</v>
      </c>
      <c r="G404" t="s">
        <v>722</v>
      </c>
    </row>
    <row r="405" spans="1:7">
      <c r="A405" t="s">
        <v>728</v>
      </c>
      <c r="B405" t="s">
        <v>612</v>
      </c>
      <c r="C405" t="s">
        <v>666</v>
      </c>
      <c r="F405">
        <v>5</v>
      </c>
      <c r="G405" t="s">
        <v>722</v>
      </c>
    </row>
    <row r="406" spans="1:7">
      <c r="A406" t="s">
        <v>1604</v>
      </c>
      <c r="B406" t="s">
        <v>2076</v>
      </c>
      <c r="C406" t="s">
        <v>667</v>
      </c>
      <c r="F406">
        <v>1</v>
      </c>
      <c r="G406" t="s">
        <v>722</v>
      </c>
    </row>
    <row r="407" spans="1:7">
      <c r="A407" t="s">
        <v>1605</v>
      </c>
      <c r="B407" t="s">
        <v>2077</v>
      </c>
      <c r="C407" t="s">
        <v>667</v>
      </c>
      <c r="F407">
        <v>2</v>
      </c>
      <c r="G407" t="s">
        <v>722</v>
      </c>
    </row>
    <row r="408" spans="1:7">
      <c r="A408" t="s">
        <v>1606</v>
      </c>
      <c r="B408" t="s">
        <v>2078</v>
      </c>
      <c r="C408" t="s">
        <v>667</v>
      </c>
      <c r="F408">
        <v>3</v>
      </c>
      <c r="G408" t="s">
        <v>722</v>
      </c>
    </row>
    <row r="409" spans="1:7">
      <c r="A409" t="s">
        <v>728</v>
      </c>
      <c r="B409" t="s">
        <v>612</v>
      </c>
      <c r="C409" t="s">
        <v>667</v>
      </c>
      <c r="F409">
        <v>4</v>
      </c>
      <c r="G409" t="s">
        <v>722</v>
      </c>
    </row>
    <row r="410" spans="1:7">
      <c r="A410" t="s">
        <v>1610</v>
      </c>
      <c r="B410" t="s">
        <v>1805</v>
      </c>
      <c r="C410" t="s">
        <v>668</v>
      </c>
      <c r="F410">
        <v>1</v>
      </c>
      <c r="G410" t="s">
        <v>722</v>
      </c>
    </row>
    <row r="411" spans="1:7">
      <c r="A411" t="s">
        <v>1611</v>
      </c>
      <c r="B411" t="s">
        <v>2081</v>
      </c>
      <c r="C411" t="s">
        <v>668</v>
      </c>
      <c r="F411">
        <v>2</v>
      </c>
      <c r="G411" t="s">
        <v>722</v>
      </c>
    </row>
    <row r="412" spans="1:7">
      <c r="A412" t="s">
        <v>1612</v>
      </c>
      <c r="B412" t="s">
        <v>2082</v>
      </c>
      <c r="C412" t="s">
        <v>668</v>
      </c>
      <c r="F412">
        <v>3</v>
      </c>
      <c r="G412" t="s">
        <v>722</v>
      </c>
    </row>
    <row r="413" spans="1:7">
      <c r="A413" t="s">
        <v>1613</v>
      </c>
      <c r="B413" t="s">
        <v>2083</v>
      </c>
      <c r="C413" t="s">
        <v>668</v>
      </c>
      <c r="F413">
        <v>4</v>
      </c>
      <c r="G413" t="s">
        <v>722</v>
      </c>
    </row>
    <row r="414" spans="1:7">
      <c r="A414" t="s">
        <v>1614</v>
      </c>
      <c r="B414" t="s">
        <v>2084</v>
      </c>
      <c r="C414" t="s">
        <v>668</v>
      </c>
      <c r="F414">
        <v>5</v>
      </c>
      <c r="G414" t="s">
        <v>722</v>
      </c>
    </row>
    <row r="415" spans="1:7">
      <c r="A415" t="s">
        <v>1615</v>
      </c>
      <c r="B415" t="s">
        <v>2085</v>
      </c>
      <c r="C415" t="s">
        <v>668</v>
      </c>
      <c r="F415">
        <v>6</v>
      </c>
      <c r="G415" t="s">
        <v>722</v>
      </c>
    </row>
    <row r="416" spans="1:7">
      <c r="A416" t="s">
        <v>1616</v>
      </c>
      <c r="B416" t="s">
        <v>2086</v>
      </c>
      <c r="C416" t="s">
        <v>668</v>
      </c>
      <c r="F416">
        <v>7</v>
      </c>
      <c r="G416" t="s">
        <v>722</v>
      </c>
    </row>
    <row r="417" spans="1:7">
      <c r="A417" t="s">
        <v>1617</v>
      </c>
      <c r="B417" t="s">
        <v>2087</v>
      </c>
      <c r="C417" t="s">
        <v>668</v>
      </c>
      <c r="F417">
        <v>8</v>
      </c>
      <c r="G417" t="s">
        <v>722</v>
      </c>
    </row>
    <row r="418" spans="1:7">
      <c r="A418" t="s">
        <v>1619</v>
      </c>
      <c r="B418" t="s">
        <v>2089</v>
      </c>
      <c r="C418" t="s">
        <v>670</v>
      </c>
      <c r="F418">
        <v>1</v>
      </c>
      <c r="G418" t="s">
        <v>722</v>
      </c>
    </row>
    <row r="419" spans="1:7">
      <c r="A419" t="s">
        <v>1620</v>
      </c>
      <c r="B419" t="s">
        <v>2090</v>
      </c>
      <c r="C419" t="s">
        <v>670</v>
      </c>
      <c r="F419">
        <v>2</v>
      </c>
      <c r="G419" t="s">
        <v>722</v>
      </c>
    </row>
    <row r="420" spans="1:7">
      <c r="A420" t="s">
        <v>1621</v>
      </c>
      <c r="B420" t="s">
        <v>2091</v>
      </c>
      <c r="C420" t="s">
        <v>670</v>
      </c>
      <c r="F420">
        <v>3</v>
      </c>
      <c r="G420" t="s">
        <v>722</v>
      </c>
    </row>
    <row r="421" spans="1:7">
      <c r="A421" t="s">
        <v>1622</v>
      </c>
      <c r="B421" t="s">
        <v>2092</v>
      </c>
      <c r="C421" t="s">
        <v>670</v>
      </c>
      <c r="F421">
        <v>4</v>
      </c>
      <c r="G421" t="s">
        <v>722</v>
      </c>
    </row>
    <row r="422" spans="1:7">
      <c r="A422" t="s">
        <v>1623</v>
      </c>
      <c r="B422" t="s">
        <v>2093</v>
      </c>
      <c r="C422" t="s">
        <v>670</v>
      </c>
      <c r="F422">
        <v>5</v>
      </c>
      <c r="G422" t="s">
        <v>722</v>
      </c>
    </row>
    <row r="423" spans="1:7">
      <c r="A423" t="s">
        <v>1624</v>
      </c>
      <c r="B423" t="s">
        <v>2094</v>
      </c>
      <c r="C423" t="s">
        <v>670</v>
      </c>
      <c r="F423">
        <v>6</v>
      </c>
      <c r="G423" t="s">
        <v>722</v>
      </c>
    </row>
    <row r="424" spans="1:7">
      <c r="A424" t="s">
        <v>1628</v>
      </c>
      <c r="B424" t="s">
        <v>2097</v>
      </c>
      <c r="C424" t="s">
        <v>682</v>
      </c>
      <c r="F424">
        <v>1</v>
      </c>
      <c r="G424" t="s">
        <v>722</v>
      </c>
    </row>
    <row r="425" spans="1:7">
      <c r="A425" t="s">
        <v>1629</v>
      </c>
      <c r="B425" t="s">
        <v>2098</v>
      </c>
      <c r="C425" t="s">
        <v>682</v>
      </c>
      <c r="F425">
        <v>2</v>
      </c>
      <c r="G425" t="s">
        <v>722</v>
      </c>
    </row>
    <row r="426" spans="1:7">
      <c r="A426" t="s">
        <v>1630</v>
      </c>
      <c r="B426" t="s">
        <v>2099</v>
      </c>
      <c r="C426" t="s">
        <v>682</v>
      </c>
      <c r="F426">
        <v>3</v>
      </c>
      <c r="G426" t="s">
        <v>722</v>
      </c>
    </row>
    <row r="427" spans="1:7">
      <c r="A427" t="s">
        <v>1631</v>
      </c>
      <c r="B427" t="s">
        <v>2100</v>
      </c>
      <c r="C427" t="s">
        <v>682</v>
      </c>
      <c r="F427">
        <v>4</v>
      </c>
      <c r="G427" t="s">
        <v>722</v>
      </c>
    </row>
    <row r="428" spans="1:7">
      <c r="A428" t="s">
        <v>1632</v>
      </c>
      <c r="B428" t="s">
        <v>2101</v>
      </c>
      <c r="C428" t="s">
        <v>682</v>
      </c>
      <c r="F428">
        <v>5</v>
      </c>
      <c r="G428" t="s">
        <v>722</v>
      </c>
    </row>
    <row r="429" spans="1:7">
      <c r="A429" t="s">
        <v>1633</v>
      </c>
      <c r="B429" t="s">
        <v>2102</v>
      </c>
      <c r="C429" t="s">
        <v>682</v>
      </c>
      <c r="F429">
        <v>6</v>
      </c>
      <c r="G429" t="s">
        <v>722</v>
      </c>
    </row>
    <row r="430" spans="1:7">
      <c r="A430" t="s">
        <v>1634</v>
      </c>
      <c r="B430" t="s">
        <v>2103</v>
      </c>
      <c r="C430" t="s">
        <v>682</v>
      </c>
      <c r="F430">
        <v>7</v>
      </c>
      <c r="G430" t="s">
        <v>722</v>
      </c>
    </row>
    <row r="431" spans="1:7">
      <c r="A431" t="s">
        <v>1635</v>
      </c>
      <c r="B431" t="s">
        <v>2104</v>
      </c>
      <c r="C431" t="s">
        <v>682</v>
      </c>
      <c r="F431">
        <v>8</v>
      </c>
      <c r="G431" t="s">
        <v>722</v>
      </c>
    </row>
    <row r="432" spans="1:7">
      <c r="A432" t="s">
        <v>1636</v>
      </c>
      <c r="B432" t="s">
        <v>2105</v>
      </c>
      <c r="C432" t="s">
        <v>682</v>
      </c>
      <c r="F432">
        <v>9</v>
      </c>
      <c r="G432" t="s">
        <v>722</v>
      </c>
    </row>
    <row r="433" spans="1:7">
      <c r="A433" t="s">
        <v>1637</v>
      </c>
      <c r="B433" t="s">
        <v>2106</v>
      </c>
      <c r="C433" t="s">
        <v>682</v>
      </c>
      <c r="F433">
        <v>10</v>
      </c>
      <c r="G433" t="s">
        <v>722</v>
      </c>
    </row>
    <row r="434" spans="1:7">
      <c r="A434" t="s">
        <v>1638</v>
      </c>
      <c r="B434" t="s">
        <v>2107</v>
      </c>
      <c r="C434" t="s">
        <v>682</v>
      </c>
      <c r="F434">
        <v>11</v>
      </c>
      <c r="G434" t="s">
        <v>722</v>
      </c>
    </row>
    <row r="435" spans="1:7">
      <c r="A435" t="s">
        <v>1639</v>
      </c>
      <c r="B435" t="s">
        <v>2108</v>
      </c>
      <c r="C435" t="s">
        <v>682</v>
      </c>
      <c r="F435">
        <v>12</v>
      </c>
      <c r="G435" t="s">
        <v>722</v>
      </c>
    </row>
    <row r="436" spans="1:7">
      <c r="A436" t="s">
        <v>1640</v>
      </c>
      <c r="B436" t="s">
        <v>2109</v>
      </c>
      <c r="C436" t="s">
        <v>682</v>
      </c>
      <c r="F436">
        <v>13</v>
      </c>
      <c r="G436" t="s">
        <v>722</v>
      </c>
    </row>
    <row r="437" spans="1:7">
      <c r="A437" t="s">
        <v>1641</v>
      </c>
      <c r="B437" t="s">
        <v>2110</v>
      </c>
      <c r="C437" t="s">
        <v>682</v>
      </c>
      <c r="F437">
        <v>14</v>
      </c>
      <c r="G437" t="s">
        <v>722</v>
      </c>
    </row>
    <row r="438" spans="1:7">
      <c r="A438" t="s">
        <v>1642</v>
      </c>
      <c r="B438" t="s">
        <v>2111</v>
      </c>
      <c r="C438" t="s">
        <v>682</v>
      </c>
      <c r="F438">
        <v>15</v>
      </c>
      <c r="G438" t="s">
        <v>722</v>
      </c>
    </row>
    <row r="439" spans="1:7">
      <c r="A439" t="s">
        <v>1643</v>
      </c>
      <c r="B439" t="s">
        <v>2112</v>
      </c>
      <c r="C439" t="s">
        <v>682</v>
      </c>
      <c r="F439">
        <v>16</v>
      </c>
      <c r="G439" t="s">
        <v>722</v>
      </c>
    </row>
    <row r="440" spans="1:7">
      <c r="A440" t="s">
        <v>1644</v>
      </c>
      <c r="B440" t="s">
        <v>2113</v>
      </c>
      <c r="C440" t="s">
        <v>682</v>
      </c>
      <c r="F440">
        <v>17</v>
      </c>
      <c r="G440" t="s">
        <v>722</v>
      </c>
    </row>
    <row r="441" spans="1:7">
      <c r="A441" t="s">
        <v>1645</v>
      </c>
      <c r="B441" t="s">
        <v>2114</v>
      </c>
      <c r="C441" t="s">
        <v>682</v>
      </c>
      <c r="F441">
        <v>18</v>
      </c>
      <c r="G441" t="s">
        <v>722</v>
      </c>
    </row>
    <row r="442" spans="1:7">
      <c r="A442" t="s">
        <v>1646</v>
      </c>
      <c r="B442" t="s">
        <v>2115</v>
      </c>
      <c r="C442" t="s">
        <v>682</v>
      </c>
      <c r="F442">
        <v>19</v>
      </c>
      <c r="G442" t="s">
        <v>722</v>
      </c>
    </row>
    <row r="443" spans="1:7">
      <c r="A443" t="s">
        <v>1647</v>
      </c>
      <c r="B443" t="s">
        <v>2116</v>
      </c>
      <c r="C443" t="s">
        <v>682</v>
      </c>
      <c r="F443">
        <v>20</v>
      </c>
      <c r="G443" t="s">
        <v>722</v>
      </c>
    </row>
    <row r="444" spans="1:7">
      <c r="A444" t="s">
        <v>1648</v>
      </c>
      <c r="B444" t="s">
        <v>2117</v>
      </c>
      <c r="C444" t="s">
        <v>682</v>
      </c>
      <c r="F444">
        <v>21</v>
      </c>
      <c r="G444" t="s">
        <v>722</v>
      </c>
    </row>
    <row r="445" spans="1:7">
      <c r="A445" t="s">
        <v>1649</v>
      </c>
      <c r="B445" t="s">
        <v>2118</v>
      </c>
      <c r="C445" t="s">
        <v>682</v>
      </c>
      <c r="F445">
        <v>22</v>
      </c>
      <c r="G445" t="s">
        <v>722</v>
      </c>
    </row>
    <row r="446" spans="1:7">
      <c r="A446" t="s">
        <v>1650</v>
      </c>
      <c r="B446" t="s">
        <v>2119</v>
      </c>
      <c r="C446" t="s">
        <v>682</v>
      </c>
      <c r="F446">
        <v>23</v>
      </c>
      <c r="G446" t="s">
        <v>722</v>
      </c>
    </row>
    <row r="447" spans="1:7">
      <c r="A447" t="s">
        <v>1651</v>
      </c>
      <c r="B447" t="s">
        <v>2120</v>
      </c>
      <c r="C447" t="s">
        <v>682</v>
      </c>
      <c r="F447">
        <v>24</v>
      </c>
      <c r="G447" t="s">
        <v>722</v>
      </c>
    </row>
    <row r="448" spans="1:7">
      <c r="A448" t="s">
        <v>1652</v>
      </c>
      <c r="B448" t="s">
        <v>2121</v>
      </c>
      <c r="C448" t="s">
        <v>682</v>
      </c>
      <c r="F448">
        <v>25</v>
      </c>
      <c r="G448" t="s">
        <v>722</v>
      </c>
    </row>
    <row r="449" spans="1:7">
      <c r="A449" t="s">
        <v>1653</v>
      </c>
      <c r="B449" t="s">
        <v>2122</v>
      </c>
      <c r="C449" t="s">
        <v>682</v>
      </c>
      <c r="F449">
        <v>26</v>
      </c>
      <c r="G449" t="s">
        <v>722</v>
      </c>
    </row>
    <row r="450" spans="1:7">
      <c r="A450" t="s">
        <v>1654</v>
      </c>
      <c r="B450" t="s">
        <v>2123</v>
      </c>
      <c r="C450" t="s">
        <v>682</v>
      </c>
      <c r="F450">
        <v>27</v>
      </c>
      <c r="G450" t="s">
        <v>722</v>
      </c>
    </row>
    <row r="451" spans="1:7">
      <c r="A451" t="s">
        <v>1655</v>
      </c>
      <c r="B451" t="s">
        <v>2124</v>
      </c>
      <c r="C451" t="s">
        <v>682</v>
      </c>
      <c r="F451">
        <v>28</v>
      </c>
      <c r="G451" t="s">
        <v>722</v>
      </c>
    </row>
    <row r="452" spans="1:7">
      <c r="A452" t="s">
        <v>1656</v>
      </c>
      <c r="B452" t="s">
        <v>2125</v>
      </c>
      <c r="C452" t="s">
        <v>682</v>
      </c>
      <c r="F452">
        <v>29</v>
      </c>
      <c r="G452" t="s">
        <v>722</v>
      </c>
    </row>
    <row r="453" spans="1:7">
      <c r="A453" t="s">
        <v>1657</v>
      </c>
      <c r="B453" t="s">
        <v>2126</v>
      </c>
      <c r="C453" t="s">
        <v>682</v>
      </c>
      <c r="F453">
        <v>30</v>
      </c>
      <c r="G453" t="s">
        <v>722</v>
      </c>
    </row>
    <row r="454" spans="1:7">
      <c r="A454" t="s">
        <v>1658</v>
      </c>
      <c r="B454" t="s">
        <v>2127</v>
      </c>
      <c r="C454" t="s">
        <v>682</v>
      </c>
      <c r="F454">
        <v>31</v>
      </c>
      <c r="G454" t="s">
        <v>722</v>
      </c>
    </row>
    <row r="455" spans="1:7">
      <c r="A455" t="s">
        <v>1659</v>
      </c>
      <c r="B455" t="s">
        <v>2128</v>
      </c>
      <c r="C455" t="s">
        <v>682</v>
      </c>
      <c r="F455">
        <v>32</v>
      </c>
      <c r="G455" t="s">
        <v>722</v>
      </c>
    </row>
    <row r="456" spans="1:7">
      <c r="A456" t="s">
        <v>1660</v>
      </c>
      <c r="B456" t="s">
        <v>2129</v>
      </c>
      <c r="C456" t="s">
        <v>682</v>
      </c>
      <c r="F456">
        <v>33</v>
      </c>
      <c r="G456" t="s">
        <v>722</v>
      </c>
    </row>
    <row r="457" spans="1:7">
      <c r="A457" t="s">
        <v>1661</v>
      </c>
      <c r="B457" t="s">
        <v>2130</v>
      </c>
      <c r="C457" t="s">
        <v>682</v>
      </c>
      <c r="F457">
        <v>34</v>
      </c>
      <c r="G457" t="s">
        <v>722</v>
      </c>
    </row>
    <row r="458" spans="1:7">
      <c r="A458" t="s">
        <v>1662</v>
      </c>
      <c r="B458" t="s">
        <v>2131</v>
      </c>
      <c r="C458" t="s">
        <v>682</v>
      </c>
      <c r="F458">
        <v>35</v>
      </c>
      <c r="G458" t="s">
        <v>722</v>
      </c>
    </row>
    <row r="459" spans="1:7">
      <c r="A459" t="s">
        <v>1663</v>
      </c>
      <c r="B459" t="s">
        <v>2132</v>
      </c>
      <c r="C459" t="s">
        <v>682</v>
      </c>
      <c r="F459">
        <v>36</v>
      </c>
      <c r="G459" t="s">
        <v>722</v>
      </c>
    </row>
    <row r="460" spans="1:7">
      <c r="A460" t="s">
        <v>1667</v>
      </c>
      <c r="B460" t="s">
        <v>2136</v>
      </c>
      <c r="C460" t="s">
        <v>686</v>
      </c>
      <c r="F460">
        <v>1</v>
      </c>
      <c r="G460" t="s">
        <v>722</v>
      </c>
    </row>
    <row r="461" spans="1:7">
      <c r="A461" t="s">
        <v>1604</v>
      </c>
      <c r="B461" t="s">
        <v>2076</v>
      </c>
      <c r="C461" t="s">
        <v>686</v>
      </c>
      <c r="F461">
        <v>2</v>
      </c>
      <c r="G461" t="s">
        <v>722</v>
      </c>
    </row>
    <row r="462" spans="1:7">
      <c r="A462" t="s">
        <v>1668</v>
      </c>
      <c r="B462" t="s">
        <v>2077</v>
      </c>
      <c r="C462" t="s">
        <v>686</v>
      </c>
      <c r="F462">
        <v>3</v>
      </c>
      <c r="G462" t="s">
        <v>722</v>
      </c>
    </row>
    <row r="463" spans="1:7">
      <c r="A463" t="s">
        <v>1606</v>
      </c>
      <c r="B463" t="s">
        <v>2078</v>
      </c>
      <c r="C463" t="s">
        <v>686</v>
      </c>
      <c r="F463">
        <v>4</v>
      </c>
      <c r="G463" t="s">
        <v>722</v>
      </c>
    </row>
    <row r="464" spans="1:7">
      <c r="A464" t="s">
        <v>1697</v>
      </c>
      <c r="B464" t="s">
        <v>2138</v>
      </c>
      <c r="C464" t="s">
        <v>697</v>
      </c>
      <c r="F464">
        <v>1</v>
      </c>
      <c r="G464" t="s">
        <v>722</v>
      </c>
    </row>
    <row r="465" spans="1:7">
      <c r="A465" t="s">
        <v>1698</v>
      </c>
      <c r="B465" t="s">
        <v>2139</v>
      </c>
      <c r="C465" t="s">
        <v>697</v>
      </c>
      <c r="F465">
        <v>2</v>
      </c>
      <c r="G465" t="s">
        <v>722</v>
      </c>
    </row>
    <row r="466" spans="1:7">
      <c r="A466" t="s">
        <v>1699</v>
      </c>
      <c r="B466" t="s">
        <v>2140</v>
      </c>
      <c r="C466" t="s">
        <v>697</v>
      </c>
      <c r="F466">
        <v>3</v>
      </c>
      <c r="G466" t="s">
        <v>722</v>
      </c>
    </row>
    <row r="467" spans="1:7">
      <c r="A467" t="s">
        <v>1701</v>
      </c>
      <c r="B467" t="s">
        <v>1701</v>
      </c>
      <c r="C467" t="s">
        <v>698</v>
      </c>
      <c r="F467">
        <v>1</v>
      </c>
      <c r="G467" t="s">
        <v>722</v>
      </c>
    </row>
    <row r="468" spans="1:7">
      <c r="A468" t="s">
        <v>1702</v>
      </c>
      <c r="B468" t="s">
        <v>1702</v>
      </c>
      <c r="C468" t="s">
        <v>698</v>
      </c>
      <c r="F468">
        <v>2</v>
      </c>
      <c r="G468" t="s">
        <v>722</v>
      </c>
    </row>
    <row r="469" spans="1:7">
      <c r="A469">
        <v>618</v>
      </c>
      <c r="B469">
        <v>618</v>
      </c>
      <c r="C469" t="s">
        <v>698</v>
      </c>
      <c r="F469">
        <v>3</v>
      </c>
      <c r="G469" t="s">
        <v>722</v>
      </c>
    </row>
    <row r="470" spans="1:7">
      <c r="A470" t="s">
        <v>1703</v>
      </c>
      <c r="B470" t="s">
        <v>2142</v>
      </c>
      <c r="C470" t="s">
        <v>698</v>
      </c>
      <c r="F470">
        <v>4</v>
      </c>
      <c r="G470" t="s">
        <v>722</v>
      </c>
    </row>
    <row r="471" spans="1:7">
      <c r="A471" t="s">
        <v>1704</v>
      </c>
      <c r="B471" t="s">
        <v>2143</v>
      </c>
      <c r="C471" t="s">
        <v>698</v>
      </c>
      <c r="F471">
        <v>5</v>
      </c>
      <c r="G471" t="s">
        <v>722</v>
      </c>
    </row>
    <row r="472" spans="1:7">
      <c r="A472" t="s">
        <v>1705</v>
      </c>
      <c r="B472" t="s">
        <v>2144</v>
      </c>
      <c r="C472" t="s">
        <v>698</v>
      </c>
      <c r="F472">
        <v>6</v>
      </c>
      <c r="G472" t="s">
        <v>722</v>
      </c>
    </row>
    <row r="473" spans="1:7">
      <c r="A473" t="s">
        <v>1706</v>
      </c>
      <c r="B473" t="s">
        <v>2145</v>
      </c>
      <c r="C473" t="s">
        <v>698</v>
      </c>
      <c r="F473">
        <v>7</v>
      </c>
      <c r="G473" t="s">
        <v>722</v>
      </c>
    </row>
    <row r="474" spans="1:7">
      <c r="A474" t="s">
        <v>1707</v>
      </c>
      <c r="B474" t="s">
        <v>2146</v>
      </c>
      <c r="C474" t="s">
        <v>698</v>
      </c>
      <c r="F474">
        <v>8</v>
      </c>
      <c r="G474" t="s">
        <v>722</v>
      </c>
    </row>
    <row r="475" spans="1:7">
      <c r="A475" t="s">
        <v>728</v>
      </c>
      <c r="B475" t="s">
        <v>612</v>
      </c>
      <c r="C475" t="s">
        <v>698</v>
      </c>
      <c r="F475">
        <v>9</v>
      </c>
      <c r="G475" t="s">
        <v>722</v>
      </c>
    </row>
    <row r="476" spans="1:7">
      <c r="A476" t="s">
        <v>1701</v>
      </c>
      <c r="B476" t="s">
        <v>1701</v>
      </c>
      <c r="C476" t="s">
        <v>699</v>
      </c>
      <c r="F476">
        <v>1</v>
      </c>
      <c r="G476" t="s">
        <v>722</v>
      </c>
    </row>
    <row r="477" spans="1:7">
      <c r="A477" t="s">
        <v>1702</v>
      </c>
      <c r="B477" t="s">
        <v>1702</v>
      </c>
      <c r="C477" t="s">
        <v>699</v>
      </c>
      <c r="F477">
        <v>2</v>
      </c>
      <c r="G477" t="s">
        <v>722</v>
      </c>
    </row>
    <row r="478" spans="1:7">
      <c r="A478">
        <v>618</v>
      </c>
      <c r="B478">
        <v>618</v>
      </c>
      <c r="C478" t="s">
        <v>699</v>
      </c>
      <c r="F478">
        <v>3</v>
      </c>
      <c r="G478" t="s">
        <v>722</v>
      </c>
    </row>
    <row r="479" spans="1:7">
      <c r="A479" t="s">
        <v>1703</v>
      </c>
      <c r="B479" t="s">
        <v>2142</v>
      </c>
      <c r="C479" t="s">
        <v>699</v>
      </c>
      <c r="F479">
        <v>4</v>
      </c>
      <c r="G479" t="s">
        <v>722</v>
      </c>
    </row>
    <row r="480" spans="1:7">
      <c r="A480" t="s">
        <v>1704</v>
      </c>
      <c r="B480" t="s">
        <v>2143</v>
      </c>
      <c r="C480" t="s">
        <v>699</v>
      </c>
      <c r="F480">
        <v>5</v>
      </c>
      <c r="G480" t="s">
        <v>722</v>
      </c>
    </row>
    <row r="481" spans="1:7">
      <c r="A481" t="s">
        <v>1705</v>
      </c>
      <c r="B481" t="s">
        <v>2144</v>
      </c>
      <c r="C481" t="s">
        <v>699</v>
      </c>
      <c r="F481">
        <v>6</v>
      </c>
      <c r="G481" t="s">
        <v>722</v>
      </c>
    </row>
    <row r="482" spans="1:7">
      <c r="A482" t="s">
        <v>1706</v>
      </c>
      <c r="B482" t="s">
        <v>2145</v>
      </c>
      <c r="C482" t="s">
        <v>699</v>
      </c>
      <c r="F482">
        <v>7</v>
      </c>
      <c r="G482" t="s">
        <v>722</v>
      </c>
    </row>
    <row r="483" spans="1:7">
      <c r="A483" t="s">
        <v>1707</v>
      </c>
      <c r="B483" t="s">
        <v>2146</v>
      </c>
      <c r="C483" t="s">
        <v>699</v>
      </c>
      <c r="F483">
        <v>8</v>
      </c>
      <c r="G483" t="s">
        <v>722</v>
      </c>
    </row>
    <row r="484" spans="1:7">
      <c r="A484" t="s">
        <v>728</v>
      </c>
      <c r="B484" t="s">
        <v>612</v>
      </c>
      <c r="C484" t="s">
        <v>699</v>
      </c>
      <c r="F484">
        <v>9</v>
      </c>
      <c r="G484" t="s">
        <v>722</v>
      </c>
    </row>
    <row r="485" spans="1:7">
      <c r="A485" t="s">
        <v>1719</v>
      </c>
      <c r="B485" t="s">
        <v>2153</v>
      </c>
      <c r="C485" t="s">
        <v>705</v>
      </c>
      <c r="F485">
        <v>1</v>
      </c>
      <c r="G485" t="s">
        <v>722</v>
      </c>
    </row>
    <row r="486" spans="1:7">
      <c r="A486" t="s">
        <v>1720</v>
      </c>
      <c r="B486" t="s">
        <v>2154</v>
      </c>
      <c r="C486" t="s">
        <v>705</v>
      </c>
      <c r="F486">
        <v>2</v>
      </c>
      <c r="G486" t="s">
        <v>722</v>
      </c>
    </row>
    <row r="487" spans="1:7">
      <c r="A487" t="s">
        <v>1721</v>
      </c>
      <c r="B487" t="s">
        <v>2155</v>
      </c>
      <c r="C487" t="s">
        <v>705</v>
      </c>
      <c r="F487">
        <v>3</v>
      </c>
      <c r="G487" t="s">
        <v>722</v>
      </c>
    </row>
    <row r="488" spans="1:7">
      <c r="A488" t="s">
        <v>1722</v>
      </c>
      <c r="B488" t="s">
        <v>2156</v>
      </c>
      <c r="C488" t="s">
        <v>705</v>
      </c>
      <c r="F488">
        <v>4</v>
      </c>
      <c r="G488" t="s">
        <v>722</v>
      </c>
    </row>
    <row r="489" spans="1:7">
      <c r="A489" t="s">
        <v>1723</v>
      </c>
      <c r="B489" t="s">
        <v>2157</v>
      </c>
      <c r="C489" t="s">
        <v>705</v>
      </c>
      <c r="F489">
        <v>5</v>
      </c>
      <c r="G489" t="s">
        <v>722</v>
      </c>
    </row>
    <row r="490" spans="1:7">
      <c r="A490" t="s">
        <v>1724</v>
      </c>
      <c r="B490" t="s">
        <v>2158</v>
      </c>
      <c r="C490" t="s">
        <v>705</v>
      </c>
      <c r="F490">
        <v>6</v>
      </c>
      <c r="G490" t="s">
        <v>722</v>
      </c>
    </row>
    <row r="491" spans="1:7">
      <c r="A491" t="s">
        <v>1729</v>
      </c>
      <c r="B491" t="s">
        <v>2161</v>
      </c>
      <c r="C491" t="s">
        <v>1727</v>
      </c>
      <c r="F491">
        <v>1</v>
      </c>
      <c r="G491" t="s">
        <v>722</v>
      </c>
    </row>
    <row r="492" spans="1:7">
      <c r="A492" t="s">
        <v>1730</v>
      </c>
      <c r="B492" t="s">
        <v>2162</v>
      </c>
      <c r="C492" t="s">
        <v>1727</v>
      </c>
      <c r="F492">
        <v>2</v>
      </c>
      <c r="G492" t="s">
        <v>722</v>
      </c>
    </row>
    <row r="493" spans="1:7">
      <c r="A493" t="s">
        <v>1731</v>
      </c>
      <c r="B493" t="s">
        <v>2163</v>
      </c>
      <c r="C493" t="s">
        <v>1727</v>
      </c>
      <c r="F493">
        <v>3</v>
      </c>
      <c r="G493" t="s">
        <v>722</v>
      </c>
    </row>
    <row r="494" spans="1:7">
      <c r="A494" t="s">
        <v>1732</v>
      </c>
      <c r="B494" t="s">
        <v>2164</v>
      </c>
      <c r="C494" t="s">
        <v>1727</v>
      </c>
      <c r="F494">
        <v>4</v>
      </c>
      <c r="G494" t="s">
        <v>722</v>
      </c>
    </row>
    <row r="495" spans="1:7">
      <c r="A495" t="s">
        <v>1733</v>
      </c>
      <c r="B495" t="s">
        <v>2165</v>
      </c>
      <c r="C495" t="s">
        <v>1727</v>
      </c>
      <c r="F495">
        <v>5</v>
      </c>
      <c r="G495" t="s">
        <v>722</v>
      </c>
    </row>
    <row r="496" spans="1:7">
      <c r="A496" t="s">
        <v>1734</v>
      </c>
      <c r="B496" t="s">
        <v>2037</v>
      </c>
      <c r="C496" t="s">
        <v>1727</v>
      </c>
      <c r="F496">
        <v>6</v>
      </c>
      <c r="G496" t="s">
        <v>722</v>
      </c>
    </row>
    <row r="497" spans="1:7">
      <c r="A497" t="s">
        <v>1735</v>
      </c>
      <c r="B497" t="s">
        <v>2166</v>
      </c>
      <c r="C497" t="s">
        <v>1727</v>
      </c>
      <c r="F497">
        <v>7</v>
      </c>
      <c r="G497" t="s">
        <v>722</v>
      </c>
    </row>
    <row r="498" spans="1:7">
      <c r="A498" t="s">
        <v>1736</v>
      </c>
      <c r="B498" t="s">
        <v>2167</v>
      </c>
      <c r="C498" t="s">
        <v>1727</v>
      </c>
      <c r="F498">
        <v>8</v>
      </c>
      <c r="G498" t="s">
        <v>722</v>
      </c>
    </row>
    <row r="499" spans="1:7">
      <c r="A499" t="s">
        <v>1737</v>
      </c>
      <c r="B499" t="s">
        <v>2168</v>
      </c>
      <c r="C499" t="s">
        <v>1727</v>
      </c>
      <c r="F499">
        <v>9</v>
      </c>
      <c r="G499" t="s">
        <v>722</v>
      </c>
    </row>
    <row r="500" spans="1:7">
      <c r="A500" t="s">
        <v>1738</v>
      </c>
      <c r="B500" t="s">
        <v>2169</v>
      </c>
      <c r="C500" t="s">
        <v>1727</v>
      </c>
      <c r="F500">
        <v>10</v>
      </c>
      <c r="G500" t="s">
        <v>722</v>
      </c>
    </row>
    <row r="501" spans="1:7">
      <c r="A501" t="s">
        <v>1739</v>
      </c>
      <c r="B501" t="s">
        <v>2170</v>
      </c>
      <c r="C501" t="s">
        <v>1727</v>
      </c>
      <c r="F501">
        <v>11</v>
      </c>
      <c r="G501" t="s">
        <v>722</v>
      </c>
    </row>
    <row r="502" spans="1:7">
      <c r="A502" t="s">
        <v>1740</v>
      </c>
      <c r="B502" t="s">
        <v>2171</v>
      </c>
      <c r="C502" t="s">
        <v>1727</v>
      </c>
      <c r="F502">
        <v>12</v>
      </c>
      <c r="G502" t="s">
        <v>722</v>
      </c>
    </row>
    <row r="503" spans="1:7">
      <c r="A503" t="s">
        <v>1741</v>
      </c>
      <c r="B503" t="s">
        <v>2172</v>
      </c>
      <c r="C503" t="s">
        <v>1727</v>
      </c>
      <c r="F503">
        <v>13</v>
      </c>
      <c r="G503" t="s">
        <v>722</v>
      </c>
    </row>
    <row r="504" spans="1:7">
      <c r="A504" t="s">
        <v>1742</v>
      </c>
      <c r="B504" t="s">
        <v>2173</v>
      </c>
      <c r="C504" t="s">
        <v>1727</v>
      </c>
      <c r="F504">
        <v>14</v>
      </c>
      <c r="G504" t="s">
        <v>722</v>
      </c>
    </row>
    <row r="505" spans="1:7">
      <c r="A505" t="s">
        <v>1743</v>
      </c>
      <c r="B505" t="s">
        <v>2036</v>
      </c>
      <c r="C505" t="s">
        <v>1727</v>
      </c>
      <c r="F505">
        <v>15</v>
      </c>
      <c r="G505" t="s">
        <v>722</v>
      </c>
    </row>
    <row r="506" spans="1:7">
      <c r="A506" t="s">
        <v>1744</v>
      </c>
      <c r="B506" t="s">
        <v>2174</v>
      </c>
      <c r="C506" t="s">
        <v>1727</v>
      </c>
      <c r="F506">
        <v>16</v>
      </c>
      <c r="G506" t="s">
        <v>722</v>
      </c>
    </row>
    <row r="507" spans="1:7">
      <c r="A507" t="s">
        <v>728</v>
      </c>
      <c r="B507" t="s">
        <v>612</v>
      </c>
      <c r="C507" t="s">
        <v>1727</v>
      </c>
      <c r="F507">
        <v>17</v>
      </c>
      <c r="G507" t="s">
        <v>722</v>
      </c>
    </row>
    <row r="508" spans="1:7">
      <c r="A508" t="s">
        <v>1749</v>
      </c>
      <c r="B508" t="s">
        <v>2177</v>
      </c>
      <c r="C508" t="s">
        <v>1747</v>
      </c>
      <c r="F508">
        <v>1</v>
      </c>
      <c r="G508" t="s">
        <v>722</v>
      </c>
    </row>
    <row r="509" spans="1:7">
      <c r="A509" t="s">
        <v>1750</v>
      </c>
      <c r="B509" t="s">
        <v>2178</v>
      </c>
      <c r="C509" t="s">
        <v>1747</v>
      </c>
      <c r="F509">
        <v>2</v>
      </c>
      <c r="G509" t="s">
        <v>722</v>
      </c>
    </row>
    <row r="510" spans="1:7">
      <c r="A510" t="s">
        <v>1751</v>
      </c>
      <c r="B510" t="s">
        <v>2179</v>
      </c>
      <c r="C510" t="s">
        <v>1747</v>
      </c>
      <c r="F510">
        <v>3</v>
      </c>
      <c r="G510" t="s">
        <v>722</v>
      </c>
    </row>
    <row r="511" spans="1:7">
      <c r="A511" t="s">
        <v>1752</v>
      </c>
      <c r="B511" t="s">
        <v>2180</v>
      </c>
      <c r="C511" t="s">
        <v>1747</v>
      </c>
      <c r="F511">
        <v>4</v>
      </c>
      <c r="G511" t="s">
        <v>722</v>
      </c>
    </row>
    <row r="512" spans="1:7">
      <c r="A512" t="s">
        <v>1753</v>
      </c>
      <c r="B512" t="s">
        <v>2181</v>
      </c>
      <c r="C512" t="s">
        <v>1747</v>
      </c>
      <c r="F512">
        <v>5</v>
      </c>
      <c r="G512" t="s">
        <v>722</v>
      </c>
    </row>
    <row r="513" spans="1:7">
      <c r="A513" t="s">
        <v>1754</v>
      </c>
      <c r="B513" t="s">
        <v>2182</v>
      </c>
      <c r="C513" t="s">
        <v>1747</v>
      </c>
      <c r="F513">
        <v>6</v>
      </c>
      <c r="G513" t="s">
        <v>722</v>
      </c>
    </row>
    <row r="514" spans="1:7">
      <c r="A514" t="s">
        <v>1755</v>
      </c>
      <c r="B514" t="s">
        <v>2183</v>
      </c>
      <c r="C514" t="s">
        <v>1747</v>
      </c>
      <c r="F514">
        <v>7</v>
      </c>
      <c r="G514" t="s">
        <v>722</v>
      </c>
    </row>
    <row r="515" spans="1:7">
      <c r="A515" t="s">
        <v>1756</v>
      </c>
      <c r="B515" t="s">
        <v>2184</v>
      </c>
      <c r="C515" t="s">
        <v>1747</v>
      </c>
      <c r="F515">
        <v>8</v>
      </c>
      <c r="G515" t="s">
        <v>722</v>
      </c>
    </row>
    <row r="516" spans="1:7">
      <c r="A516" t="s">
        <v>1757</v>
      </c>
      <c r="B516" t="s">
        <v>2185</v>
      </c>
      <c r="C516" t="s">
        <v>1747</v>
      </c>
      <c r="F516">
        <v>9</v>
      </c>
      <c r="G516" t="s">
        <v>722</v>
      </c>
    </row>
    <row r="517" spans="1:7">
      <c r="A517" t="s">
        <v>1758</v>
      </c>
      <c r="B517" t="s">
        <v>2186</v>
      </c>
      <c r="C517" t="s">
        <v>1747</v>
      </c>
      <c r="F517">
        <v>10</v>
      </c>
      <c r="G517" t="s">
        <v>722</v>
      </c>
    </row>
    <row r="518" spans="1:7">
      <c r="A518" t="s">
        <v>1759</v>
      </c>
      <c r="B518" t="s">
        <v>2187</v>
      </c>
      <c r="C518" t="s">
        <v>1747</v>
      </c>
      <c r="F518">
        <v>11</v>
      </c>
      <c r="G518" t="s">
        <v>722</v>
      </c>
    </row>
    <row r="519" spans="1:7">
      <c r="A519" t="s">
        <v>1760</v>
      </c>
      <c r="B519" t="s">
        <v>2188</v>
      </c>
      <c r="C519" t="s">
        <v>1747</v>
      </c>
      <c r="F519">
        <v>12</v>
      </c>
      <c r="G519" t="s">
        <v>722</v>
      </c>
    </row>
    <row r="520" spans="1:7">
      <c r="A520" t="s">
        <v>1761</v>
      </c>
      <c r="B520" t="s">
        <v>2189</v>
      </c>
      <c r="C520" t="s">
        <v>1747</v>
      </c>
      <c r="F520">
        <v>13</v>
      </c>
      <c r="G520" t="s">
        <v>722</v>
      </c>
    </row>
    <row r="521" spans="1:7">
      <c r="A521" t="s">
        <v>1762</v>
      </c>
      <c r="B521" t="s">
        <v>2190</v>
      </c>
      <c r="C521" t="s">
        <v>1747</v>
      </c>
      <c r="F521">
        <v>14</v>
      </c>
      <c r="G521" t="s">
        <v>722</v>
      </c>
    </row>
    <row r="522" spans="1:7">
      <c r="A522" t="s">
        <v>1763</v>
      </c>
      <c r="B522" t="s">
        <v>2191</v>
      </c>
      <c r="C522" t="s">
        <v>1747</v>
      </c>
      <c r="F522">
        <v>15</v>
      </c>
      <c r="G522" t="s">
        <v>722</v>
      </c>
    </row>
    <row r="523" spans="1:7">
      <c r="A523" t="s">
        <v>1764</v>
      </c>
      <c r="B523" t="s">
        <v>2192</v>
      </c>
      <c r="C523" t="s">
        <v>1747</v>
      </c>
      <c r="F523">
        <v>16</v>
      </c>
      <c r="G523" t="s">
        <v>722</v>
      </c>
    </row>
    <row r="524" spans="1:7">
      <c r="A524" t="s">
        <v>729</v>
      </c>
      <c r="B524" t="s">
        <v>615</v>
      </c>
      <c r="C524" t="s">
        <v>1747</v>
      </c>
      <c r="F524">
        <v>17</v>
      </c>
      <c r="G524" t="s">
        <v>722</v>
      </c>
    </row>
    <row r="525" spans="1:7">
      <c r="A525" t="s">
        <v>768</v>
      </c>
      <c r="B525" t="s">
        <v>707</v>
      </c>
      <c r="C525" t="s">
        <v>1765</v>
      </c>
      <c r="F525">
        <v>1</v>
      </c>
      <c r="G525" t="s">
        <v>722</v>
      </c>
    </row>
    <row r="526" spans="1:7">
      <c r="A526" t="s">
        <v>769</v>
      </c>
      <c r="B526" t="s">
        <v>708</v>
      </c>
      <c r="C526" t="s">
        <v>1765</v>
      </c>
      <c r="F526">
        <v>2</v>
      </c>
      <c r="G526" t="s">
        <v>722</v>
      </c>
    </row>
    <row r="527" spans="1:7">
      <c r="A527" t="s">
        <v>770</v>
      </c>
      <c r="B527" t="s">
        <v>709</v>
      </c>
      <c r="C527" t="s">
        <v>1765</v>
      </c>
      <c r="F527">
        <v>3</v>
      </c>
      <c r="G527" t="s">
        <v>722</v>
      </c>
    </row>
    <row r="528" spans="1:7">
      <c r="A528" t="s">
        <v>771</v>
      </c>
      <c r="B528" t="s">
        <v>710</v>
      </c>
      <c r="C528" t="s">
        <v>1765</v>
      </c>
      <c r="F528">
        <v>4</v>
      </c>
      <c r="G528" t="s">
        <v>722</v>
      </c>
    </row>
    <row r="529" spans="1:7">
      <c r="A529" t="s">
        <v>772</v>
      </c>
      <c r="B529" t="s">
        <v>711</v>
      </c>
      <c r="C529" t="s">
        <v>1765</v>
      </c>
      <c r="F529">
        <v>5</v>
      </c>
      <c r="G529" t="s">
        <v>722</v>
      </c>
    </row>
    <row r="530" spans="1:7">
      <c r="A530" t="s">
        <v>773</v>
      </c>
      <c r="B530" t="s">
        <v>712</v>
      </c>
      <c r="C530" t="s">
        <v>1765</v>
      </c>
      <c r="F530">
        <v>6</v>
      </c>
      <c r="G530" t="s">
        <v>722</v>
      </c>
    </row>
    <row r="531" spans="1:7">
      <c r="A531" t="s">
        <v>774</v>
      </c>
      <c r="B531" t="s">
        <v>713</v>
      </c>
      <c r="C531" t="s">
        <v>1765</v>
      </c>
      <c r="F531">
        <v>7</v>
      </c>
      <c r="G531" t="s">
        <v>722</v>
      </c>
    </row>
    <row r="532" spans="1:7">
      <c r="A532" t="s">
        <v>775</v>
      </c>
      <c r="B532" t="s">
        <v>714</v>
      </c>
      <c r="C532" t="s">
        <v>1765</v>
      </c>
      <c r="F532">
        <v>8</v>
      </c>
      <c r="G532" t="s">
        <v>722</v>
      </c>
    </row>
    <row r="533" spans="1:7">
      <c r="A533" t="s">
        <v>776</v>
      </c>
      <c r="B533" t="s">
        <v>2194</v>
      </c>
      <c r="C533" t="s">
        <v>1765</v>
      </c>
      <c r="F533">
        <v>9</v>
      </c>
      <c r="G533" t="s">
        <v>722</v>
      </c>
    </row>
    <row r="534" spans="1:7">
      <c r="A534" t="s">
        <v>777</v>
      </c>
      <c r="B534" t="s">
        <v>715</v>
      </c>
      <c r="C534" t="s">
        <v>1765</v>
      </c>
      <c r="F534">
        <v>10</v>
      </c>
      <c r="G534" t="s">
        <v>722</v>
      </c>
    </row>
    <row r="535" spans="1:7">
      <c r="A535" t="s">
        <v>778</v>
      </c>
      <c r="B535" t="s">
        <v>716</v>
      </c>
      <c r="C535" t="s">
        <v>1765</v>
      </c>
      <c r="F535">
        <v>11</v>
      </c>
      <c r="G535" t="s">
        <v>722</v>
      </c>
    </row>
    <row r="536" spans="1:7">
      <c r="A536" t="s">
        <v>779</v>
      </c>
      <c r="B536" t="s">
        <v>717</v>
      </c>
      <c r="C536" t="s">
        <v>1765</v>
      </c>
      <c r="F536">
        <v>12</v>
      </c>
      <c r="G536" t="s">
        <v>722</v>
      </c>
    </row>
    <row r="537" spans="1:7">
      <c r="A537" t="s">
        <v>780</v>
      </c>
      <c r="B537" t="s">
        <v>718</v>
      </c>
      <c r="C537" t="s">
        <v>1765</v>
      </c>
      <c r="F537">
        <v>13</v>
      </c>
      <c r="G537" t="s">
        <v>722</v>
      </c>
    </row>
    <row r="538" spans="1:7">
      <c r="A538" t="s">
        <v>781</v>
      </c>
      <c r="B538" t="s">
        <v>719</v>
      </c>
      <c r="C538" t="s">
        <v>1765</v>
      </c>
      <c r="F538">
        <v>14</v>
      </c>
      <c r="G538" t="s">
        <v>722</v>
      </c>
    </row>
    <row r="539" spans="1:7">
      <c r="A539" t="s">
        <v>782</v>
      </c>
      <c r="B539" t="s">
        <v>720</v>
      </c>
      <c r="C539" t="s">
        <v>1765</v>
      </c>
      <c r="F539">
        <v>15</v>
      </c>
      <c r="G539" t="s">
        <v>722</v>
      </c>
    </row>
    <row r="540" spans="1:7">
      <c r="A540" t="s">
        <v>1766</v>
      </c>
      <c r="B540" t="s">
        <v>2195</v>
      </c>
      <c r="C540" t="s">
        <v>1765</v>
      </c>
      <c r="F540">
        <v>16</v>
      </c>
      <c r="G540" t="s">
        <v>722</v>
      </c>
    </row>
    <row r="541" spans="1:7">
      <c r="A541" t="s">
        <v>1771</v>
      </c>
      <c r="B541" t="s">
        <v>2198</v>
      </c>
      <c r="C541" t="s">
        <v>1769</v>
      </c>
      <c r="F541">
        <v>1</v>
      </c>
      <c r="G541" t="s">
        <v>722</v>
      </c>
    </row>
    <row r="542" spans="1:7">
      <c r="A542" t="s">
        <v>1772</v>
      </c>
      <c r="B542" t="s">
        <v>2199</v>
      </c>
      <c r="C542" t="s">
        <v>1769</v>
      </c>
      <c r="F542">
        <v>2</v>
      </c>
      <c r="G542" t="s">
        <v>722</v>
      </c>
    </row>
    <row r="543" spans="1:7">
      <c r="A543" t="s">
        <v>1773</v>
      </c>
      <c r="B543" t="s">
        <v>2200</v>
      </c>
      <c r="C543" t="s">
        <v>1769</v>
      </c>
      <c r="F543">
        <v>3</v>
      </c>
      <c r="G543" t="s">
        <v>722</v>
      </c>
    </row>
    <row r="544" spans="1:7">
      <c r="A544" t="s">
        <v>1774</v>
      </c>
      <c r="B544" t="s">
        <v>2201</v>
      </c>
      <c r="C544" t="s">
        <v>1769</v>
      </c>
      <c r="F544">
        <v>4</v>
      </c>
      <c r="G544" t="s">
        <v>722</v>
      </c>
    </row>
    <row r="545" spans="1:7">
      <c r="A545" t="s">
        <v>1766</v>
      </c>
      <c r="B545" t="s">
        <v>2195</v>
      </c>
      <c r="C545" t="s">
        <v>1769</v>
      </c>
      <c r="F545">
        <v>5</v>
      </c>
      <c r="G545" t="s">
        <v>722</v>
      </c>
    </row>
    <row r="546" spans="1:7">
      <c r="A546" t="s">
        <v>1779</v>
      </c>
      <c r="B546" t="s">
        <v>2204</v>
      </c>
      <c r="C546" t="s">
        <v>1777</v>
      </c>
      <c r="F546">
        <v>1</v>
      </c>
      <c r="G546" t="s">
        <v>722</v>
      </c>
    </row>
    <row r="547" spans="1:7">
      <c r="A547" t="s">
        <v>1780</v>
      </c>
      <c r="B547" t="s">
        <v>2205</v>
      </c>
      <c r="C547" t="s">
        <v>1777</v>
      </c>
      <c r="F547">
        <v>2</v>
      </c>
      <c r="G547" t="s">
        <v>722</v>
      </c>
    </row>
    <row r="548" spans="1:7">
      <c r="A548" t="s">
        <v>1781</v>
      </c>
      <c r="B548" t="s">
        <v>2206</v>
      </c>
      <c r="C548" t="s">
        <v>1777</v>
      </c>
      <c r="F548">
        <v>3</v>
      </c>
      <c r="G548" t="s">
        <v>722</v>
      </c>
    </row>
    <row r="549" spans="1:7">
      <c r="A549" t="s">
        <v>1782</v>
      </c>
      <c r="B549" t="s">
        <v>2207</v>
      </c>
      <c r="C549" t="s">
        <v>1777</v>
      </c>
      <c r="F549">
        <v>4</v>
      </c>
      <c r="G549" t="s">
        <v>722</v>
      </c>
    </row>
    <row r="550" spans="1:7">
      <c r="A550" t="s">
        <v>1783</v>
      </c>
      <c r="B550" t="s">
        <v>2208</v>
      </c>
      <c r="C550" t="s">
        <v>1777</v>
      </c>
      <c r="F550">
        <v>5</v>
      </c>
      <c r="G550" t="s">
        <v>722</v>
      </c>
    </row>
    <row r="551" spans="1:7">
      <c r="A551" t="s">
        <v>1784</v>
      </c>
      <c r="B551" t="s">
        <v>2209</v>
      </c>
      <c r="C551" t="s">
        <v>1777</v>
      </c>
      <c r="F551">
        <v>6</v>
      </c>
      <c r="G551" t="s">
        <v>722</v>
      </c>
    </row>
    <row r="552" spans="1:7">
      <c r="A552" t="s">
        <v>1785</v>
      </c>
      <c r="B552" t="s">
        <v>2210</v>
      </c>
      <c r="C552" t="s">
        <v>1777</v>
      </c>
      <c r="F552">
        <v>7</v>
      </c>
      <c r="G552" t="s">
        <v>722</v>
      </c>
    </row>
    <row r="553" spans="1:7">
      <c r="A553" t="s">
        <v>1786</v>
      </c>
      <c r="B553" t="s">
        <v>2211</v>
      </c>
      <c r="C553" t="s">
        <v>1777</v>
      </c>
      <c r="F553">
        <v>8</v>
      </c>
      <c r="G553" t="s">
        <v>722</v>
      </c>
    </row>
    <row r="554" spans="1:7">
      <c r="A554" t="s">
        <v>1787</v>
      </c>
      <c r="B554" t="s">
        <v>2212</v>
      </c>
      <c r="C554" t="s">
        <v>1777</v>
      </c>
      <c r="F554">
        <v>9</v>
      </c>
      <c r="G554" t="s">
        <v>722</v>
      </c>
    </row>
    <row r="555" spans="1:7">
      <c r="A555" t="s">
        <v>1788</v>
      </c>
      <c r="B555" t="s">
        <v>2213</v>
      </c>
      <c r="C555" t="s">
        <v>1777</v>
      </c>
      <c r="F555">
        <v>10</v>
      </c>
      <c r="G555" t="s">
        <v>722</v>
      </c>
    </row>
    <row r="556" spans="1:7">
      <c r="A556" t="s">
        <v>1789</v>
      </c>
      <c r="B556" t="s">
        <v>2214</v>
      </c>
      <c r="C556" t="s">
        <v>1777</v>
      </c>
      <c r="F556">
        <v>11</v>
      </c>
      <c r="G556" t="s">
        <v>722</v>
      </c>
    </row>
    <row r="557" spans="1:7">
      <c r="A557" t="s">
        <v>1790</v>
      </c>
      <c r="B557" t="s">
        <v>2215</v>
      </c>
      <c r="C557" t="s">
        <v>1777</v>
      </c>
      <c r="F557">
        <v>12</v>
      </c>
      <c r="G557" t="s">
        <v>722</v>
      </c>
    </row>
    <row r="558" spans="1:7">
      <c r="A558" t="s">
        <v>1791</v>
      </c>
      <c r="B558" t="s">
        <v>2216</v>
      </c>
      <c r="C558" t="s">
        <v>1777</v>
      </c>
      <c r="F558">
        <v>13</v>
      </c>
      <c r="G558" t="s">
        <v>722</v>
      </c>
    </row>
    <row r="559" spans="1:7">
      <c r="A559" t="s">
        <v>1792</v>
      </c>
      <c r="B559" t="s">
        <v>2217</v>
      </c>
      <c r="C559" t="s">
        <v>1777</v>
      </c>
      <c r="F559">
        <v>14</v>
      </c>
      <c r="G559" t="s">
        <v>722</v>
      </c>
    </row>
    <row r="560" spans="1:7">
      <c r="A560" t="s">
        <v>1795</v>
      </c>
      <c r="B560" t="s">
        <v>2219</v>
      </c>
      <c r="C560" t="s">
        <v>1793</v>
      </c>
      <c r="F560">
        <v>1</v>
      </c>
      <c r="G560" t="s">
        <v>722</v>
      </c>
    </row>
    <row r="561" spans="1:8">
      <c r="A561" t="s">
        <v>1796</v>
      </c>
      <c r="B561" t="s">
        <v>2220</v>
      </c>
      <c r="C561" t="s">
        <v>1793</v>
      </c>
      <c r="F561">
        <v>2</v>
      </c>
      <c r="G561" t="s">
        <v>722</v>
      </c>
    </row>
    <row r="562" spans="1:8">
      <c r="A562" t="s">
        <v>1797</v>
      </c>
      <c r="B562" t="s">
        <v>2221</v>
      </c>
      <c r="C562" t="s">
        <v>1793</v>
      </c>
      <c r="F562">
        <v>3</v>
      </c>
      <c r="G562" t="s">
        <v>722</v>
      </c>
    </row>
    <row r="563" spans="1:8">
      <c r="A563" t="s">
        <v>1798</v>
      </c>
      <c r="B563" t="s">
        <v>2222</v>
      </c>
      <c r="C563" t="s">
        <v>1793</v>
      </c>
      <c r="F563">
        <v>4</v>
      </c>
      <c r="G563" t="s">
        <v>722</v>
      </c>
    </row>
    <row r="564" spans="1:8">
      <c r="A564" t="s">
        <v>1799</v>
      </c>
      <c r="B564" t="s">
        <v>2223</v>
      </c>
      <c r="C564" t="s">
        <v>1793</v>
      </c>
      <c r="F564">
        <v>5</v>
      </c>
      <c r="G564" t="s">
        <v>722</v>
      </c>
    </row>
    <row r="565" spans="1:8">
      <c r="A565" t="s">
        <v>1800</v>
      </c>
      <c r="B565" t="s">
        <v>2224</v>
      </c>
      <c r="C565" t="s">
        <v>1793</v>
      </c>
      <c r="F565">
        <v>6</v>
      </c>
      <c r="G565" t="s">
        <v>722</v>
      </c>
    </row>
    <row r="566" spans="1:8">
      <c r="A566" t="s">
        <v>1801</v>
      </c>
      <c r="B566" t="s">
        <v>1801</v>
      </c>
      <c r="C566" t="s">
        <v>1793</v>
      </c>
      <c r="F566">
        <v>7</v>
      </c>
      <c r="G566" t="s">
        <v>722</v>
      </c>
    </row>
    <row r="567" spans="1:8">
      <c r="A567" t="s">
        <v>1802</v>
      </c>
      <c r="B567" t="s">
        <v>1802</v>
      </c>
      <c r="C567" t="s">
        <v>1793</v>
      </c>
      <c r="F567">
        <v>8</v>
      </c>
      <c r="G567" t="s">
        <v>722</v>
      </c>
    </row>
    <row r="568" spans="1:8">
      <c r="A568" t="s">
        <v>1766</v>
      </c>
      <c r="B568" t="s">
        <v>1955</v>
      </c>
      <c r="C568" t="s">
        <v>1793</v>
      </c>
      <c r="F568">
        <v>9</v>
      </c>
      <c r="G568" t="s">
        <v>722</v>
      </c>
    </row>
    <row r="569" spans="1:8">
      <c r="A569" t="s">
        <v>783</v>
      </c>
      <c r="B569" t="s">
        <v>585</v>
      </c>
      <c r="C569" t="s">
        <v>1302</v>
      </c>
      <c r="F569">
        <v>1</v>
      </c>
      <c r="G569" t="s">
        <v>2344</v>
      </c>
      <c r="H569" t="s">
        <v>783</v>
      </c>
    </row>
    <row r="570" spans="1:8">
      <c r="A570" t="s">
        <v>787</v>
      </c>
      <c r="B570" t="s">
        <v>606</v>
      </c>
      <c r="C570" t="s">
        <v>1304</v>
      </c>
      <c r="F570">
        <v>2</v>
      </c>
      <c r="G570" t="s">
        <v>2344</v>
      </c>
      <c r="H570" t="s">
        <v>787</v>
      </c>
    </row>
    <row r="571" spans="1:8">
      <c r="A571" t="s">
        <v>1312</v>
      </c>
      <c r="B571" t="s">
        <v>1827</v>
      </c>
      <c r="C571" t="s">
        <v>1310</v>
      </c>
      <c r="F571">
        <v>1</v>
      </c>
      <c r="G571" t="s">
        <v>2344</v>
      </c>
      <c r="H571" t="s">
        <v>1312</v>
      </c>
    </row>
    <row r="572" spans="1:8">
      <c r="A572" t="s">
        <v>1326</v>
      </c>
      <c r="B572" t="s">
        <v>1840</v>
      </c>
      <c r="C572" t="s">
        <v>1325</v>
      </c>
      <c r="F572">
        <v>2</v>
      </c>
      <c r="G572" t="s">
        <v>2344</v>
      </c>
      <c r="H572" t="s">
        <v>1326</v>
      </c>
    </row>
    <row r="573" spans="1:8">
      <c r="A573" t="s">
        <v>1312</v>
      </c>
      <c r="B573" t="s">
        <v>1827</v>
      </c>
      <c r="C573" t="s">
        <v>1327</v>
      </c>
      <c r="F573">
        <v>1</v>
      </c>
      <c r="G573" t="s">
        <v>2344</v>
      </c>
      <c r="H573" t="s">
        <v>1312</v>
      </c>
    </row>
    <row r="574" spans="1:8">
      <c r="A574" t="s">
        <v>1326</v>
      </c>
      <c r="B574" t="s">
        <v>1840</v>
      </c>
      <c r="C574" t="s">
        <v>1331</v>
      </c>
      <c r="F574">
        <v>2</v>
      </c>
      <c r="G574" t="s">
        <v>2344</v>
      </c>
      <c r="H574" t="s">
        <v>1326</v>
      </c>
    </row>
    <row r="575" spans="1:8">
      <c r="A575" t="s">
        <v>1334</v>
      </c>
      <c r="B575" t="s">
        <v>1845</v>
      </c>
      <c r="C575" t="s">
        <v>1332</v>
      </c>
      <c r="F575">
        <v>1</v>
      </c>
      <c r="G575" t="s">
        <v>2344</v>
      </c>
      <c r="H575" t="s">
        <v>1334</v>
      </c>
    </row>
    <row r="576" spans="1:8">
      <c r="A576" t="s">
        <v>1344</v>
      </c>
      <c r="B576" t="s">
        <v>1854</v>
      </c>
      <c r="C576" t="s">
        <v>1343</v>
      </c>
      <c r="F576">
        <v>2</v>
      </c>
      <c r="G576" t="s">
        <v>2344</v>
      </c>
      <c r="H576" t="s">
        <v>1344</v>
      </c>
    </row>
    <row r="577" spans="1:8">
      <c r="A577" t="s">
        <v>1386</v>
      </c>
      <c r="B577" t="s">
        <v>1894</v>
      </c>
      <c r="C577" t="s">
        <v>1384</v>
      </c>
      <c r="F577">
        <v>1</v>
      </c>
      <c r="G577" t="s">
        <v>2344</v>
      </c>
      <c r="H577" t="s">
        <v>1386</v>
      </c>
    </row>
    <row r="578" spans="1:8">
      <c r="A578" t="s">
        <v>1407</v>
      </c>
      <c r="B578" t="s">
        <v>1913</v>
      </c>
      <c r="C578" t="s">
        <v>1406</v>
      </c>
      <c r="F578">
        <v>2</v>
      </c>
      <c r="G578" t="s">
        <v>2344</v>
      </c>
      <c r="H578" t="s">
        <v>1407</v>
      </c>
    </row>
    <row r="579" spans="1:8">
      <c r="A579" t="s">
        <v>1409</v>
      </c>
      <c r="B579" t="s">
        <v>1914</v>
      </c>
      <c r="C579" t="s">
        <v>1408</v>
      </c>
      <c r="F579">
        <v>3</v>
      </c>
      <c r="G579" t="s">
        <v>2344</v>
      </c>
      <c r="H579" t="s">
        <v>1409</v>
      </c>
    </row>
    <row r="580" spans="1:8">
      <c r="A580" t="s">
        <v>1411</v>
      </c>
      <c r="B580" t="s">
        <v>1915</v>
      </c>
      <c r="C580" t="s">
        <v>1410</v>
      </c>
      <c r="F580">
        <v>4</v>
      </c>
      <c r="G580" t="s">
        <v>2344</v>
      </c>
      <c r="H580" t="s">
        <v>1411</v>
      </c>
    </row>
    <row r="581" spans="1:8">
      <c r="A581" t="s">
        <v>1413</v>
      </c>
      <c r="B581" t="s">
        <v>1916</v>
      </c>
      <c r="C581" t="s">
        <v>1412</v>
      </c>
      <c r="F581">
        <v>5</v>
      </c>
      <c r="G581" t="s">
        <v>2344</v>
      </c>
      <c r="H581" t="s">
        <v>1413</v>
      </c>
    </row>
    <row r="582" spans="1:8">
      <c r="A582" t="s">
        <v>1415</v>
      </c>
      <c r="B582" t="s">
        <v>1917</v>
      </c>
      <c r="C582" t="s">
        <v>1414</v>
      </c>
      <c r="F582">
        <v>6</v>
      </c>
      <c r="G582" t="s">
        <v>2344</v>
      </c>
      <c r="H582" t="s">
        <v>1415</v>
      </c>
    </row>
    <row r="583" spans="1:8">
      <c r="A583" t="s">
        <v>1417</v>
      </c>
      <c r="B583" t="s">
        <v>1918</v>
      </c>
      <c r="C583" t="s">
        <v>1416</v>
      </c>
      <c r="F583">
        <v>7</v>
      </c>
      <c r="G583" t="s">
        <v>2344</v>
      </c>
      <c r="H583" t="s">
        <v>1417</v>
      </c>
    </row>
    <row r="584" spans="1:8">
      <c r="A584" t="s">
        <v>1419</v>
      </c>
      <c r="B584" t="s">
        <v>1919</v>
      </c>
      <c r="C584" t="s">
        <v>1418</v>
      </c>
      <c r="F584">
        <v>8</v>
      </c>
      <c r="G584" t="s">
        <v>2344</v>
      </c>
      <c r="H584" t="s">
        <v>1419</v>
      </c>
    </row>
    <row r="585" spans="1:8">
      <c r="A585" t="s">
        <v>2</v>
      </c>
      <c r="B585" t="s">
        <v>2</v>
      </c>
      <c r="C585" t="s">
        <v>1420</v>
      </c>
      <c r="F585">
        <v>9</v>
      </c>
      <c r="G585" t="s">
        <v>2344</v>
      </c>
      <c r="H585" t="s">
        <v>2</v>
      </c>
    </row>
    <row r="586" spans="1:8">
      <c r="A586" t="s">
        <v>1386</v>
      </c>
      <c r="B586" t="s">
        <v>1894</v>
      </c>
      <c r="C586" t="s">
        <v>1421</v>
      </c>
      <c r="F586">
        <v>1</v>
      </c>
      <c r="G586" t="s">
        <v>2344</v>
      </c>
      <c r="H586" t="s">
        <v>1386</v>
      </c>
    </row>
    <row r="587" spans="1:8">
      <c r="A587" t="s">
        <v>1407</v>
      </c>
      <c r="B587" t="s">
        <v>1913</v>
      </c>
      <c r="C587" t="s">
        <v>1424</v>
      </c>
      <c r="F587">
        <v>2</v>
      </c>
      <c r="G587" t="s">
        <v>2344</v>
      </c>
      <c r="H587" t="s">
        <v>1407</v>
      </c>
    </row>
    <row r="588" spans="1:8">
      <c r="A588" t="s">
        <v>1409</v>
      </c>
      <c r="B588" t="s">
        <v>1914</v>
      </c>
      <c r="C588" t="s">
        <v>1425</v>
      </c>
      <c r="F588">
        <v>3</v>
      </c>
      <c r="G588" t="s">
        <v>2344</v>
      </c>
      <c r="H588" t="s">
        <v>1409</v>
      </c>
    </row>
    <row r="589" spans="1:8">
      <c r="A589" t="s">
        <v>1411</v>
      </c>
      <c r="B589" t="s">
        <v>1915</v>
      </c>
      <c r="C589" t="s">
        <v>1426</v>
      </c>
      <c r="F589">
        <v>4</v>
      </c>
      <c r="G589" t="s">
        <v>2344</v>
      </c>
      <c r="H589" t="s">
        <v>1411</v>
      </c>
    </row>
    <row r="590" spans="1:8">
      <c r="A590" t="s">
        <v>1413</v>
      </c>
      <c r="B590" t="s">
        <v>1916</v>
      </c>
      <c r="C590" t="s">
        <v>1427</v>
      </c>
      <c r="F590">
        <v>5</v>
      </c>
      <c r="G590" t="s">
        <v>2344</v>
      </c>
      <c r="H590" t="s">
        <v>1413</v>
      </c>
    </row>
    <row r="591" spans="1:8">
      <c r="A591" t="s">
        <v>1415</v>
      </c>
      <c r="B591" t="s">
        <v>1917</v>
      </c>
      <c r="C591" t="s">
        <v>1428</v>
      </c>
      <c r="F591">
        <v>6</v>
      </c>
      <c r="G591" t="s">
        <v>2344</v>
      </c>
      <c r="H591" t="s">
        <v>1415</v>
      </c>
    </row>
    <row r="592" spans="1:8">
      <c r="A592" t="s">
        <v>1417</v>
      </c>
      <c r="B592" t="s">
        <v>1918</v>
      </c>
      <c r="C592" t="s">
        <v>1429</v>
      </c>
      <c r="F592">
        <v>7</v>
      </c>
      <c r="G592" t="s">
        <v>2344</v>
      </c>
      <c r="H592" t="s">
        <v>1417</v>
      </c>
    </row>
    <row r="593" spans="1:8">
      <c r="A593" t="s">
        <v>1419</v>
      </c>
      <c r="B593" t="s">
        <v>1919</v>
      </c>
      <c r="C593" t="s">
        <v>1430</v>
      </c>
      <c r="F593">
        <v>8</v>
      </c>
      <c r="G593" t="s">
        <v>2344</v>
      </c>
      <c r="H593" t="s">
        <v>1419</v>
      </c>
    </row>
    <row r="594" spans="1:8">
      <c r="A594" t="s">
        <v>2</v>
      </c>
      <c r="B594" t="s">
        <v>2</v>
      </c>
      <c r="C594" t="s">
        <v>1431</v>
      </c>
      <c r="F594">
        <v>9</v>
      </c>
      <c r="G594" t="s">
        <v>2344</v>
      </c>
      <c r="H594" t="s">
        <v>2</v>
      </c>
    </row>
    <row r="595" spans="1:8">
      <c r="A595" t="s">
        <v>1438</v>
      </c>
      <c r="B595" t="s">
        <v>1925</v>
      </c>
      <c r="C595" t="s">
        <v>623</v>
      </c>
      <c r="F595">
        <v>1</v>
      </c>
      <c r="G595" t="s">
        <v>2344</v>
      </c>
      <c r="H595" t="s">
        <v>1438</v>
      </c>
    </row>
    <row r="596" spans="1:8">
      <c r="A596" t="s">
        <v>1441</v>
      </c>
      <c r="B596" t="s">
        <v>1928</v>
      </c>
      <c r="C596" t="s">
        <v>624</v>
      </c>
      <c r="F596">
        <v>2</v>
      </c>
      <c r="G596" t="s">
        <v>2344</v>
      </c>
      <c r="H596" t="s">
        <v>1441</v>
      </c>
    </row>
    <row r="597" spans="1:8">
      <c r="A597" t="s">
        <v>1443</v>
      </c>
      <c r="B597" t="s">
        <v>1929</v>
      </c>
      <c r="C597" t="s">
        <v>1442</v>
      </c>
      <c r="F597">
        <v>3</v>
      </c>
      <c r="G597" t="s">
        <v>2344</v>
      </c>
      <c r="H597" t="s">
        <v>1443</v>
      </c>
    </row>
    <row r="598" spans="1:8">
      <c r="A598" t="s">
        <v>1475</v>
      </c>
      <c r="B598" t="s">
        <v>1958</v>
      </c>
      <c r="C598" t="s">
        <v>1473</v>
      </c>
      <c r="F598">
        <v>1</v>
      </c>
      <c r="G598" t="s">
        <v>2344</v>
      </c>
      <c r="H598" t="s">
        <v>1475</v>
      </c>
    </row>
    <row r="599" spans="1:8">
      <c r="A599" t="s">
        <v>1479</v>
      </c>
      <c r="B599" t="s">
        <v>1961</v>
      </c>
      <c r="C599" t="s">
        <v>1478</v>
      </c>
      <c r="F599">
        <v>2</v>
      </c>
      <c r="G599" t="s">
        <v>2344</v>
      </c>
      <c r="H599" t="s">
        <v>1479</v>
      </c>
    </row>
    <row r="600" spans="1:8">
      <c r="A600" t="s">
        <v>1475</v>
      </c>
      <c r="B600" t="s">
        <v>1958</v>
      </c>
      <c r="C600" t="s">
        <v>632</v>
      </c>
      <c r="F600">
        <v>1</v>
      </c>
      <c r="G600" t="s">
        <v>2344</v>
      </c>
      <c r="H600" t="s">
        <v>1475</v>
      </c>
    </row>
    <row r="601" spans="1:8">
      <c r="A601" t="s">
        <v>1479</v>
      </c>
      <c r="B601" t="s">
        <v>1961</v>
      </c>
      <c r="C601" t="s">
        <v>633</v>
      </c>
      <c r="F601">
        <v>2</v>
      </c>
      <c r="G601" t="s">
        <v>2344</v>
      </c>
      <c r="H601" t="s">
        <v>1479</v>
      </c>
    </row>
    <row r="602" spans="1:8">
      <c r="A602" t="s">
        <v>1475</v>
      </c>
      <c r="B602" t="s">
        <v>1958</v>
      </c>
      <c r="C602" t="s">
        <v>1488</v>
      </c>
      <c r="F602">
        <v>1</v>
      </c>
      <c r="G602" t="s">
        <v>2344</v>
      </c>
      <c r="H602" t="s">
        <v>1475</v>
      </c>
    </row>
    <row r="603" spans="1:8">
      <c r="A603" t="s">
        <v>1479</v>
      </c>
      <c r="B603" t="s">
        <v>1961</v>
      </c>
      <c r="C603" t="s">
        <v>1498</v>
      </c>
      <c r="F603">
        <v>2</v>
      </c>
      <c r="G603" t="s">
        <v>2344</v>
      </c>
      <c r="H603" t="s">
        <v>1479</v>
      </c>
    </row>
    <row r="604" spans="1:8">
      <c r="A604" t="s">
        <v>1521</v>
      </c>
      <c r="B604" t="s">
        <v>1997</v>
      </c>
      <c r="C604" t="s">
        <v>644</v>
      </c>
      <c r="F604">
        <v>1</v>
      </c>
      <c r="G604" t="s">
        <v>2344</v>
      </c>
      <c r="H604" t="s">
        <v>1521</v>
      </c>
    </row>
    <row r="605" spans="1:8">
      <c r="A605" t="s">
        <v>1522</v>
      </c>
      <c r="B605" t="s">
        <v>1998</v>
      </c>
      <c r="C605" t="s">
        <v>645</v>
      </c>
      <c r="F605">
        <v>2</v>
      </c>
      <c r="G605" t="s">
        <v>2344</v>
      </c>
      <c r="H605" t="s">
        <v>1522</v>
      </c>
    </row>
    <row r="606" spans="1:8">
      <c r="A606" t="s">
        <v>1573</v>
      </c>
      <c r="B606" t="s">
        <v>2045</v>
      </c>
      <c r="C606" t="s">
        <v>661</v>
      </c>
      <c r="F606">
        <v>1</v>
      </c>
      <c r="G606" t="s">
        <v>2344</v>
      </c>
      <c r="H606" t="s">
        <v>1573</v>
      </c>
    </row>
    <row r="607" spans="1:8">
      <c r="A607" t="s">
        <v>1574</v>
      </c>
      <c r="B607" t="s">
        <v>2050</v>
      </c>
      <c r="C607" t="s">
        <v>662</v>
      </c>
      <c r="F607">
        <v>2</v>
      </c>
      <c r="G607" t="s">
        <v>2344</v>
      </c>
      <c r="H607" t="s">
        <v>1574</v>
      </c>
    </row>
    <row r="608" spans="1:8">
      <c r="A608" t="s">
        <v>1575</v>
      </c>
      <c r="B608" t="s">
        <v>2051</v>
      </c>
      <c r="C608" t="s">
        <v>663</v>
      </c>
      <c r="F608">
        <v>3</v>
      </c>
      <c r="G608" t="s">
        <v>2344</v>
      </c>
      <c r="H608" t="s">
        <v>1575</v>
      </c>
    </row>
    <row r="609" spans="1:8">
      <c r="A609" t="s">
        <v>1577</v>
      </c>
      <c r="B609" t="s">
        <v>2052</v>
      </c>
      <c r="C609" t="s">
        <v>1576</v>
      </c>
      <c r="F609">
        <v>4</v>
      </c>
      <c r="G609" t="s">
        <v>2344</v>
      </c>
      <c r="H609" t="s">
        <v>1577</v>
      </c>
    </row>
    <row r="610" spans="1:8">
      <c r="A610" t="s">
        <v>1579</v>
      </c>
      <c r="B610" t="s">
        <v>2053</v>
      </c>
      <c r="C610" t="s">
        <v>1578</v>
      </c>
      <c r="F610">
        <v>5</v>
      </c>
      <c r="G610" t="s">
        <v>2344</v>
      </c>
      <c r="H610" t="s">
        <v>1579</v>
      </c>
    </row>
    <row r="611" spans="1:8">
      <c r="A611" t="s">
        <v>1581</v>
      </c>
      <c r="B611" t="s">
        <v>2054</v>
      </c>
      <c r="C611" t="s">
        <v>1580</v>
      </c>
      <c r="F611">
        <v>6</v>
      </c>
      <c r="G611" t="s">
        <v>2344</v>
      </c>
      <c r="H611" t="s">
        <v>1581</v>
      </c>
    </row>
    <row r="612" spans="1:8">
      <c r="A612" t="s">
        <v>798</v>
      </c>
      <c r="B612" t="s">
        <v>696</v>
      </c>
      <c r="C612" t="s">
        <v>1582</v>
      </c>
      <c r="F612">
        <v>7</v>
      </c>
      <c r="G612" t="s">
        <v>2344</v>
      </c>
      <c r="H612" t="s">
        <v>798</v>
      </c>
    </row>
    <row r="613" spans="1:8">
      <c r="A613" t="s">
        <v>1610</v>
      </c>
      <c r="B613" t="s">
        <v>1805</v>
      </c>
      <c r="C613" t="s">
        <v>670</v>
      </c>
      <c r="F613">
        <v>1</v>
      </c>
      <c r="G613" t="s">
        <v>2344</v>
      </c>
      <c r="H613" t="s">
        <v>1610</v>
      </c>
    </row>
    <row r="614" spans="1:8">
      <c r="A614" t="s">
        <v>1611</v>
      </c>
      <c r="B614" t="s">
        <v>2081</v>
      </c>
      <c r="C614" t="s">
        <v>676</v>
      </c>
      <c r="F614">
        <v>2</v>
      </c>
      <c r="G614" t="s">
        <v>2344</v>
      </c>
      <c r="H614" t="s">
        <v>1611</v>
      </c>
    </row>
    <row r="615" spans="1:8">
      <c r="A615" t="s">
        <v>1625</v>
      </c>
      <c r="B615" t="s">
        <v>2082</v>
      </c>
      <c r="C615" t="s">
        <v>677</v>
      </c>
      <c r="F615">
        <v>3</v>
      </c>
      <c r="G615" t="s">
        <v>2344</v>
      </c>
      <c r="H615" t="s">
        <v>1625</v>
      </c>
    </row>
    <row r="616" spans="1:8">
      <c r="A616" t="s">
        <v>1613</v>
      </c>
      <c r="B616" t="s">
        <v>2083</v>
      </c>
      <c r="C616" t="s">
        <v>678</v>
      </c>
      <c r="F616">
        <v>4</v>
      </c>
      <c r="G616" t="s">
        <v>2344</v>
      </c>
      <c r="H616" t="s">
        <v>1613</v>
      </c>
    </row>
    <row r="617" spans="1:8">
      <c r="A617" t="s">
        <v>1614</v>
      </c>
      <c r="B617" t="s">
        <v>2084</v>
      </c>
      <c r="C617" t="s">
        <v>679</v>
      </c>
      <c r="F617">
        <v>5</v>
      </c>
      <c r="G617" t="s">
        <v>2344</v>
      </c>
      <c r="H617" t="s">
        <v>1614</v>
      </c>
    </row>
    <row r="618" spans="1:8">
      <c r="A618" t="s">
        <v>1615</v>
      </c>
      <c r="B618" t="s">
        <v>2085</v>
      </c>
      <c r="C618" t="s">
        <v>680</v>
      </c>
      <c r="F618">
        <v>6</v>
      </c>
      <c r="G618" t="s">
        <v>2344</v>
      </c>
      <c r="H618" t="s">
        <v>1615</v>
      </c>
    </row>
    <row r="619" spans="1:8">
      <c r="A619" t="s">
        <v>1627</v>
      </c>
      <c r="B619" t="s">
        <v>2096</v>
      </c>
      <c r="C619" t="s">
        <v>682</v>
      </c>
      <c r="F619">
        <v>1</v>
      </c>
      <c r="G619" t="s">
        <v>2344</v>
      </c>
      <c r="H619" t="s">
        <v>1627</v>
      </c>
    </row>
    <row r="620" spans="1:8">
      <c r="A620" t="s">
        <v>1664</v>
      </c>
      <c r="B620" t="s">
        <v>2133</v>
      </c>
      <c r="C620" t="s">
        <v>683</v>
      </c>
      <c r="F620">
        <v>2</v>
      </c>
      <c r="G620" t="s">
        <v>2344</v>
      </c>
      <c r="H620" t="s">
        <v>1664</v>
      </c>
    </row>
    <row r="621" spans="1:8">
      <c r="A621" t="s">
        <v>1665</v>
      </c>
      <c r="B621" t="s">
        <v>2134</v>
      </c>
      <c r="C621" t="s">
        <v>684</v>
      </c>
      <c r="F621">
        <v>3</v>
      </c>
      <c r="G621" t="s">
        <v>2344</v>
      </c>
      <c r="H621" t="s">
        <v>1665</v>
      </c>
    </row>
    <row r="622" spans="1:8">
      <c r="A622" t="s">
        <v>1628</v>
      </c>
      <c r="B622" t="s">
        <v>2097</v>
      </c>
      <c r="C622" t="s">
        <v>686</v>
      </c>
      <c r="F622">
        <v>1</v>
      </c>
      <c r="G622" t="s">
        <v>2344</v>
      </c>
      <c r="H622" t="s">
        <v>1628</v>
      </c>
    </row>
    <row r="623" spans="1:8">
      <c r="A623" t="s">
        <v>1629</v>
      </c>
      <c r="B623" t="s">
        <v>2098</v>
      </c>
      <c r="C623" t="s">
        <v>688</v>
      </c>
      <c r="F623">
        <v>2</v>
      </c>
      <c r="G623" t="s">
        <v>2344</v>
      </c>
      <c r="H623" t="s">
        <v>1629</v>
      </c>
    </row>
    <row r="624" spans="1:8">
      <c r="A624" t="s">
        <v>1630</v>
      </c>
      <c r="B624" t="s">
        <v>2099</v>
      </c>
      <c r="C624" t="s">
        <v>689</v>
      </c>
      <c r="F624">
        <v>3</v>
      </c>
      <c r="G624" t="s">
        <v>2344</v>
      </c>
      <c r="H624" t="s">
        <v>1630</v>
      </c>
    </row>
    <row r="625" spans="1:8">
      <c r="A625" t="s">
        <v>1631</v>
      </c>
      <c r="B625" t="s">
        <v>2100</v>
      </c>
      <c r="C625" t="s">
        <v>690</v>
      </c>
      <c r="F625">
        <v>4</v>
      </c>
      <c r="G625" t="s">
        <v>2344</v>
      </c>
      <c r="H625" t="s">
        <v>1631</v>
      </c>
    </row>
    <row r="626" spans="1:8">
      <c r="A626" t="s">
        <v>1632</v>
      </c>
      <c r="B626" t="s">
        <v>2101</v>
      </c>
      <c r="C626" t="s">
        <v>691</v>
      </c>
      <c r="F626">
        <v>5</v>
      </c>
      <c r="G626" t="s">
        <v>2344</v>
      </c>
      <c r="H626" t="s">
        <v>1632</v>
      </c>
    </row>
    <row r="627" spans="1:8">
      <c r="A627" t="s">
        <v>1633</v>
      </c>
      <c r="B627" t="s">
        <v>2102</v>
      </c>
      <c r="C627" t="s">
        <v>692</v>
      </c>
      <c r="F627">
        <v>6</v>
      </c>
      <c r="G627" t="s">
        <v>2344</v>
      </c>
      <c r="H627" t="s">
        <v>1633</v>
      </c>
    </row>
    <row r="628" spans="1:8">
      <c r="A628" t="s">
        <v>1634</v>
      </c>
      <c r="B628" t="s">
        <v>2103</v>
      </c>
      <c r="C628" t="s">
        <v>693</v>
      </c>
      <c r="F628">
        <v>7</v>
      </c>
      <c r="G628" t="s">
        <v>2344</v>
      </c>
      <c r="H628" t="s">
        <v>1634</v>
      </c>
    </row>
    <row r="629" spans="1:8">
      <c r="A629" t="s">
        <v>1635</v>
      </c>
      <c r="B629" t="s">
        <v>2104</v>
      </c>
      <c r="C629" t="s">
        <v>694</v>
      </c>
      <c r="F629">
        <v>8</v>
      </c>
      <c r="G629" t="s">
        <v>2344</v>
      </c>
      <c r="H629" t="s">
        <v>1635</v>
      </c>
    </row>
    <row r="630" spans="1:8">
      <c r="A630" t="s">
        <v>1636</v>
      </c>
      <c r="B630" t="s">
        <v>2105</v>
      </c>
      <c r="C630" t="s">
        <v>695</v>
      </c>
      <c r="F630">
        <v>9</v>
      </c>
      <c r="G630" t="s">
        <v>2344</v>
      </c>
      <c r="H630" t="s">
        <v>1636</v>
      </c>
    </row>
    <row r="631" spans="1:8">
      <c r="A631" t="s">
        <v>1637</v>
      </c>
      <c r="B631" t="s">
        <v>2106</v>
      </c>
      <c r="C631" t="s">
        <v>1669</v>
      </c>
      <c r="F631">
        <v>10</v>
      </c>
      <c r="G631" t="s">
        <v>2344</v>
      </c>
      <c r="H631" t="s">
        <v>1637</v>
      </c>
    </row>
    <row r="632" spans="1:8">
      <c r="A632" t="s">
        <v>1638</v>
      </c>
      <c r="B632" t="s">
        <v>2107</v>
      </c>
      <c r="C632" t="s">
        <v>1670</v>
      </c>
      <c r="F632">
        <v>11</v>
      </c>
      <c r="G632" t="s">
        <v>2344</v>
      </c>
      <c r="H632" t="s">
        <v>1638</v>
      </c>
    </row>
    <row r="633" spans="1:8">
      <c r="A633" t="s">
        <v>1639</v>
      </c>
      <c r="B633" t="s">
        <v>2108</v>
      </c>
      <c r="C633" t="s">
        <v>1671</v>
      </c>
      <c r="F633">
        <v>12</v>
      </c>
      <c r="G633" t="s">
        <v>2344</v>
      </c>
      <c r="H633" t="s">
        <v>1639</v>
      </c>
    </row>
    <row r="634" spans="1:8">
      <c r="A634" t="s">
        <v>1640</v>
      </c>
      <c r="B634" t="s">
        <v>2109</v>
      </c>
      <c r="C634" t="s">
        <v>1672</v>
      </c>
      <c r="F634">
        <v>13</v>
      </c>
      <c r="G634" t="s">
        <v>2344</v>
      </c>
      <c r="H634" t="s">
        <v>1640</v>
      </c>
    </row>
    <row r="635" spans="1:8">
      <c r="A635" t="s">
        <v>1641</v>
      </c>
      <c r="B635" t="s">
        <v>2110</v>
      </c>
      <c r="C635" t="s">
        <v>1673</v>
      </c>
      <c r="F635">
        <v>14</v>
      </c>
      <c r="G635" t="s">
        <v>2344</v>
      </c>
      <c r="H635" t="s">
        <v>1641</v>
      </c>
    </row>
    <row r="636" spans="1:8">
      <c r="A636" t="s">
        <v>1642</v>
      </c>
      <c r="B636" t="s">
        <v>2111</v>
      </c>
      <c r="C636" t="s">
        <v>1674</v>
      </c>
      <c r="F636">
        <v>15</v>
      </c>
      <c r="G636" t="s">
        <v>2344</v>
      </c>
      <c r="H636" t="s">
        <v>1642</v>
      </c>
    </row>
    <row r="637" spans="1:8">
      <c r="A637" t="s">
        <v>1643</v>
      </c>
      <c r="B637" t="s">
        <v>2112</v>
      </c>
      <c r="C637" t="s">
        <v>1675</v>
      </c>
      <c r="F637">
        <v>16</v>
      </c>
      <c r="G637" t="s">
        <v>2344</v>
      </c>
      <c r="H637" t="s">
        <v>1643</v>
      </c>
    </row>
    <row r="638" spans="1:8">
      <c r="A638" t="s">
        <v>1644</v>
      </c>
      <c r="B638" t="s">
        <v>2113</v>
      </c>
      <c r="C638" t="s">
        <v>1676</v>
      </c>
      <c r="F638">
        <v>17</v>
      </c>
      <c r="G638" t="s">
        <v>2344</v>
      </c>
      <c r="H638" t="s">
        <v>1644</v>
      </c>
    </row>
    <row r="639" spans="1:8">
      <c r="A639" t="s">
        <v>1645</v>
      </c>
      <c r="B639" t="s">
        <v>2114</v>
      </c>
      <c r="C639" t="s">
        <v>1677</v>
      </c>
      <c r="F639">
        <v>18</v>
      </c>
      <c r="G639" t="s">
        <v>2344</v>
      </c>
      <c r="H639" t="s">
        <v>1645</v>
      </c>
    </row>
    <row r="640" spans="1:8">
      <c r="A640" t="s">
        <v>1646</v>
      </c>
      <c r="B640" t="s">
        <v>2115</v>
      </c>
      <c r="C640" t="s">
        <v>1678</v>
      </c>
      <c r="F640">
        <v>19</v>
      </c>
      <c r="G640" t="s">
        <v>2344</v>
      </c>
      <c r="H640" t="s">
        <v>1646</v>
      </c>
    </row>
    <row r="641" spans="1:8">
      <c r="A641" t="s">
        <v>1647</v>
      </c>
      <c r="B641" t="s">
        <v>2116</v>
      </c>
      <c r="C641" t="s">
        <v>1679</v>
      </c>
      <c r="F641">
        <v>20</v>
      </c>
      <c r="G641" t="s">
        <v>2344</v>
      </c>
      <c r="H641" t="s">
        <v>1647</v>
      </c>
    </row>
    <row r="642" spans="1:8">
      <c r="A642" t="s">
        <v>1648</v>
      </c>
      <c r="B642" t="s">
        <v>2117</v>
      </c>
      <c r="C642" t="s">
        <v>1680</v>
      </c>
      <c r="F642">
        <v>21</v>
      </c>
      <c r="G642" t="s">
        <v>2344</v>
      </c>
      <c r="H642" t="s">
        <v>1648</v>
      </c>
    </row>
    <row r="643" spans="1:8">
      <c r="A643" t="s">
        <v>1649</v>
      </c>
      <c r="B643" t="s">
        <v>2118</v>
      </c>
      <c r="C643" t="s">
        <v>1681</v>
      </c>
      <c r="F643">
        <v>22</v>
      </c>
      <c r="G643" t="s">
        <v>2344</v>
      </c>
      <c r="H643" t="s">
        <v>1649</v>
      </c>
    </row>
    <row r="644" spans="1:8">
      <c r="A644" t="s">
        <v>1650</v>
      </c>
      <c r="B644" t="s">
        <v>2119</v>
      </c>
      <c r="C644" t="s">
        <v>1682</v>
      </c>
      <c r="F644">
        <v>23</v>
      </c>
      <c r="G644" t="s">
        <v>2344</v>
      </c>
      <c r="H644" t="s">
        <v>1650</v>
      </c>
    </row>
    <row r="645" spans="1:8">
      <c r="A645" t="s">
        <v>1651</v>
      </c>
      <c r="B645" t="s">
        <v>2120</v>
      </c>
      <c r="C645" t="s">
        <v>1683</v>
      </c>
      <c r="F645">
        <v>24</v>
      </c>
      <c r="G645" t="s">
        <v>2344</v>
      </c>
      <c r="H645" t="s">
        <v>1651</v>
      </c>
    </row>
    <row r="646" spans="1:8">
      <c r="A646" t="s">
        <v>1652</v>
      </c>
      <c r="B646" t="s">
        <v>2121</v>
      </c>
      <c r="C646" t="s">
        <v>1684</v>
      </c>
      <c r="F646">
        <v>25</v>
      </c>
      <c r="G646" t="s">
        <v>2344</v>
      </c>
      <c r="H646" t="s">
        <v>1652</v>
      </c>
    </row>
    <row r="647" spans="1:8">
      <c r="A647" t="s">
        <v>1653</v>
      </c>
      <c r="B647" t="s">
        <v>2122</v>
      </c>
      <c r="C647" t="s">
        <v>1685</v>
      </c>
      <c r="F647">
        <v>26</v>
      </c>
      <c r="G647" t="s">
        <v>2344</v>
      </c>
      <c r="H647" t="s">
        <v>1653</v>
      </c>
    </row>
    <row r="648" spans="1:8">
      <c r="A648" t="s">
        <v>1654</v>
      </c>
      <c r="B648" t="s">
        <v>2123</v>
      </c>
      <c r="C648" t="s">
        <v>1686</v>
      </c>
      <c r="F648">
        <v>27</v>
      </c>
      <c r="G648" t="s">
        <v>2344</v>
      </c>
      <c r="H648" t="s">
        <v>1654</v>
      </c>
    </row>
    <row r="649" spans="1:8">
      <c r="A649" t="s">
        <v>1655</v>
      </c>
      <c r="B649" t="s">
        <v>2124</v>
      </c>
      <c r="C649" t="s">
        <v>1687</v>
      </c>
      <c r="F649">
        <v>28</v>
      </c>
      <c r="G649" t="s">
        <v>2344</v>
      </c>
      <c r="H649" t="s">
        <v>1655</v>
      </c>
    </row>
    <row r="650" spans="1:8">
      <c r="A650" t="s">
        <v>1656</v>
      </c>
      <c r="B650" t="s">
        <v>2125</v>
      </c>
      <c r="C650" t="s">
        <v>1688</v>
      </c>
      <c r="F650">
        <v>29</v>
      </c>
      <c r="G650" t="s">
        <v>2344</v>
      </c>
      <c r="H650" t="s">
        <v>1656</v>
      </c>
    </row>
    <row r="651" spans="1:8">
      <c r="A651" t="s">
        <v>1657</v>
      </c>
      <c r="B651" t="s">
        <v>2126</v>
      </c>
      <c r="C651" t="s">
        <v>1689</v>
      </c>
      <c r="F651">
        <v>30</v>
      </c>
      <c r="G651" t="s">
        <v>2344</v>
      </c>
      <c r="H651" t="s">
        <v>1657</v>
      </c>
    </row>
    <row r="652" spans="1:8">
      <c r="A652" t="s">
        <v>1658</v>
      </c>
      <c r="B652" t="s">
        <v>2127</v>
      </c>
      <c r="C652" t="s">
        <v>1690</v>
      </c>
      <c r="F652">
        <v>31</v>
      </c>
      <c r="G652" t="s">
        <v>2344</v>
      </c>
      <c r="H652" t="s">
        <v>1658</v>
      </c>
    </row>
    <row r="653" spans="1:8">
      <c r="A653" t="s">
        <v>1659</v>
      </c>
      <c r="B653" t="s">
        <v>2128</v>
      </c>
      <c r="C653" t="s">
        <v>1691</v>
      </c>
      <c r="F653">
        <v>32</v>
      </c>
      <c r="G653" t="s">
        <v>2344</v>
      </c>
      <c r="H653" t="s">
        <v>1659</v>
      </c>
    </row>
    <row r="654" spans="1:8">
      <c r="A654" t="s">
        <v>1660</v>
      </c>
      <c r="B654" t="s">
        <v>2129</v>
      </c>
      <c r="C654" t="s">
        <v>1692</v>
      </c>
      <c r="F654">
        <v>33</v>
      </c>
      <c r="G654" t="s">
        <v>2344</v>
      </c>
      <c r="H654" t="s">
        <v>1660</v>
      </c>
    </row>
    <row r="655" spans="1:8">
      <c r="A655" t="s">
        <v>1661</v>
      </c>
      <c r="B655" t="s">
        <v>2130</v>
      </c>
      <c r="C655" t="s">
        <v>1693</v>
      </c>
      <c r="F655">
        <v>34</v>
      </c>
      <c r="G655" t="s">
        <v>2344</v>
      </c>
      <c r="H655" t="s">
        <v>1661</v>
      </c>
    </row>
    <row r="656" spans="1:8">
      <c r="A656" t="s">
        <v>1662</v>
      </c>
      <c r="B656" t="s">
        <v>2131</v>
      </c>
      <c r="C656" t="s">
        <v>1694</v>
      </c>
      <c r="F656">
        <v>35</v>
      </c>
      <c r="G656" t="s">
        <v>2344</v>
      </c>
      <c r="H656" t="s">
        <v>1662</v>
      </c>
    </row>
    <row r="657" spans="1:8">
      <c r="A657" t="s">
        <v>1663</v>
      </c>
      <c r="B657" t="s">
        <v>2132</v>
      </c>
      <c r="C657" t="s">
        <v>1695</v>
      </c>
      <c r="F657">
        <v>36</v>
      </c>
      <c r="G657" t="s">
        <v>2344</v>
      </c>
      <c r="H657" t="s">
        <v>1663</v>
      </c>
    </row>
  </sheetData>
  <phoneticPr fontId="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249977111117893"/>
  </sheetPr>
  <dimension ref="A1:IC145"/>
  <sheetViews>
    <sheetView zoomScale="130" zoomScaleNormal="130" workbookViewId="0">
      <selection activeCell="L13" sqref="L13"/>
    </sheetView>
  </sheetViews>
  <sheetFormatPr defaultColWidth="9" defaultRowHeight="11.4"/>
  <cols>
    <col min="1" max="7" width="9" style="403"/>
    <col min="8" max="8" width="10.77734375" style="403" customWidth="1"/>
    <col min="9" max="16384" width="9" style="403"/>
  </cols>
  <sheetData>
    <row r="1" spans="1:237">
      <c r="A1" s="403" t="s">
        <v>524</v>
      </c>
      <c r="B1" s="403" t="s">
        <v>525</v>
      </c>
      <c r="C1" s="403" t="s">
        <v>526</v>
      </c>
      <c r="D1" s="403" t="s">
        <v>527</v>
      </c>
      <c r="E1" s="403" t="s">
        <v>528</v>
      </c>
      <c r="F1" s="403" t="s">
        <v>529</v>
      </c>
      <c r="G1" s="403" t="s">
        <v>530</v>
      </c>
      <c r="H1" s="403" t="s">
        <v>531</v>
      </c>
      <c r="I1" s="403" t="s">
        <v>532</v>
      </c>
      <c r="J1" s="403" t="s">
        <v>533</v>
      </c>
      <c r="K1" s="403" t="s">
        <v>534</v>
      </c>
      <c r="L1" s="403" t="s">
        <v>535</v>
      </c>
      <c r="M1" s="403">
        <v>1</v>
      </c>
      <c r="N1" s="403">
        <v>2</v>
      </c>
      <c r="O1" s="403">
        <v>3</v>
      </c>
      <c r="P1" s="403">
        <v>4</v>
      </c>
      <c r="Q1" s="403">
        <v>5</v>
      </c>
      <c r="R1" s="403">
        <v>6</v>
      </c>
      <c r="S1" s="403">
        <v>7</v>
      </c>
      <c r="T1" s="403">
        <v>8</v>
      </c>
      <c r="U1" s="403">
        <v>9</v>
      </c>
      <c r="V1" s="403">
        <v>10</v>
      </c>
      <c r="W1" s="403">
        <v>11</v>
      </c>
      <c r="X1" s="403">
        <v>12</v>
      </c>
      <c r="Y1" s="403">
        <v>13</v>
      </c>
      <c r="Z1" s="403">
        <v>14</v>
      </c>
      <c r="AA1" s="403">
        <v>15</v>
      </c>
      <c r="AB1" s="403">
        <v>16</v>
      </c>
      <c r="AC1" s="403">
        <v>17</v>
      </c>
      <c r="AD1" s="403">
        <v>18</v>
      </c>
      <c r="AE1" s="403">
        <v>19</v>
      </c>
      <c r="AF1" s="403">
        <v>20</v>
      </c>
      <c r="AG1" s="403">
        <v>21</v>
      </c>
      <c r="AH1" s="403">
        <v>22</v>
      </c>
      <c r="AI1" s="403">
        <v>23</v>
      </c>
      <c r="AJ1" s="403">
        <v>24</v>
      </c>
      <c r="AK1" s="403">
        <v>25</v>
      </c>
      <c r="AL1" s="403">
        <v>26</v>
      </c>
      <c r="AM1" s="403">
        <v>27</v>
      </c>
      <c r="AN1" s="403">
        <v>28</v>
      </c>
      <c r="AO1" s="403">
        <v>29</v>
      </c>
      <c r="AP1" s="403">
        <v>30</v>
      </c>
      <c r="AQ1" s="403">
        <v>31</v>
      </c>
      <c r="AR1" s="403">
        <v>32</v>
      </c>
      <c r="AS1" s="403">
        <v>33</v>
      </c>
      <c r="AT1" s="403">
        <v>34</v>
      </c>
      <c r="AU1" s="403">
        <v>35</v>
      </c>
      <c r="AV1" s="403">
        <v>36</v>
      </c>
      <c r="AW1" s="403">
        <v>37</v>
      </c>
      <c r="AX1" s="403">
        <v>38</v>
      </c>
      <c r="AY1" s="403">
        <v>39</v>
      </c>
      <c r="AZ1" s="403">
        <v>40</v>
      </c>
      <c r="BA1" s="403">
        <v>41</v>
      </c>
      <c r="BB1" s="403">
        <v>42</v>
      </c>
      <c r="BC1" s="403">
        <v>43</v>
      </c>
      <c r="BD1" s="403">
        <v>44</v>
      </c>
      <c r="BE1" s="403">
        <v>45</v>
      </c>
      <c r="BF1" s="403">
        <v>46</v>
      </c>
      <c r="BG1" s="403">
        <v>47</v>
      </c>
      <c r="BH1" s="403">
        <v>48</v>
      </c>
      <c r="BI1" s="403">
        <v>49</v>
      </c>
      <c r="BJ1" s="403">
        <v>50</v>
      </c>
      <c r="BK1" s="403">
        <v>51</v>
      </c>
      <c r="BL1" s="403">
        <v>52</v>
      </c>
      <c r="BM1" s="403">
        <v>53</v>
      </c>
      <c r="BN1" s="403">
        <v>54</v>
      </c>
      <c r="BO1" s="403">
        <v>55</v>
      </c>
      <c r="BP1" s="403">
        <v>56</v>
      </c>
      <c r="BQ1" s="403">
        <v>57</v>
      </c>
      <c r="BR1" s="403">
        <v>58</v>
      </c>
      <c r="BS1" s="403">
        <v>59</v>
      </c>
      <c r="BT1" s="403">
        <v>60</v>
      </c>
      <c r="BU1" s="403">
        <v>61</v>
      </c>
      <c r="BV1" s="403">
        <v>62</v>
      </c>
      <c r="BW1" s="403">
        <v>63</v>
      </c>
      <c r="BX1" s="403">
        <v>64</v>
      </c>
      <c r="BY1" s="403">
        <v>65</v>
      </c>
      <c r="BZ1" s="403">
        <v>66</v>
      </c>
      <c r="CA1" s="403">
        <v>67</v>
      </c>
      <c r="CB1" s="403">
        <v>68</v>
      </c>
      <c r="CC1" s="403">
        <v>69</v>
      </c>
      <c r="CD1" s="403">
        <v>70</v>
      </c>
      <c r="CE1" s="403">
        <v>71</v>
      </c>
      <c r="CF1" s="403">
        <v>72</v>
      </c>
      <c r="CG1" s="403">
        <v>73</v>
      </c>
      <c r="CH1" s="403">
        <v>74</v>
      </c>
      <c r="CI1" s="403">
        <v>75</v>
      </c>
      <c r="CJ1" s="403">
        <v>76</v>
      </c>
      <c r="CK1" s="403">
        <v>77</v>
      </c>
      <c r="CL1" s="403">
        <v>78</v>
      </c>
      <c r="CM1" s="403">
        <v>79</v>
      </c>
      <c r="CN1" s="403">
        <v>80</v>
      </c>
      <c r="CO1" s="403">
        <v>81</v>
      </c>
      <c r="CP1" s="403">
        <v>82</v>
      </c>
      <c r="CQ1" s="403">
        <v>83</v>
      </c>
      <c r="CR1" s="403">
        <v>84</v>
      </c>
      <c r="CS1" s="403">
        <v>85</v>
      </c>
      <c r="CT1" s="403">
        <v>86</v>
      </c>
      <c r="CU1" s="403">
        <v>87</v>
      </c>
      <c r="CV1" s="403">
        <v>88</v>
      </c>
      <c r="CW1" s="403">
        <v>89</v>
      </c>
      <c r="CX1" s="403">
        <v>90</v>
      </c>
      <c r="CY1" s="403">
        <v>91</v>
      </c>
      <c r="CZ1" s="403">
        <v>92</v>
      </c>
      <c r="DA1" s="403">
        <v>93</v>
      </c>
      <c r="DB1" s="403">
        <v>94</v>
      </c>
      <c r="DC1" s="403">
        <v>95</v>
      </c>
      <c r="DD1" s="403">
        <v>96</v>
      </c>
      <c r="DE1" s="403">
        <v>97</v>
      </c>
      <c r="DF1" s="403">
        <v>98</v>
      </c>
      <c r="DG1" s="403">
        <v>99</v>
      </c>
      <c r="DH1" s="403">
        <v>100</v>
      </c>
      <c r="DI1" s="403">
        <v>101</v>
      </c>
      <c r="DJ1" s="403">
        <v>102</v>
      </c>
      <c r="DK1" s="403">
        <v>103</v>
      </c>
      <c r="DL1" s="403">
        <v>104</v>
      </c>
      <c r="DM1" s="403">
        <v>105</v>
      </c>
      <c r="DN1" s="403">
        <v>106</v>
      </c>
      <c r="DO1" s="403">
        <v>107</v>
      </c>
      <c r="DP1" s="403">
        <v>108</v>
      </c>
      <c r="DQ1" s="403">
        <v>109</v>
      </c>
      <c r="DR1" s="403">
        <v>110</v>
      </c>
      <c r="DS1" s="403">
        <v>111</v>
      </c>
      <c r="DT1" s="403">
        <v>112</v>
      </c>
      <c r="DU1" s="403">
        <v>113</v>
      </c>
      <c r="DV1" s="403">
        <v>114</v>
      </c>
      <c r="DW1" s="403">
        <v>115</v>
      </c>
      <c r="DX1" s="403">
        <v>116</v>
      </c>
      <c r="DY1" s="403">
        <v>117</v>
      </c>
      <c r="DZ1" s="403">
        <v>118</v>
      </c>
      <c r="EA1" s="403">
        <v>119</v>
      </c>
      <c r="EB1" s="403">
        <v>120</v>
      </c>
      <c r="EC1" s="403">
        <v>121</v>
      </c>
      <c r="ED1" s="403">
        <v>122</v>
      </c>
      <c r="EE1" s="403">
        <v>123</v>
      </c>
      <c r="EF1" s="403">
        <v>124</v>
      </c>
      <c r="EG1" s="403">
        <v>125</v>
      </c>
      <c r="EH1" s="403">
        <v>126</v>
      </c>
      <c r="EI1" s="403">
        <v>127</v>
      </c>
      <c r="EJ1" s="403">
        <v>128</v>
      </c>
      <c r="EK1" s="403">
        <v>129</v>
      </c>
      <c r="EL1" s="403">
        <v>130</v>
      </c>
      <c r="EM1" s="403">
        <v>131</v>
      </c>
      <c r="EN1" s="403">
        <v>132</v>
      </c>
      <c r="EO1" s="403">
        <v>133</v>
      </c>
      <c r="EP1" s="403">
        <v>134</v>
      </c>
      <c r="EQ1" s="403">
        <v>135</v>
      </c>
      <c r="ER1" s="403">
        <v>136</v>
      </c>
      <c r="ES1" s="403">
        <v>137</v>
      </c>
      <c r="ET1" s="403">
        <v>138</v>
      </c>
      <c r="EU1" s="403">
        <v>139</v>
      </c>
      <c r="EV1" s="403">
        <v>140</v>
      </c>
      <c r="EW1" s="403">
        <v>141</v>
      </c>
      <c r="EX1" s="403">
        <v>142</v>
      </c>
      <c r="EY1" s="403">
        <v>143</v>
      </c>
      <c r="EZ1" s="403">
        <v>144</v>
      </c>
      <c r="FA1" s="403">
        <v>145</v>
      </c>
      <c r="FB1" s="403">
        <v>146</v>
      </c>
      <c r="FC1" s="403">
        <v>147</v>
      </c>
      <c r="FD1" s="403">
        <v>148</v>
      </c>
      <c r="FE1" s="403">
        <v>149</v>
      </c>
      <c r="FF1" s="403">
        <v>150</v>
      </c>
      <c r="FG1" s="403">
        <v>151</v>
      </c>
      <c r="FH1" s="403">
        <v>152</v>
      </c>
      <c r="FI1" s="403">
        <v>153</v>
      </c>
      <c r="FJ1" s="403">
        <v>154</v>
      </c>
      <c r="FK1" s="403">
        <v>155</v>
      </c>
      <c r="FL1" s="403">
        <v>156</v>
      </c>
      <c r="FM1" s="403">
        <v>157</v>
      </c>
      <c r="FN1" s="403">
        <v>158</v>
      </c>
      <c r="FO1" s="403">
        <v>159</v>
      </c>
      <c r="FP1" s="403">
        <v>160</v>
      </c>
      <c r="FQ1" s="403">
        <v>161</v>
      </c>
      <c r="FR1" s="403">
        <v>162</v>
      </c>
      <c r="FS1" s="403">
        <v>163</v>
      </c>
      <c r="FT1" s="403">
        <v>164</v>
      </c>
      <c r="FU1" s="403">
        <v>165</v>
      </c>
      <c r="FV1" s="403">
        <v>166</v>
      </c>
      <c r="FW1" s="403">
        <v>167</v>
      </c>
      <c r="FX1" s="403">
        <v>168</v>
      </c>
      <c r="FY1" s="403">
        <v>169</v>
      </c>
      <c r="FZ1" s="403">
        <v>170</v>
      </c>
      <c r="GA1" s="403">
        <v>171</v>
      </c>
      <c r="GB1" s="403">
        <v>172</v>
      </c>
      <c r="GC1" s="403">
        <v>173</v>
      </c>
      <c r="GD1" s="403">
        <v>174</v>
      </c>
      <c r="GE1" s="403">
        <v>175</v>
      </c>
      <c r="GF1" s="403">
        <v>176</v>
      </c>
      <c r="GG1" s="403">
        <v>177</v>
      </c>
      <c r="GH1" s="403">
        <v>178</v>
      </c>
      <c r="GI1" s="403">
        <v>179</v>
      </c>
      <c r="GJ1" s="403">
        <v>180</v>
      </c>
      <c r="GK1" s="403">
        <v>181</v>
      </c>
      <c r="GL1" s="403">
        <v>182</v>
      </c>
      <c r="GM1" s="403">
        <v>183</v>
      </c>
      <c r="GN1" s="403">
        <v>184</v>
      </c>
      <c r="GO1" s="403">
        <v>185</v>
      </c>
      <c r="GP1" s="403">
        <v>186</v>
      </c>
      <c r="GQ1" s="403">
        <v>187</v>
      </c>
      <c r="GR1" s="403">
        <v>188</v>
      </c>
      <c r="GS1" s="403">
        <v>189</v>
      </c>
      <c r="GT1" s="403">
        <v>190</v>
      </c>
      <c r="GU1" s="403">
        <v>191</v>
      </c>
      <c r="GV1" s="403">
        <v>192</v>
      </c>
      <c r="GW1" s="403">
        <v>193</v>
      </c>
      <c r="GX1" s="403">
        <v>194</v>
      </c>
      <c r="GY1" s="403">
        <v>195</v>
      </c>
      <c r="GZ1" s="403">
        <v>196</v>
      </c>
      <c r="HA1" s="403">
        <v>197</v>
      </c>
      <c r="HB1" s="403">
        <v>198</v>
      </c>
      <c r="HC1" s="403">
        <v>199</v>
      </c>
      <c r="HD1" s="403">
        <v>200</v>
      </c>
      <c r="HE1" s="403" t="s">
        <v>536</v>
      </c>
      <c r="HF1" s="403" t="s">
        <v>537</v>
      </c>
      <c r="HG1" s="403" t="s">
        <v>538</v>
      </c>
      <c r="HH1" s="403" t="s">
        <v>539</v>
      </c>
      <c r="HI1" s="403" t="s">
        <v>540</v>
      </c>
      <c r="HJ1" s="403" t="s">
        <v>541</v>
      </c>
      <c r="HK1" s="403" t="s">
        <v>542</v>
      </c>
      <c r="HL1" s="403" t="s">
        <v>543</v>
      </c>
      <c r="HM1" s="403" t="s">
        <v>544</v>
      </c>
      <c r="HN1" s="403" t="s">
        <v>545</v>
      </c>
      <c r="HO1" s="403" t="s">
        <v>546</v>
      </c>
      <c r="HP1" s="403" t="s">
        <v>547</v>
      </c>
      <c r="HQ1" s="403" t="s">
        <v>548</v>
      </c>
      <c r="HR1" s="403" t="s">
        <v>549</v>
      </c>
      <c r="HS1" s="403" t="s">
        <v>550</v>
      </c>
      <c r="HT1" s="403" t="s">
        <v>551</v>
      </c>
      <c r="HU1" s="403" t="s">
        <v>552</v>
      </c>
      <c r="HV1" s="403" t="s">
        <v>553</v>
      </c>
      <c r="HW1" s="403" t="s">
        <v>554</v>
      </c>
      <c r="HX1" s="403" t="s">
        <v>555</v>
      </c>
      <c r="HY1" s="403" t="s">
        <v>556</v>
      </c>
      <c r="HZ1" s="403" t="s">
        <v>557</v>
      </c>
      <c r="IA1" s="403" t="s">
        <v>558</v>
      </c>
      <c r="IB1" s="403" t="s">
        <v>559</v>
      </c>
      <c r="IC1" s="403" t="s">
        <v>560</v>
      </c>
    </row>
    <row r="2" spans="1:237">
      <c r="E2" s="403" t="s">
        <v>561</v>
      </c>
      <c r="F2" s="403" t="s">
        <v>562</v>
      </c>
      <c r="J2" s="403">
        <v>1</v>
      </c>
      <c r="L2" s="403" t="s">
        <v>563</v>
      </c>
    </row>
    <row r="3" spans="1:237">
      <c r="E3" s="403" t="s">
        <v>564</v>
      </c>
      <c r="F3" s="403" t="s">
        <v>565</v>
      </c>
      <c r="J3" s="403">
        <v>2</v>
      </c>
      <c r="L3" s="403" t="s">
        <v>566</v>
      </c>
    </row>
    <row r="4" spans="1:237">
      <c r="E4" s="403" t="s">
        <v>567</v>
      </c>
      <c r="F4" s="403" t="s">
        <v>568</v>
      </c>
      <c r="G4" s="403">
        <v>8</v>
      </c>
      <c r="J4" s="403">
        <v>3</v>
      </c>
      <c r="L4" s="403" t="s">
        <v>569</v>
      </c>
      <c r="M4" s="403" t="s">
        <v>1279</v>
      </c>
      <c r="N4" s="403" t="s">
        <v>1280</v>
      </c>
      <c r="O4" s="403" t="s">
        <v>1281</v>
      </c>
      <c r="P4" s="403" t="s">
        <v>1282</v>
      </c>
      <c r="Q4" s="403" t="s">
        <v>1283</v>
      </c>
      <c r="R4" s="403" t="s">
        <v>1284</v>
      </c>
      <c r="S4" s="403" t="s">
        <v>1285</v>
      </c>
      <c r="T4" s="403" t="s">
        <v>1286</v>
      </c>
    </row>
    <row r="5" spans="1:237">
      <c r="E5" s="403" t="s">
        <v>570</v>
      </c>
      <c r="F5" s="403" t="s">
        <v>571</v>
      </c>
      <c r="J5" s="403">
        <v>4</v>
      </c>
      <c r="L5" s="403" t="s">
        <v>572</v>
      </c>
    </row>
    <row r="6" spans="1:237">
      <c r="B6" s="403" t="s">
        <v>573</v>
      </c>
      <c r="C6" s="403" t="s">
        <v>574</v>
      </c>
      <c r="E6" s="403" t="s">
        <v>573</v>
      </c>
      <c r="F6" s="403" t="s">
        <v>568</v>
      </c>
      <c r="G6" s="403">
        <v>5</v>
      </c>
      <c r="J6" s="403">
        <v>5</v>
      </c>
      <c r="L6" s="403" t="s">
        <v>721</v>
      </c>
      <c r="M6" s="403" t="s">
        <v>576</v>
      </c>
      <c r="N6" s="403" t="s">
        <v>575</v>
      </c>
      <c r="O6" s="403" t="s">
        <v>723</v>
      </c>
      <c r="P6" s="403" t="s">
        <v>1287</v>
      </c>
      <c r="Q6" s="403" t="s">
        <v>725</v>
      </c>
    </row>
    <row r="7" spans="1:237">
      <c r="B7" s="403" t="s">
        <v>580</v>
      </c>
      <c r="C7" s="403" t="s">
        <v>574</v>
      </c>
      <c r="E7" s="403" t="s">
        <v>580</v>
      </c>
      <c r="F7" s="403" t="s">
        <v>568</v>
      </c>
      <c r="G7" s="403">
        <v>12</v>
      </c>
      <c r="H7" s="403" t="s">
        <v>1288</v>
      </c>
      <c r="J7" s="403">
        <v>6</v>
      </c>
      <c r="L7" s="403" t="s">
        <v>1289</v>
      </c>
      <c r="M7" s="403" t="s">
        <v>1290</v>
      </c>
      <c r="N7" s="403" t="s">
        <v>1291</v>
      </c>
      <c r="O7" s="403" t="s">
        <v>1292</v>
      </c>
      <c r="P7" s="403" t="s">
        <v>1293</v>
      </c>
      <c r="Q7" s="403" t="s">
        <v>1294</v>
      </c>
      <c r="R7" s="403" t="s">
        <v>1295</v>
      </c>
      <c r="S7" s="403" t="s">
        <v>1296</v>
      </c>
      <c r="T7" s="403" t="s">
        <v>1297</v>
      </c>
      <c r="U7" s="403" t="s">
        <v>1298</v>
      </c>
      <c r="V7" s="403" t="s">
        <v>1299</v>
      </c>
      <c r="W7" s="403" t="s">
        <v>1300</v>
      </c>
      <c r="X7" s="403" t="s">
        <v>1301</v>
      </c>
    </row>
    <row r="8" spans="1:237">
      <c r="B8" s="403" t="s">
        <v>581</v>
      </c>
      <c r="C8" s="403" t="s">
        <v>584</v>
      </c>
      <c r="D8" s="403">
        <v>2</v>
      </c>
      <c r="E8" s="403" t="s">
        <v>1302</v>
      </c>
      <c r="F8" s="403" t="s">
        <v>568</v>
      </c>
      <c r="G8" s="403">
        <v>20</v>
      </c>
      <c r="H8" s="404">
        <v>5.0015002500349998E+88</v>
      </c>
      <c r="J8" s="403">
        <v>7</v>
      </c>
      <c r="K8" s="403" t="s">
        <v>1303</v>
      </c>
      <c r="L8" s="403" t="s">
        <v>783</v>
      </c>
      <c r="M8" s="403" t="s">
        <v>726</v>
      </c>
      <c r="N8" s="403" t="s">
        <v>587</v>
      </c>
      <c r="O8" s="403" t="s">
        <v>588</v>
      </c>
      <c r="P8" s="403" t="s">
        <v>589</v>
      </c>
      <c r="Q8" s="403" t="s">
        <v>590</v>
      </c>
      <c r="R8" s="403" t="s">
        <v>591</v>
      </c>
      <c r="S8" s="403" t="s">
        <v>592</v>
      </c>
      <c r="T8" s="403" t="s">
        <v>593</v>
      </c>
      <c r="U8" s="403" t="s">
        <v>594</v>
      </c>
      <c r="V8" s="403" t="s">
        <v>595</v>
      </c>
      <c r="W8" s="403" t="s">
        <v>596</v>
      </c>
      <c r="X8" s="403" t="s">
        <v>597</v>
      </c>
      <c r="Y8" s="403" t="s">
        <v>598</v>
      </c>
      <c r="Z8" s="403" t="s">
        <v>599</v>
      </c>
      <c r="AA8" s="403" t="s">
        <v>600</v>
      </c>
      <c r="AB8" s="403" t="s">
        <v>601</v>
      </c>
      <c r="AC8" s="403" t="s">
        <v>602</v>
      </c>
      <c r="AD8" s="403" t="s">
        <v>603</v>
      </c>
      <c r="AE8" s="403" t="s">
        <v>604</v>
      </c>
      <c r="AF8" s="403" t="s">
        <v>605</v>
      </c>
    </row>
    <row r="9" spans="1:237">
      <c r="E9" s="403" t="s">
        <v>1304</v>
      </c>
      <c r="F9" s="403" t="s">
        <v>568</v>
      </c>
      <c r="G9" s="403">
        <v>20</v>
      </c>
      <c r="H9" s="404">
        <v>5.0015002500349998E+88</v>
      </c>
      <c r="J9" s="403">
        <v>8</v>
      </c>
      <c r="K9" s="403" t="s">
        <v>1303</v>
      </c>
      <c r="L9" s="403" t="s">
        <v>787</v>
      </c>
      <c r="M9" s="403" t="s">
        <v>726</v>
      </c>
      <c r="N9" s="403" t="s">
        <v>587</v>
      </c>
      <c r="O9" s="403" t="s">
        <v>588</v>
      </c>
      <c r="P9" s="403" t="s">
        <v>589</v>
      </c>
      <c r="Q9" s="403" t="s">
        <v>590</v>
      </c>
      <c r="R9" s="403" t="s">
        <v>591</v>
      </c>
      <c r="S9" s="403" t="s">
        <v>592</v>
      </c>
      <c r="T9" s="403" t="s">
        <v>593</v>
      </c>
      <c r="U9" s="403" t="s">
        <v>594</v>
      </c>
      <c r="V9" s="403" t="s">
        <v>595</v>
      </c>
      <c r="W9" s="403" t="s">
        <v>596</v>
      </c>
      <c r="X9" s="403" t="s">
        <v>597</v>
      </c>
      <c r="Y9" s="403" t="s">
        <v>598</v>
      </c>
      <c r="Z9" s="403" t="s">
        <v>599</v>
      </c>
      <c r="AA9" s="403" t="s">
        <v>600</v>
      </c>
      <c r="AB9" s="403" t="s">
        <v>601</v>
      </c>
      <c r="AC9" s="403" t="s">
        <v>602</v>
      </c>
      <c r="AD9" s="403" t="s">
        <v>603</v>
      </c>
      <c r="AE9" s="403" t="s">
        <v>604</v>
      </c>
      <c r="AF9" s="403" t="s">
        <v>605</v>
      </c>
      <c r="HK9" s="405"/>
    </row>
    <row r="10" spans="1:237">
      <c r="B10" s="403" t="s">
        <v>583</v>
      </c>
      <c r="C10" s="403" t="s">
        <v>574</v>
      </c>
      <c r="E10" s="403" t="s">
        <v>583</v>
      </c>
      <c r="F10" s="403" t="s">
        <v>568</v>
      </c>
      <c r="G10" s="403">
        <v>4</v>
      </c>
      <c r="H10" s="404"/>
      <c r="J10" s="403">
        <v>9</v>
      </c>
      <c r="L10" s="403" t="s">
        <v>1305</v>
      </c>
      <c r="M10" s="403" t="s">
        <v>1306</v>
      </c>
      <c r="N10" s="403" t="s">
        <v>1307</v>
      </c>
      <c r="O10" s="403" t="s">
        <v>1308</v>
      </c>
      <c r="P10" s="403" t="s">
        <v>1309</v>
      </c>
      <c r="HK10" s="405"/>
    </row>
    <row r="11" spans="1:237">
      <c r="B11" s="403" t="s">
        <v>607</v>
      </c>
      <c r="C11" s="403" t="s">
        <v>584</v>
      </c>
      <c r="D11" s="403">
        <v>2</v>
      </c>
      <c r="E11" s="403" t="s">
        <v>1310</v>
      </c>
      <c r="F11" s="403" t="s">
        <v>568</v>
      </c>
      <c r="G11" s="403">
        <v>12</v>
      </c>
      <c r="J11" s="403">
        <v>10</v>
      </c>
      <c r="K11" s="403" t="s">
        <v>1311</v>
      </c>
      <c r="L11" s="403" t="s">
        <v>1312</v>
      </c>
      <c r="M11" s="403" t="s">
        <v>1313</v>
      </c>
      <c r="N11" s="403" t="s">
        <v>1314</v>
      </c>
      <c r="O11" s="403" t="s">
        <v>1315</v>
      </c>
      <c r="P11" s="403" t="s">
        <v>1316</v>
      </c>
      <c r="Q11" s="403" t="s">
        <v>1317</v>
      </c>
      <c r="R11" s="403" t="s">
        <v>1318</v>
      </c>
      <c r="S11" s="403" t="s">
        <v>1319</v>
      </c>
      <c r="T11" s="403" t="s">
        <v>1320</v>
      </c>
      <c r="U11" s="403" t="s">
        <v>1321</v>
      </c>
      <c r="V11" s="403" t="s">
        <v>1322</v>
      </c>
      <c r="W11" s="403" t="s">
        <v>1323</v>
      </c>
      <c r="X11" s="403" t="s">
        <v>1324</v>
      </c>
    </row>
    <row r="12" spans="1:237">
      <c r="E12" s="403" t="s">
        <v>1325</v>
      </c>
      <c r="F12" s="403" t="s">
        <v>568</v>
      </c>
      <c r="G12" s="403">
        <v>12</v>
      </c>
      <c r="J12" s="403">
        <v>11</v>
      </c>
      <c r="K12" s="403" t="s">
        <v>1311</v>
      </c>
      <c r="L12" s="403" t="s">
        <v>1326</v>
      </c>
      <c r="M12" s="403" t="s">
        <v>1313</v>
      </c>
      <c r="N12" s="403" t="s">
        <v>1314</v>
      </c>
      <c r="O12" s="403" t="s">
        <v>1315</v>
      </c>
      <c r="P12" s="403" t="s">
        <v>1316</v>
      </c>
      <c r="Q12" s="403" t="s">
        <v>1317</v>
      </c>
      <c r="R12" s="403" t="s">
        <v>1318</v>
      </c>
      <c r="S12" s="403" t="s">
        <v>1319</v>
      </c>
      <c r="T12" s="403" t="s">
        <v>1320</v>
      </c>
      <c r="U12" s="403" t="s">
        <v>1321</v>
      </c>
      <c r="V12" s="403" t="s">
        <v>1322</v>
      </c>
      <c r="W12" s="403" t="s">
        <v>1323</v>
      </c>
      <c r="X12" s="403" t="s">
        <v>1324</v>
      </c>
    </row>
    <row r="13" spans="1:237">
      <c r="B13" s="403" t="s">
        <v>608</v>
      </c>
      <c r="C13" s="403" t="s">
        <v>584</v>
      </c>
      <c r="D13" s="403">
        <v>2</v>
      </c>
      <c r="E13" s="403" t="s">
        <v>1327</v>
      </c>
      <c r="F13" s="403" t="s">
        <v>568</v>
      </c>
      <c r="G13" s="403">
        <v>2</v>
      </c>
      <c r="J13" s="403">
        <v>12</v>
      </c>
      <c r="K13" s="403" t="s">
        <v>1328</v>
      </c>
      <c r="L13" s="403" t="s">
        <v>1312</v>
      </c>
      <c r="M13" s="403" t="s">
        <v>1329</v>
      </c>
      <c r="N13" s="403" t="s">
        <v>1330</v>
      </c>
    </row>
    <row r="14" spans="1:237">
      <c r="E14" s="403" t="s">
        <v>1331</v>
      </c>
      <c r="F14" s="403" t="s">
        <v>568</v>
      </c>
      <c r="G14" s="403">
        <v>2</v>
      </c>
      <c r="J14" s="403">
        <v>13</v>
      </c>
      <c r="K14" s="403" t="s">
        <v>1328</v>
      </c>
      <c r="L14" s="403" t="s">
        <v>1326</v>
      </c>
      <c r="M14" s="403" t="s">
        <v>1329</v>
      </c>
      <c r="N14" s="403" t="s">
        <v>1330</v>
      </c>
    </row>
    <row r="15" spans="1:237">
      <c r="B15" s="403" t="s">
        <v>609</v>
      </c>
      <c r="C15" s="403" t="s">
        <v>613</v>
      </c>
      <c r="D15" s="403">
        <v>2</v>
      </c>
      <c r="E15" s="403" t="s">
        <v>1332</v>
      </c>
      <c r="F15" s="403" t="s">
        <v>611</v>
      </c>
      <c r="G15" s="403">
        <v>8</v>
      </c>
      <c r="J15" s="403">
        <v>14</v>
      </c>
      <c r="K15" s="403" t="s">
        <v>1333</v>
      </c>
      <c r="L15" s="403" t="s">
        <v>1334</v>
      </c>
      <c r="M15" s="403" t="s">
        <v>1335</v>
      </c>
      <c r="N15" s="403" t="s">
        <v>1336</v>
      </c>
      <c r="O15" s="403" t="s">
        <v>1337</v>
      </c>
      <c r="P15" s="403" t="s">
        <v>1338</v>
      </c>
      <c r="Q15" s="403" t="s">
        <v>1339</v>
      </c>
      <c r="R15" s="403" t="s">
        <v>1340</v>
      </c>
      <c r="S15" s="403" t="s">
        <v>1341</v>
      </c>
      <c r="T15" s="403" t="s">
        <v>1342</v>
      </c>
    </row>
    <row r="16" spans="1:237">
      <c r="E16" s="403" t="s">
        <v>1343</v>
      </c>
      <c r="F16" s="403" t="s">
        <v>611</v>
      </c>
      <c r="G16" s="403">
        <v>8</v>
      </c>
      <c r="J16" s="403">
        <v>15</v>
      </c>
      <c r="K16" s="403" t="s">
        <v>1333</v>
      </c>
      <c r="L16" s="403" t="s">
        <v>1344</v>
      </c>
      <c r="M16" s="403" t="s">
        <v>1335</v>
      </c>
      <c r="N16" s="403" t="s">
        <v>1336</v>
      </c>
      <c r="O16" s="403" t="s">
        <v>1337</v>
      </c>
      <c r="P16" s="403" t="s">
        <v>1338</v>
      </c>
      <c r="Q16" s="403" t="s">
        <v>1339</v>
      </c>
      <c r="R16" s="403" t="s">
        <v>1340</v>
      </c>
      <c r="S16" s="403" t="s">
        <v>1341</v>
      </c>
      <c r="T16" s="403" t="s">
        <v>1342</v>
      </c>
    </row>
    <row r="17" spans="2:223">
      <c r="B17" s="403" t="s">
        <v>616</v>
      </c>
      <c r="C17" s="403" t="s">
        <v>582</v>
      </c>
      <c r="D17" s="403">
        <v>5</v>
      </c>
      <c r="E17" s="403" t="s">
        <v>20</v>
      </c>
      <c r="F17" s="403" t="s">
        <v>571</v>
      </c>
      <c r="J17" s="403">
        <v>16</v>
      </c>
      <c r="K17" s="403" t="s">
        <v>1345</v>
      </c>
      <c r="L17" s="403" t="s">
        <v>1346</v>
      </c>
    </row>
    <row r="18" spans="2:223">
      <c r="E18" s="403" t="s">
        <v>21</v>
      </c>
      <c r="F18" s="403" t="s">
        <v>571</v>
      </c>
      <c r="J18" s="403">
        <v>17</v>
      </c>
      <c r="K18" s="403" t="s">
        <v>1345</v>
      </c>
      <c r="L18" s="403" t="s">
        <v>1347</v>
      </c>
    </row>
    <row r="19" spans="2:223">
      <c r="E19" s="403" t="s">
        <v>22</v>
      </c>
      <c r="F19" s="403" t="s">
        <v>571</v>
      </c>
      <c r="J19" s="403">
        <v>18</v>
      </c>
      <c r="K19" s="403" t="s">
        <v>1345</v>
      </c>
      <c r="L19" s="403" t="s">
        <v>1348</v>
      </c>
    </row>
    <row r="20" spans="2:223">
      <c r="E20" s="403" t="s">
        <v>23</v>
      </c>
      <c r="F20" s="403" t="s">
        <v>571</v>
      </c>
      <c r="J20" s="403">
        <v>19</v>
      </c>
      <c r="K20" s="403" t="s">
        <v>1345</v>
      </c>
      <c r="L20" s="403" t="s">
        <v>1349</v>
      </c>
    </row>
    <row r="21" spans="2:223">
      <c r="E21" s="403" t="s">
        <v>24</v>
      </c>
      <c r="F21" s="403" t="s">
        <v>571</v>
      </c>
      <c r="J21" s="403">
        <v>20</v>
      </c>
      <c r="K21" s="403" t="s">
        <v>1345</v>
      </c>
      <c r="L21" s="403" t="s">
        <v>1350</v>
      </c>
    </row>
    <row r="22" spans="2:223">
      <c r="B22" s="403" t="s">
        <v>617</v>
      </c>
      <c r="C22" s="403" t="s">
        <v>610</v>
      </c>
      <c r="E22" s="403" t="s">
        <v>617</v>
      </c>
      <c r="F22" s="403" t="s">
        <v>611</v>
      </c>
      <c r="G22" s="403">
        <v>40</v>
      </c>
      <c r="J22" s="403">
        <v>21</v>
      </c>
      <c r="L22" s="403" t="s">
        <v>1351</v>
      </c>
      <c r="M22" s="403" t="s">
        <v>1352</v>
      </c>
      <c r="N22" s="403" t="s">
        <v>1353</v>
      </c>
      <c r="O22" s="403" t="s">
        <v>1354</v>
      </c>
      <c r="P22" s="403" t="s">
        <v>1355</v>
      </c>
      <c r="Q22" s="403" t="s">
        <v>1356</v>
      </c>
      <c r="R22" s="403" t="s">
        <v>1357</v>
      </c>
      <c r="S22" s="403" t="s">
        <v>1358</v>
      </c>
      <c r="T22" s="403" t="s">
        <v>1</v>
      </c>
      <c r="U22" s="403" t="s">
        <v>1359</v>
      </c>
      <c r="V22" s="403" t="s">
        <v>1360</v>
      </c>
      <c r="W22" s="403" t="s">
        <v>1361</v>
      </c>
      <c r="X22" s="403" t="s">
        <v>5</v>
      </c>
      <c r="Y22" s="403" t="s">
        <v>1362</v>
      </c>
      <c r="Z22" s="403" t="s">
        <v>7</v>
      </c>
      <c r="AA22" s="403" t="s">
        <v>1363</v>
      </c>
      <c r="AB22" s="403" t="s">
        <v>1364</v>
      </c>
      <c r="AC22" s="403" t="s">
        <v>1365</v>
      </c>
      <c r="AD22" s="403" t="s">
        <v>1366</v>
      </c>
      <c r="AE22" s="403" t="s">
        <v>1367</v>
      </c>
      <c r="AF22" s="403" t="s">
        <v>8</v>
      </c>
      <c r="AG22" s="403" t="s">
        <v>1368</v>
      </c>
      <c r="AH22" s="403" t="s">
        <v>1369</v>
      </c>
      <c r="AI22" s="403" t="s">
        <v>1370</v>
      </c>
      <c r="AJ22" s="403" t="s">
        <v>1371</v>
      </c>
      <c r="AK22" s="403" t="s">
        <v>4</v>
      </c>
      <c r="AL22" s="403" t="s">
        <v>1372</v>
      </c>
      <c r="AM22" s="403" t="s">
        <v>6</v>
      </c>
      <c r="AN22" s="403" t="s">
        <v>1373</v>
      </c>
      <c r="AO22" s="403" t="s">
        <v>1374</v>
      </c>
      <c r="AP22" s="403" t="s">
        <v>1375</v>
      </c>
      <c r="AQ22" s="403" t="s">
        <v>1376</v>
      </c>
      <c r="AR22" s="403" t="s">
        <v>1377</v>
      </c>
      <c r="AS22" s="403" t="s">
        <v>1378</v>
      </c>
      <c r="AT22" s="403" t="s">
        <v>3</v>
      </c>
      <c r="AU22" s="403" t="s">
        <v>1379</v>
      </c>
      <c r="AV22" s="403" t="s">
        <v>1380</v>
      </c>
      <c r="AW22" s="403" t="s">
        <v>1381</v>
      </c>
      <c r="AX22" s="403" t="s">
        <v>1382</v>
      </c>
      <c r="AY22" s="403" t="s">
        <v>1383</v>
      </c>
      <c r="AZ22" s="403" t="s">
        <v>755</v>
      </c>
    </row>
    <row r="23" spans="2:223">
      <c r="B23" s="403" t="s">
        <v>618</v>
      </c>
      <c r="C23" s="403" t="s">
        <v>613</v>
      </c>
      <c r="D23" s="403">
        <v>9</v>
      </c>
      <c r="E23" s="403" t="s">
        <v>1384</v>
      </c>
      <c r="F23" s="403" t="s">
        <v>611</v>
      </c>
      <c r="G23" s="403">
        <v>26</v>
      </c>
      <c r="J23" s="403">
        <v>22</v>
      </c>
      <c r="K23" s="403" t="s">
        <v>1385</v>
      </c>
      <c r="L23" s="403" t="s">
        <v>1386</v>
      </c>
      <c r="M23" s="403" t="s">
        <v>1387</v>
      </c>
      <c r="N23" s="403" t="s">
        <v>745</v>
      </c>
      <c r="O23" s="403" t="s">
        <v>1388</v>
      </c>
      <c r="P23" s="403" t="s">
        <v>1389</v>
      </c>
      <c r="Q23" s="403" t="s">
        <v>1390</v>
      </c>
      <c r="R23" s="403" t="s">
        <v>1391</v>
      </c>
      <c r="S23" s="403" t="s">
        <v>746</v>
      </c>
      <c r="T23" s="403" t="s">
        <v>1392</v>
      </c>
      <c r="U23" s="403" t="s">
        <v>1393</v>
      </c>
      <c r="V23" s="403" t="s">
        <v>747</v>
      </c>
      <c r="W23" s="403" t="s">
        <v>1394</v>
      </c>
      <c r="X23" s="403" t="s">
        <v>1395</v>
      </c>
      <c r="Y23" s="403" t="s">
        <v>750</v>
      </c>
      <c r="Z23" s="403" t="s">
        <v>1396</v>
      </c>
      <c r="AA23" s="403" t="s">
        <v>1397</v>
      </c>
      <c r="AB23" s="403" t="s">
        <v>1398</v>
      </c>
      <c r="AC23" s="403" t="s">
        <v>1399</v>
      </c>
      <c r="AD23" s="403" t="s">
        <v>1400</v>
      </c>
      <c r="AE23" s="403" t="s">
        <v>1401</v>
      </c>
      <c r="AF23" s="403" t="s">
        <v>1402</v>
      </c>
      <c r="AG23" s="403" t="s">
        <v>1403</v>
      </c>
      <c r="AH23" s="403" t="s">
        <v>1404</v>
      </c>
      <c r="AI23" s="403" t="s">
        <v>1405</v>
      </c>
      <c r="AJ23" s="403" t="s">
        <v>748</v>
      </c>
      <c r="AK23" s="403" t="s">
        <v>749</v>
      </c>
      <c r="AL23" s="403" t="s">
        <v>729</v>
      </c>
    </row>
    <row r="24" spans="2:223">
      <c r="E24" s="403" t="s">
        <v>1406</v>
      </c>
      <c r="F24" s="403" t="s">
        <v>611</v>
      </c>
      <c r="G24" s="403">
        <v>26</v>
      </c>
      <c r="J24" s="403">
        <v>23</v>
      </c>
      <c r="K24" s="403" t="s">
        <v>1385</v>
      </c>
      <c r="L24" s="403" t="s">
        <v>1407</v>
      </c>
      <c r="M24" s="403" t="s">
        <v>1387</v>
      </c>
      <c r="N24" s="403" t="s">
        <v>745</v>
      </c>
      <c r="O24" s="403" t="s">
        <v>1388</v>
      </c>
      <c r="P24" s="403" t="s">
        <v>1389</v>
      </c>
      <c r="Q24" s="403" t="s">
        <v>1390</v>
      </c>
      <c r="R24" s="403" t="s">
        <v>1391</v>
      </c>
      <c r="S24" s="403" t="s">
        <v>746</v>
      </c>
      <c r="T24" s="403" t="s">
        <v>1392</v>
      </c>
      <c r="U24" s="403" t="s">
        <v>1393</v>
      </c>
      <c r="V24" s="403" t="s">
        <v>747</v>
      </c>
      <c r="W24" s="403" t="s">
        <v>1394</v>
      </c>
      <c r="X24" s="403" t="s">
        <v>1395</v>
      </c>
      <c r="Y24" s="403" t="s">
        <v>750</v>
      </c>
      <c r="Z24" s="403" t="s">
        <v>1396</v>
      </c>
      <c r="AA24" s="403" t="s">
        <v>1397</v>
      </c>
      <c r="AB24" s="403" t="s">
        <v>1398</v>
      </c>
      <c r="AC24" s="403" t="s">
        <v>1399</v>
      </c>
      <c r="AD24" s="403" t="s">
        <v>1400</v>
      </c>
      <c r="AE24" s="403" t="s">
        <v>1401</v>
      </c>
      <c r="AF24" s="403" t="s">
        <v>1402</v>
      </c>
      <c r="AG24" s="403" t="s">
        <v>1403</v>
      </c>
      <c r="AH24" s="403" t="s">
        <v>1404</v>
      </c>
      <c r="AI24" s="403" t="s">
        <v>1405</v>
      </c>
      <c r="AJ24" s="403" t="s">
        <v>748</v>
      </c>
      <c r="AK24" s="403" t="s">
        <v>749</v>
      </c>
      <c r="AL24" s="403" t="s">
        <v>729</v>
      </c>
    </row>
    <row r="25" spans="2:223">
      <c r="E25" s="403" t="s">
        <v>1408</v>
      </c>
      <c r="F25" s="403" t="s">
        <v>611</v>
      </c>
      <c r="G25" s="403">
        <v>26</v>
      </c>
      <c r="J25" s="403">
        <v>24</v>
      </c>
      <c r="K25" s="403" t="s">
        <v>1385</v>
      </c>
      <c r="L25" s="403" t="s">
        <v>1409</v>
      </c>
      <c r="M25" s="403" t="s">
        <v>1387</v>
      </c>
      <c r="N25" s="403" t="s">
        <v>745</v>
      </c>
      <c r="O25" s="403" t="s">
        <v>1388</v>
      </c>
      <c r="P25" s="403" t="s">
        <v>1389</v>
      </c>
      <c r="Q25" s="403" t="s">
        <v>1390</v>
      </c>
      <c r="R25" s="403" t="s">
        <v>1391</v>
      </c>
      <c r="S25" s="403" t="s">
        <v>746</v>
      </c>
      <c r="T25" s="403" t="s">
        <v>1392</v>
      </c>
      <c r="U25" s="403" t="s">
        <v>1393</v>
      </c>
      <c r="V25" s="403" t="s">
        <v>747</v>
      </c>
      <c r="W25" s="403" t="s">
        <v>1394</v>
      </c>
      <c r="X25" s="403" t="s">
        <v>1395</v>
      </c>
      <c r="Y25" s="403" t="s">
        <v>750</v>
      </c>
      <c r="Z25" s="403" t="s">
        <v>1396</v>
      </c>
      <c r="AA25" s="403" t="s">
        <v>1397</v>
      </c>
      <c r="AB25" s="403" t="s">
        <v>1398</v>
      </c>
      <c r="AC25" s="403" t="s">
        <v>1399</v>
      </c>
      <c r="AD25" s="403" t="s">
        <v>1400</v>
      </c>
      <c r="AE25" s="403" t="s">
        <v>1401</v>
      </c>
      <c r="AF25" s="403" t="s">
        <v>1402</v>
      </c>
      <c r="AG25" s="403" t="s">
        <v>1403</v>
      </c>
      <c r="AH25" s="403" t="s">
        <v>1404</v>
      </c>
      <c r="AI25" s="403" t="s">
        <v>1405</v>
      </c>
      <c r="AJ25" s="403" t="s">
        <v>748</v>
      </c>
      <c r="AK25" s="403" t="s">
        <v>749</v>
      </c>
      <c r="AL25" s="403" t="s">
        <v>729</v>
      </c>
    </row>
    <row r="26" spans="2:223">
      <c r="E26" s="403" t="s">
        <v>1410</v>
      </c>
      <c r="F26" s="403" t="s">
        <v>611</v>
      </c>
      <c r="G26" s="403">
        <v>26</v>
      </c>
      <c r="J26" s="403">
        <v>25</v>
      </c>
      <c r="K26" s="403" t="s">
        <v>1385</v>
      </c>
      <c r="L26" s="403" t="s">
        <v>1411</v>
      </c>
      <c r="M26" s="403" t="s">
        <v>1387</v>
      </c>
      <c r="N26" s="403" t="s">
        <v>745</v>
      </c>
      <c r="O26" s="403" t="s">
        <v>1388</v>
      </c>
      <c r="P26" s="403" t="s">
        <v>1389</v>
      </c>
      <c r="Q26" s="403" t="s">
        <v>1390</v>
      </c>
      <c r="R26" s="403" t="s">
        <v>1391</v>
      </c>
      <c r="S26" s="403" t="s">
        <v>746</v>
      </c>
      <c r="T26" s="403" t="s">
        <v>1392</v>
      </c>
      <c r="U26" s="403" t="s">
        <v>1393</v>
      </c>
      <c r="V26" s="403" t="s">
        <v>747</v>
      </c>
      <c r="W26" s="403" t="s">
        <v>1394</v>
      </c>
      <c r="X26" s="403" t="s">
        <v>1395</v>
      </c>
      <c r="Y26" s="403" t="s">
        <v>750</v>
      </c>
      <c r="Z26" s="403" t="s">
        <v>1396</v>
      </c>
      <c r="AA26" s="403" t="s">
        <v>1397</v>
      </c>
      <c r="AB26" s="403" t="s">
        <v>1398</v>
      </c>
      <c r="AC26" s="403" t="s">
        <v>1399</v>
      </c>
      <c r="AD26" s="403" t="s">
        <v>1400</v>
      </c>
      <c r="AE26" s="403" t="s">
        <v>1401</v>
      </c>
      <c r="AF26" s="403" t="s">
        <v>1402</v>
      </c>
      <c r="AG26" s="403" t="s">
        <v>1403</v>
      </c>
      <c r="AH26" s="403" t="s">
        <v>1404</v>
      </c>
      <c r="AI26" s="403" t="s">
        <v>1405</v>
      </c>
      <c r="AJ26" s="403" t="s">
        <v>748</v>
      </c>
      <c r="AK26" s="403" t="s">
        <v>749</v>
      </c>
      <c r="AL26" s="403" t="s">
        <v>729</v>
      </c>
    </row>
    <row r="27" spans="2:223">
      <c r="E27" s="403" t="s">
        <v>1412</v>
      </c>
      <c r="F27" s="403" t="s">
        <v>611</v>
      </c>
      <c r="G27" s="403">
        <v>26</v>
      </c>
      <c r="J27" s="403">
        <v>26</v>
      </c>
      <c r="K27" s="403" t="s">
        <v>1385</v>
      </c>
      <c r="L27" s="403" t="s">
        <v>1413</v>
      </c>
      <c r="M27" s="403" t="s">
        <v>1387</v>
      </c>
      <c r="N27" s="403" t="s">
        <v>745</v>
      </c>
      <c r="O27" s="403" t="s">
        <v>1388</v>
      </c>
      <c r="P27" s="403" t="s">
        <v>1389</v>
      </c>
      <c r="Q27" s="403" t="s">
        <v>1390</v>
      </c>
      <c r="R27" s="403" t="s">
        <v>1391</v>
      </c>
      <c r="S27" s="403" t="s">
        <v>746</v>
      </c>
      <c r="T27" s="403" t="s">
        <v>1392</v>
      </c>
      <c r="U27" s="403" t="s">
        <v>1393</v>
      </c>
      <c r="V27" s="403" t="s">
        <v>747</v>
      </c>
      <c r="W27" s="403" t="s">
        <v>1394</v>
      </c>
      <c r="X27" s="403" t="s">
        <v>1395</v>
      </c>
      <c r="Y27" s="403" t="s">
        <v>750</v>
      </c>
      <c r="Z27" s="403" t="s">
        <v>1396</v>
      </c>
      <c r="AA27" s="403" t="s">
        <v>1397</v>
      </c>
      <c r="AB27" s="403" t="s">
        <v>1398</v>
      </c>
      <c r="AC27" s="403" t="s">
        <v>1399</v>
      </c>
      <c r="AD27" s="403" t="s">
        <v>1400</v>
      </c>
      <c r="AE27" s="403" t="s">
        <v>1401</v>
      </c>
      <c r="AF27" s="403" t="s">
        <v>1402</v>
      </c>
      <c r="AG27" s="403" t="s">
        <v>1403</v>
      </c>
      <c r="AH27" s="403" t="s">
        <v>1404</v>
      </c>
      <c r="AI27" s="403" t="s">
        <v>1405</v>
      </c>
      <c r="AJ27" s="403" t="s">
        <v>748</v>
      </c>
      <c r="AK27" s="403" t="s">
        <v>749</v>
      </c>
      <c r="AL27" s="403" t="s">
        <v>729</v>
      </c>
      <c r="HK27" s="405"/>
      <c r="HM27" s="405"/>
      <c r="HO27" s="405"/>
    </row>
    <row r="28" spans="2:223">
      <c r="E28" s="403" t="s">
        <v>1414</v>
      </c>
      <c r="F28" s="403" t="s">
        <v>611</v>
      </c>
      <c r="G28" s="403">
        <v>26</v>
      </c>
      <c r="J28" s="403">
        <v>27</v>
      </c>
      <c r="K28" s="403" t="s">
        <v>1385</v>
      </c>
      <c r="L28" s="403" t="s">
        <v>1415</v>
      </c>
      <c r="M28" s="403" t="s">
        <v>1387</v>
      </c>
      <c r="N28" s="403" t="s">
        <v>745</v>
      </c>
      <c r="O28" s="403" t="s">
        <v>1388</v>
      </c>
      <c r="P28" s="403" t="s">
        <v>1389</v>
      </c>
      <c r="Q28" s="403" t="s">
        <v>1390</v>
      </c>
      <c r="R28" s="403" t="s">
        <v>1391</v>
      </c>
      <c r="S28" s="403" t="s">
        <v>746</v>
      </c>
      <c r="T28" s="403" t="s">
        <v>1392</v>
      </c>
      <c r="U28" s="403" t="s">
        <v>1393</v>
      </c>
      <c r="V28" s="403" t="s">
        <v>747</v>
      </c>
      <c r="W28" s="403" t="s">
        <v>1394</v>
      </c>
      <c r="X28" s="403" t="s">
        <v>1395</v>
      </c>
      <c r="Y28" s="403" t="s">
        <v>750</v>
      </c>
      <c r="Z28" s="403" t="s">
        <v>1396</v>
      </c>
      <c r="AA28" s="403" t="s">
        <v>1397</v>
      </c>
      <c r="AB28" s="403" t="s">
        <v>1398</v>
      </c>
      <c r="AC28" s="403" t="s">
        <v>1399</v>
      </c>
      <c r="AD28" s="403" t="s">
        <v>1400</v>
      </c>
      <c r="AE28" s="403" t="s">
        <v>1401</v>
      </c>
      <c r="AF28" s="403" t="s">
        <v>1402</v>
      </c>
      <c r="AG28" s="403" t="s">
        <v>1403</v>
      </c>
      <c r="AH28" s="403" t="s">
        <v>1404</v>
      </c>
      <c r="AI28" s="403" t="s">
        <v>1405</v>
      </c>
      <c r="AJ28" s="403" t="s">
        <v>748</v>
      </c>
      <c r="AK28" s="403" t="s">
        <v>749</v>
      </c>
      <c r="AL28" s="403" t="s">
        <v>729</v>
      </c>
      <c r="HK28" s="405"/>
      <c r="HM28" s="405"/>
      <c r="HO28" s="405"/>
    </row>
    <row r="29" spans="2:223">
      <c r="E29" s="403" t="s">
        <v>1416</v>
      </c>
      <c r="F29" s="403" t="s">
        <v>611</v>
      </c>
      <c r="G29" s="403">
        <v>26</v>
      </c>
      <c r="J29" s="403">
        <v>28</v>
      </c>
      <c r="K29" s="403" t="s">
        <v>1385</v>
      </c>
      <c r="L29" s="403" t="s">
        <v>1417</v>
      </c>
      <c r="M29" s="403" t="s">
        <v>1387</v>
      </c>
      <c r="N29" s="403" t="s">
        <v>745</v>
      </c>
      <c r="O29" s="403" t="s">
        <v>1388</v>
      </c>
      <c r="P29" s="403" t="s">
        <v>1389</v>
      </c>
      <c r="Q29" s="403" t="s">
        <v>1390</v>
      </c>
      <c r="R29" s="403" t="s">
        <v>1391</v>
      </c>
      <c r="S29" s="403" t="s">
        <v>746</v>
      </c>
      <c r="T29" s="403" t="s">
        <v>1392</v>
      </c>
      <c r="U29" s="403" t="s">
        <v>1393</v>
      </c>
      <c r="V29" s="403" t="s">
        <v>747</v>
      </c>
      <c r="W29" s="403" t="s">
        <v>1394</v>
      </c>
      <c r="X29" s="403" t="s">
        <v>1395</v>
      </c>
      <c r="Y29" s="403" t="s">
        <v>750</v>
      </c>
      <c r="Z29" s="403" t="s">
        <v>1396</v>
      </c>
      <c r="AA29" s="403" t="s">
        <v>1397</v>
      </c>
      <c r="AB29" s="403" t="s">
        <v>1398</v>
      </c>
      <c r="AC29" s="403" t="s">
        <v>1399</v>
      </c>
      <c r="AD29" s="403" t="s">
        <v>1400</v>
      </c>
      <c r="AE29" s="403" t="s">
        <v>1401</v>
      </c>
      <c r="AF29" s="403" t="s">
        <v>1402</v>
      </c>
      <c r="AG29" s="403" t="s">
        <v>1403</v>
      </c>
      <c r="AH29" s="403" t="s">
        <v>1404</v>
      </c>
      <c r="AI29" s="403" t="s">
        <v>1405</v>
      </c>
      <c r="AJ29" s="403" t="s">
        <v>748</v>
      </c>
      <c r="AK29" s="403" t="s">
        <v>749</v>
      </c>
      <c r="AL29" s="403" t="s">
        <v>729</v>
      </c>
      <c r="HK29" s="405"/>
      <c r="HM29" s="405"/>
      <c r="HO29" s="405"/>
    </row>
    <row r="30" spans="2:223">
      <c r="E30" s="403" t="s">
        <v>1418</v>
      </c>
      <c r="F30" s="403" t="s">
        <v>611</v>
      </c>
      <c r="G30" s="403">
        <v>26</v>
      </c>
      <c r="J30" s="403">
        <v>29</v>
      </c>
      <c r="K30" s="403" t="s">
        <v>1385</v>
      </c>
      <c r="L30" s="403" t="s">
        <v>1419</v>
      </c>
      <c r="M30" s="403" t="s">
        <v>1387</v>
      </c>
      <c r="N30" s="403" t="s">
        <v>745</v>
      </c>
      <c r="O30" s="403" t="s">
        <v>1388</v>
      </c>
      <c r="P30" s="403" t="s">
        <v>1389</v>
      </c>
      <c r="Q30" s="403" t="s">
        <v>1390</v>
      </c>
      <c r="R30" s="403" t="s">
        <v>1391</v>
      </c>
      <c r="S30" s="403" t="s">
        <v>746</v>
      </c>
      <c r="T30" s="403" t="s">
        <v>1392</v>
      </c>
      <c r="U30" s="403" t="s">
        <v>1393</v>
      </c>
      <c r="V30" s="403" t="s">
        <v>747</v>
      </c>
      <c r="W30" s="403" t="s">
        <v>1394</v>
      </c>
      <c r="X30" s="403" t="s">
        <v>1395</v>
      </c>
      <c r="Y30" s="403" t="s">
        <v>750</v>
      </c>
      <c r="Z30" s="403" t="s">
        <v>1396</v>
      </c>
      <c r="AA30" s="403" t="s">
        <v>1397</v>
      </c>
      <c r="AB30" s="403" t="s">
        <v>1398</v>
      </c>
      <c r="AC30" s="403" t="s">
        <v>1399</v>
      </c>
      <c r="AD30" s="403" t="s">
        <v>1400</v>
      </c>
      <c r="AE30" s="403" t="s">
        <v>1401</v>
      </c>
      <c r="AF30" s="403" t="s">
        <v>1402</v>
      </c>
      <c r="AG30" s="403" t="s">
        <v>1403</v>
      </c>
      <c r="AH30" s="403" t="s">
        <v>1404</v>
      </c>
      <c r="AI30" s="403" t="s">
        <v>1405</v>
      </c>
      <c r="AJ30" s="403" t="s">
        <v>748</v>
      </c>
      <c r="AK30" s="403" t="s">
        <v>749</v>
      </c>
      <c r="AL30" s="403" t="s">
        <v>729</v>
      </c>
      <c r="HK30" s="405"/>
      <c r="HM30" s="405"/>
      <c r="HO30" s="405"/>
    </row>
    <row r="31" spans="2:223">
      <c r="E31" s="403" t="s">
        <v>1420</v>
      </c>
      <c r="F31" s="403" t="s">
        <v>611</v>
      </c>
      <c r="G31" s="403">
        <v>26</v>
      </c>
      <c r="J31" s="403">
        <v>30</v>
      </c>
      <c r="K31" s="403" t="s">
        <v>1385</v>
      </c>
      <c r="L31" s="403" t="s">
        <v>2</v>
      </c>
      <c r="M31" s="403" t="s">
        <v>1387</v>
      </c>
      <c r="N31" s="403" t="s">
        <v>745</v>
      </c>
      <c r="O31" s="403" t="s">
        <v>1388</v>
      </c>
      <c r="P31" s="403" t="s">
        <v>1389</v>
      </c>
      <c r="Q31" s="403" t="s">
        <v>1390</v>
      </c>
      <c r="R31" s="403" t="s">
        <v>1391</v>
      </c>
      <c r="S31" s="403" t="s">
        <v>746</v>
      </c>
      <c r="T31" s="403" t="s">
        <v>1392</v>
      </c>
      <c r="U31" s="403" t="s">
        <v>1393</v>
      </c>
      <c r="V31" s="403" t="s">
        <v>747</v>
      </c>
      <c r="W31" s="403" t="s">
        <v>1394</v>
      </c>
      <c r="X31" s="403" t="s">
        <v>1395</v>
      </c>
      <c r="Y31" s="403" t="s">
        <v>750</v>
      </c>
      <c r="Z31" s="403" t="s">
        <v>1396</v>
      </c>
      <c r="AA31" s="403" t="s">
        <v>1397</v>
      </c>
      <c r="AB31" s="403" t="s">
        <v>1398</v>
      </c>
      <c r="AC31" s="403" t="s">
        <v>1399</v>
      </c>
      <c r="AD31" s="403" t="s">
        <v>1400</v>
      </c>
      <c r="AE31" s="403" t="s">
        <v>1401</v>
      </c>
      <c r="AF31" s="403" t="s">
        <v>1402</v>
      </c>
      <c r="AG31" s="403" t="s">
        <v>1403</v>
      </c>
      <c r="AH31" s="403" t="s">
        <v>1404</v>
      </c>
      <c r="AI31" s="403" t="s">
        <v>1405</v>
      </c>
      <c r="AJ31" s="403" t="s">
        <v>748</v>
      </c>
      <c r="AK31" s="403" t="s">
        <v>749</v>
      </c>
      <c r="AL31" s="403" t="s">
        <v>729</v>
      </c>
      <c r="HK31" s="405"/>
      <c r="HM31" s="405"/>
      <c r="HO31" s="405"/>
    </row>
    <row r="32" spans="2:223">
      <c r="B32" s="403" t="s">
        <v>619</v>
      </c>
      <c r="C32" s="403" t="s">
        <v>584</v>
      </c>
      <c r="D32" s="403">
        <v>9</v>
      </c>
      <c r="E32" s="403" t="s">
        <v>1421</v>
      </c>
      <c r="F32" s="403" t="s">
        <v>568</v>
      </c>
      <c r="G32" s="403">
        <v>6</v>
      </c>
      <c r="H32" s="403" t="s">
        <v>794</v>
      </c>
      <c r="J32" s="403">
        <v>31</v>
      </c>
      <c r="K32" s="403" t="s">
        <v>1422</v>
      </c>
      <c r="L32" s="403" t="s">
        <v>1386</v>
      </c>
      <c r="M32" s="403" t="s">
        <v>756</v>
      </c>
      <c r="N32" s="403" t="s">
        <v>757</v>
      </c>
      <c r="O32" s="403" t="s">
        <v>758</v>
      </c>
      <c r="P32" s="403" t="s">
        <v>759</v>
      </c>
      <c r="Q32" s="403" t="s">
        <v>760</v>
      </c>
      <c r="R32" s="403" t="s">
        <v>1423</v>
      </c>
      <c r="HK32" s="405"/>
      <c r="HM32" s="405"/>
      <c r="HO32" s="405"/>
    </row>
    <row r="33" spans="2:223">
      <c r="E33" s="403" t="s">
        <v>1424</v>
      </c>
      <c r="F33" s="403" t="s">
        <v>568</v>
      </c>
      <c r="G33" s="403">
        <v>6</v>
      </c>
      <c r="H33" s="403" t="s">
        <v>794</v>
      </c>
      <c r="J33" s="403">
        <v>32</v>
      </c>
      <c r="K33" s="403" t="s">
        <v>1422</v>
      </c>
      <c r="L33" s="403" t="s">
        <v>1407</v>
      </c>
      <c r="M33" s="403" t="s">
        <v>756</v>
      </c>
      <c r="N33" s="403" t="s">
        <v>757</v>
      </c>
      <c r="O33" s="403" t="s">
        <v>758</v>
      </c>
      <c r="P33" s="403" t="s">
        <v>759</v>
      </c>
      <c r="Q33" s="403" t="s">
        <v>760</v>
      </c>
      <c r="R33" s="403" t="s">
        <v>1423</v>
      </c>
      <c r="HK33" s="405"/>
      <c r="HM33" s="405"/>
      <c r="HO33" s="405"/>
    </row>
    <row r="34" spans="2:223">
      <c r="E34" s="403" t="s">
        <v>1425</v>
      </c>
      <c r="F34" s="403" t="s">
        <v>568</v>
      </c>
      <c r="G34" s="403">
        <v>6</v>
      </c>
      <c r="H34" s="403" t="s">
        <v>794</v>
      </c>
      <c r="J34" s="403">
        <v>33</v>
      </c>
      <c r="K34" s="403" t="s">
        <v>1422</v>
      </c>
      <c r="L34" s="403" t="s">
        <v>1409</v>
      </c>
      <c r="M34" s="403" t="s">
        <v>756</v>
      </c>
      <c r="N34" s="403" t="s">
        <v>757</v>
      </c>
      <c r="O34" s="403" t="s">
        <v>758</v>
      </c>
      <c r="P34" s="403" t="s">
        <v>759</v>
      </c>
      <c r="Q34" s="403" t="s">
        <v>760</v>
      </c>
      <c r="R34" s="403" t="s">
        <v>1423</v>
      </c>
      <c r="HK34" s="405"/>
      <c r="HM34" s="405"/>
      <c r="HO34" s="405"/>
    </row>
    <row r="35" spans="2:223">
      <c r="E35" s="403" t="s">
        <v>1426</v>
      </c>
      <c r="F35" s="403" t="s">
        <v>568</v>
      </c>
      <c r="G35" s="403">
        <v>6</v>
      </c>
      <c r="H35" s="403" t="s">
        <v>794</v>
      </c>
      <c r="J35" s="403">
        <v>34</v>
      </c>
      <c r="K35" s="403" t="s">
        <v>1422</v>
      </c>
      <c r="L35" s="403" t="s">
        <v>1411</v>
      </c>
      <c r="M35" s="403" t="s">
        <v>756</v>
      </c>
      <c r="N35" s="403" t="s">
        <v>757</v>
      </c>
      <c r="O35" s="403" t="s">
        <v>758</v>
      </c>
      <c r="P35" s="403" t="s">
        <v>759</v>
      </c>
      <c r="Q35" s="403" t="s">
        <v>760</v>
      </c>
      <c r="R35" s="403" t="s">
        <v>1423</v>
      </c>
      <c r="HK35" s="405"/>
      <c r="HM35" s="405"/>
      <c r="HO35" s="405"/>
    </row>
    <row r="36" spans="2:223">
      <c r="E36" s="403" t="s">
        <v>1427</v>
      </c>
      <c r="F36" s="403" t="s">
        <v>568</v>
      </c>
      <c r="G36" s="403">
        <v>6</v>
      </c>
      <c r="H36" s="403" t="s">
        <v>794</v>
      </c>
      <c r="J36" s="403">
        <v>35</v>
      </c>
      <c r="K36" s="403" t="s">
        <v>1422</v>
      </c>
      <c r="L36" s="403" t="s">
        <v>1413</v>
      </c>
      <c r="M36" s="403" t="s">
        <v>756</v>
      </c>
      <c r="N36" s="403" t="s">
        <v>757</v>
      </c>
      <c r="O36" s="403" t="s">
        <v>758</v>
      </c>
      <c r="P36" s="403" t="s">
        <v>759</v>
      </c>
      <c r="Q36" s="403" t="s">
        <v>760</v>
      </c>
      <c r="R36" s="403" t="s">
        <v>1423</v>
      </c>
      <c r="HK36" s="405"/>
      <c r="HM36" s="405"/>
      <c r="HO36" s="405"/>
    </row>
    <row r="37" spans="2:223">
      <c r="E37" s="403" t="s">
        <v>1428</v>
      </c>
      <c r="F37" s="403" t="s">
        <v>568</v>
      </c>
      <c r="G37" s="403">
        <v>6</v>
      </c>
      <c r="H37" s="403" t="s">
        <v>794</v>
      </c>
      <c r="J37" s="403">
        <v>36</v>
      </c>
      <c r="K37" s="403" t="s">
        <v>1422</v>
      </c>
      <c r="L37" s="403" t="s">
        <v>1415</v>
      </c>
      <c r="M37" s="403" t="s">
        <v>756</v>
      </c>
      <c r="N37" s="403" t="s">
        <v>757</v>
      </c>
      <c r="O37" s="403" t="s">
        <v>758</v>
      </c>
      <c r="P37" s="403" t="s">
        <v>759</v>
      </c>
      <c r="Q37" s="403" t="s">
        <v>760</v>
      </c>
      <c r="R37" s="403" t="s">
        <v>1423</v>
      </c>
      <c r="HK37" s="405"/>
      <c r="HM37" s="405"/>
      <c r="HO37" s="405"/>
    </row>
    <row r="38" spans="2:223">
      <c r="E38" s="403" t="s">
        <v>1429</v>
      </c>
      <c r="F38" s="403" t="s">
        <v>568</v>
      </c>
      <c r="G38" s="403">
        <v>6</v>
      </c>
      <c r="H38" s="403" t="s">
        <v>794</v>
      </c>
      <c r="J38" s="403">
        <v>37</v>
      </c>
      <c r="K38" s="403" t="s">
        <v>1422</v>
      </c>
      <c r="L38" s="403" t="s">
        <v>1417</v>
      </c>
      <c r="M38" s="403" t="s">
        <v>756</v>
      </c>
      <c r="N38" s="403" t="s">
        <v>757</v>
      </c>
      <c r="O38" s="403" t="s">
        <v>758</v>
      </c>
      <c r="P38" s="403" t="s">
        <v>759</v>
      </c>
      <c r="Q38" s="403" t="s">
        <v>760</v>
      </c>
      <c r="R38" s="403" t="s">
        <v>1423</v>
      </c>
    </row>
    <row r="39" spans="2:223">
      <c r="E39" s="403" t="s">
        <v>1430</v>
      </c>
      <c r="F39" s="403" t="s">
        <v>568</v>
      </c>
      <c r="G39" s="403">
        <v>6</v>
      </c>
      <c r="H39" s="403" t="s">
        <v>794</v>
      </c>
      <c r="J39" s="403">
        <v>38</v>
      </c>
      <c r="K39" s="403" t="s">
        <v>1422</v>
      </c>
      <c r="L39" s="403" t="s">
        <v>1419</v>
      </c>
      <c r="M39" s="403" t="s">
        <v>756</v>
      </c>
      <c r="N39" s="403" t="s">
        <v>757</v>
      </c>
      <c r="O39" s="403" t="s">
        <v>758</v>
      </c>
      <c r="P39" s="403" t="s">
        <v>759</v>
      </c>
      <c r="Q39" s="403" t="s">
        <v>760</v>
      </c>
      <c r="R39" s="403" t="s">
        <v>1423</v>
      </c>
    </row>
    <row r="40" spans="2:223">
      <c r="E40" s="403" t="s">
        <v>1431</v>
      </c>
      <c r="F40" s="403" t="s">
        <v>568</v>
      </c>
      <c r="G40" s="403">
        <v>6</v>
      </c>
      <c r="H40" s="403" t="s">
        <v>794</v>
      </c>
      <c r="J40" s="403">
        <v>39</v>
      </c>
      <c r="K40" s="403" t="s">
        <v>1422</v>
      </c>
      <c r="L40" s="403" t="s">
        <v>2</v>
      </c>
      <c r="M40" s="403" t="s">
        <v>756</v>
      </c>
      <c r="N40" s="403" t="s">
        <v>757</v>
      </c>
      <c r="O40" s="403" t="s">
        <v>758</v>
      </c>
      <c r="P40" s="403" t="s">
        <v>759</v>
      </c>
      <c r="Q40" s="403" t="s">
        <v>760</v>
      </c>
      <c r="R40" s="403" t="s">
        <v>1423</v>
      </c>
    </row>
    <row r="41" spans="2:223">
      <c r="B41" s="403" t="s">
        <v>621</v>
      </c>
      <c r="C41" s="403" t="s">
        <v>574</v>
      </c>
      <c r="E41" s="403" t="s">
        <v>621</v>
      </c>
      <c r="F41" s="403" t="s">
        <v>568</v>
      </c>
      <c r="G41" s="403">
        <v>3</v>
      </c>
      <c r="H41" s="403" t="s">
        <v>1432</v>
      </c>
      <c r="J41" s="403">
        <v>40</v>
      </c>
      <c r="L41" s="403" t="s">
        <v>1433</v>
      </c>
      <c r="M41" s="403" t="s">
        <v>1434</v>
      </c>
      <c r="N41" s="403" t="s">
        <v>1435</v>
      </c>
      <c r="O41" s="403" t="s">
        <v>1436</v>
      </c>
    </row>
    <row r="42" spans="2:223">
      <c r="B42" s="403" t="s">
        <v>622</v>
      </c>
      <c r="C42" s="403" t="s">
        <v>584</v>
      </c>
      <c r="D42" s="403">
        <v>3</v>
      </c>
      <c r="E42" s="403" t="s">
        <v>623</v>
      </c>
      <c r="F42" s="403" t="s">
        <v>568</v>
      </c>
      <c r="G42" s="403">
        <v>2</v>
      </c>
      <c r="J42" s="403">
        <v>41</v>
      </c>
      <c r="K42" s="403" t="s">
        <v>1437</v>
      </c>
      <c r="L42" s="403" t="s">
        <v>1438</v>
      </c>
      <c r="M42" s="403" t="s">
        <v>1439</v>
      </c>
      <c r="N42" s="403" t="s">
        <v>1440</v>
      </c>
    </row>
    <row r="43" spans="2:223">
      <c r="E43" s="403" t="s">
        <v>624</v>
      </c>
      <c r="F43" s="403" t="s">
        <v>568</v>
      </c>
      <c r="G43" s="403">
        <v>2</v>
      </c>
      <c r="J43" s="403">
        <v>42</v>
      </c>
      <c r="K43" s="403" t="s">
        <v>1437</v>
      </c>
      <c r="L43" s="403" t="s">
        <v>1441</v>
      </c>
      <c r="M43" s="403" t="s">
        <v>1439</v>
      </c>
      <c r="N43" s="403" t="s">
        <v>1440</v>
      </c>
    </row>
    <row r="44" spans="2:223">
      <c r="E44" s="403" t="s">
        <v>1442</v>
      </c>
      <c r="F44" s="403" t="s">
        <v>568</v>
      </c>
      <c r="G44" s="403">
        <v>2</v>
      </c>
      <c r="J44" s="403">
        <v>43</v>
      </c>
      <c r="K44" s="403" t="s">
        <v>1437</v>
      </c>
      <c r="L44" s="403" t="s">
        <v>1443</v>
      </c>
      <c r="M44" s="403" t="s">
        <v>1439</v>
      </c>
      <c r="N44" s="403" t="s">
        <v>1440</v>
      </c>
    </row>
    <row r="45" spans="2:223">
      <c r="B45" s="403" t="s">
        <v>625</v>
      </c>
      <c r="C45" s="403" t="s">
        <v>574</v>
      </c>
      <c r="E45" s="403" t="s">
        <v>625</v>
      </c>
      <c r="F45" s="403" t="s">
        <v>568</v>
      </c>
      <c r="G45" s="403">
        <v>42</v>
      </c>
      <c r="J45" s="403">
        <v>44</v>
      </c>
      <c r="L45" s="403" t="s">
        <v>1444</v>
      </c>
      <c r="M45" s="403" t="s">
        <v>1352</v>
      </c>
      <c r="N45" s="403" t="s">
        <v>1353</v>
      </c>
      <c r="O45" s="403" t="s">
        <v>1354</v>
      </c>
      <c r="P45" s="403" t="s">
        <v>1355</v>
      </c>
      <c r="Q45" s="403" t="s">
        <v>1356</v>
      </c>
      <c r="R45" s="403" t="s">
        <v>1357</v>
      </c>
      <c r="S45" s="403" t="s">
        <v>1358</v>
      </c>
      <c r="T45" s="403" t="s">
        <v>1</v>
      </c>
      <c r="U45" s="403" t="s">
        <v>1359</v>
      </c>
      <c r="V45" s="403" t="s">
        <v>1360</v>
      </c>
      <c r="W45" s="403" t="s">
        <v>1361</v>
      </c>
      <c r="X45" s="403" t="s">
        <v>5</v>
      </c>
      <c r="Y45" s="403" t="s">
        <v>1362</v>
      </c>
      <c r="Z45" s="403" t="s">
        <v>7</v>
      </c>
      <c r="AA45" s="403" t="s">
        <v>1363</v>
      </c>
      <c r="AB45" s="403" t="s">
        <v>1364</v>
      </c>
      <c r="AC45" s="403" t="s">
        <v>1365</v>
      </c>
      <c r="AD45" s="403" t="s">
        <v>1366</v>
      </c>
      <c r="AE45" s="403" t="s">
        <v>1367</v>
      </c>
      <c r="AF45" s="403" t="s">
        <v>8</v>
      </c>
      <c r="AG45" s="403" t="s">
        <v>1368</v>
      </c>
      <c r="AH45" s="403" t="s">
        <v>1369</v>
      </c>
      <c r="AI45" s="403" t="s">
        <v>1370</v>
      </c>
      <c r="AJ45" s="403" t="s">
        <v>1371</v>
      </c>
      <c r="AK45" s="403" t="s">
        <v>4</v>
      </c>
      <c r="AL45" s="403" t="s">
        <v>1372</v>
      </c>
      <c r="AM45" s="403" t="s">
        <v>6</v>
      </c>
      <c r="AN45" s="403" t="s">
        <v>1373</v>
      </c>
      <c r="AO45" s="403" t="s">
        <v>1374</v>
      </c>
      <c r="AP45" s="403" t="s">
        <v>1375</v>
      </c>
      <c r="AQ45" s="403" t="s">
        <v>1376</v>
      </c>
      <c r="AR45" s="403" t="s">
        <v>1377</v>
      </c>
      <c r="AS45" s="403" t="s">
        <v>1378</v>
      </c>
      <c r="AT45" s="403" t="s">
        <v>3</v>
      </c>
      <c r="AU45" s="403" t="s">
        <v>1379</v>
      </c>
      <c r="AV45" s="403" t="s">
        <v>1380</v>
      </c>
      <c r="AW45" s="403" t="s">
        <v>1381</v>
      </c>
      <c r="AX45" s="403" t="s">
        <v>1382</v>
      </c>
      <c r="AY45" s="403" t="s">
        <v>1383</v>
      </c>
      <c r="AZ45" s="403" t="s">
        <v>1445</v>
      </c>
      <c r="BA45" s="403" t="s">
        <v>1446</v>
      </c>
      <c r="BB45" s="403" t="s">
        <v>766</v>
      </c>
    </row>
    <row r="46" spans="2:223">
      <c r="E46" s="403" t="s">
        <v>1447</v>
      </c>
      <c r="F46" s="403" t="s">
        <v>571</v>
      </c>
      <c r="J46" s="403">
        <v>45</v>
      </c>
      <c r="L46" s="403" t="s">
        <v>1448</v>
      </c>
    </row>
    <row r="47" spans="2:223">
      <c r="E47" s="403" t="s">
        <v>1449</v>
      </c>
      <c r="F47" s="403" t="s">
        <v>571</v>
      </c>
      <c r="J47" s="403">
        <v>46</v>
      </c>
      <c r="L47" s="403" t="s">
        <v>1450</v>
      </c>
    </row>
    <row r="48" spans="2:223">
      <c r="B48" s="403" t="s">
        <v>626</v>
      </c>
      <c r="C48" s="403" t="s">
        <v>610</v>
      </c>
      <c r="E48" s="403" t="s">
        <v>626</v>
      </c>
      <c r="F48" s="403" t="s">
        <v>611</v>
      </c>
      <c r="G48" s="403">
        <v>9</v>
      </c>
      <c r="J48" s="403">
        <v>47</v>
      </c>
      <c r="L48" s="403" t="s">
        <v>1451</v>
      </c>
      <c r="M48" s="403" t="s">
        <v>1452</v>
      </c>
      <c r="N48" s="403" t="s">
        <v>1453</v>
      </c>
      <c r="O48" s="403" t="s">
        <v>1454</v>
      </c>
      <c r="P48" s="403" t="s">
        <v>1455</v>
      </c>
      <c r="Q48" s="403" t="s">
        <v>1456</v>
      </c>
      <c r="R48" s="403" t="s">
        <v>1457</v>
      </c>
      <c r="S48" s="403" t="s">
        <v>1458</v>
      </c>
      <c r="T48" s="403" t="s">
        <v>1459</v>
      </c>
      <c r="U48" s="403" t="s">
        <v>755</v>
      </c>
    </row>
    <row r="49" spans="2:221">
      <c r="B49" s="403" t="s">
        <v>627</v>
      </c>
      <c r="C49" s="403" t="s">
        <v>574</v>
      </c>
      <c r="E49" s="403" t="s">
        <v>627</v>
      </c>
      <c r="F49" s="403" t="s">
        <v>568</v>
      </c>
      <c r="G49" s="403">
        <v>5</v>
      </c>
      <c r="J49" s="403">
        <v>48</v>
      </c>
      <c r="L49" s="403" t="s">
        <v>1460</v>
      </c>
      <c r="M49" s="403" t="s">
        <v>1461</v>
      </c>
      <c r="N49" s="403" t="s">
        <v>1462</v>
      </c>
      <c r="O49" s="403" t="s">
        <v>1463</v>
      </c>
      <c r="P49" s="403" t="s">
        <v>1464</v>
      </c>
      <c r="Q49" s="403" t="s">
        <v>1465</v>
      </c>
      <c r="HK49" s="405"/>
      <c r="HM49" s="405"/>
    </row>
    <row r="50" spans="2:221">
      <c r="B50" s="403" t="s">
        <v>628</v>
      </c>
      <c r="C50" s="403" t="s">
        <v>574</v>
      </c>
      <c r="E50" s="403" t="s">
        <v>628</v>
      </c>
      <c r="F50" s="403" t="s">
        <v>568</v>
      </c>
      <c r="G50" s="403">
        <v>5</v>
      </c>
      <c r="J50" s="403">
        <v>49</v>
      </c>
      <c r="L50" s="403" t="s">
        <v>1466</v>
      </c>
      <c r="M50" s="403" t="s">
        <v>1467</v>
      </c>
      <c r="N50" s="403" t="s">
        <v>1468</v>
      </c>
      <c r="O50" s="403" t="s">
        <v>1469</v>
      </c>
      <c r="P50" s="403" t="s">
        <v>1470</v>
      </c>
      <c r="Q50" s="403" t="s">
        <v>1471</v>
      </c>
      <c r="HK50" s="405"/>
      <c r="HM50" s="405"/>
    </row>
    <row r="51" spans="2:221">
      <c r="E51" s="403" t="s">
        <v>629</v>
      </c>
      <c r="F51" s="403" t="s">
        <v>571</v>
      </c>
      <c r="J51" s="403">
        <v>50</v>
      </c>
      <c r="L51" s="403" t="s">
        <v>1472</v>
      </c>
    </row>
    <row r="52" spans="2:221">
      <c r="B52" s="403" t="s">
        <v>630</v>
      </c>
      <c r="C52" s="403" t="s">
        <v>613</v>
      </c>
      <c r="D52" s="403">
        <v>2</v>
      </c>
      <c r="E52" s="403" t="s">
        <v>1473</v>
      </c>
      <c r="F52" s="403" t="s">
        <v>611</v>
      </c>
      <c r="G52" s="403">
        <v>2</v>
      </c>
      <c r="J52" s="403">
        <v>51</v>
      </c>
      <c r="K52" s="403" t="s">
        <v>1474</v>
      </c>
      <c r="L52" s="403" t="s">
        <v>1475</v>
      </c>
      <c r="M52" s="403" t="s">
        <v>1476</v>
      </c>
      <c r="N52" s="403" t="s">
        <v>1477</v>
      </c>
    </row>
    <row r="53" spans="2:221">
      <c r="E53" s="403" t="s">
        <v>1478</v>
      </c>
      <c r="F53" s="403" t="s">
        <v>611</v>
      </c>
      <c r="G53" s="403">
        <v>2</v>
      </c>
      <c r="J53" s="403">
        <v>52</v>
      </c>
      <c r="K53" s="403" t="s">
        <v>1474</v>
      </c>
      <c r="L53" s="403" t="s">
        <v>1479</v>
      </c>
      <c r="M53" s="403" t="s">
        <v>1476</v>
      </c>
      <c r="N53" s="403" t="s">
        <v>1477</v>
      </c>
    </row>
    <row r="54" spans="2:221">
      <c r="B54" s="403" t="s">
        <v>631</v>
      </c>
      <c r="C54" s="403" t="s">
        <v>613</v>
      </c>
      <c r="D54" s="403">
        <v>2</v>
      </c>
      <c r="E54" s="403" t="s">
        <v>632</v>
      </c>
      <c r="F54" s="403" t="s">
        <v>611</v>
      </c>
      <c r="G54" s="403">
        <v>8</v>
      </c>
      <c r="J54" s="403">
        <v>53</v>
      </c>
      <c r="K54" s="403" t="s">
        <v>1480</v>
      </c>
      <c r="L54" s="403" t="s">
        <v>1475</v>
      </c>
      <c r="M54" s="403" t="s">
        <v>1481</v>
      </c>
      <c r="N54" s="403" t="s">
        <v>1482</v>
      </c>
      <c r="O54" s="403" t="s">
        <v>1483</v>
      </c>
      <c r="P54" s="403" t="s">
        <v>1484</v>
      </c>
      <c r="Q54" s="403" t="s">
        <v>1485</v>
      </c>
      <c r="R54" s="403" t="s">
        <v>1486</v>
      </c>
      <c r="S54" s="403" t="s">
        <v>1487</v>
      </c>
      <c r="T54" s="403" t="s">
        <v>730</v>
      </c>
    </row>
    <row r="55" spans="2:221">
      <c r="E55" s="403" t="s">
        <v>633</v>
      </c>
      <c r="F55" s="403" t="s">
        <v>611</v>
      </c>
      <c r="G55" s="403">
        <v>8</v>
      </c>
      <c r="J55" s="403">
        <v>54</v>
      </c>
      <c r="K55" s="403" t="s">
        <v>1480</v>
      </c>
      <c r="L55" s="403" t="s">
        <v>1479</v>
      </c>
      <c r="M55" s="403" t="s">
        <v>1481</v>
      </c>
      <c r="N55" s="403" t="s">
        <v>1482</v>
      </c>
      <c r="O55" s="403" t="s">
        <v>1483</v>
      </c>
      <c r="P55" s="403" t="s">
        <v>1484</v>
      </c>
      <c r="Q55" s="403" t="s">
        <v>1485</v>
      </c>
      <c r="R55" s="403" t="s">
        <v>1486</v>
      </c>
      <c r="S55" s="403" t="s">
        <v>1487</v>
      </c>
      <c r="T55" s="403" t="s">
        <v>730</v>
      </c>
    </row>
    <row r="56" spans="2:221">
      <c r="B56" s="403" t="s">
        <v>634</v>
      </c>
      <c r="C56" s="403" t="s">
        <v>613</v>
      </c>
      <c r="D56" s="403">
        <v>2</v>
      </c>
      <c r="E56" s="403" t="s">
        <v>1488</v>
      </c>
      <c r="F56" s="403" t="s">
        <v>611</v>
      </c>
      <c r="G56" s="403">
        <v>9</v>
      </c>
      <c r="J56" s="403">
        <v>55</v>
      </c>
      <c r="K56" s="403" t="s">
        <v>1489</v>
      </c>
      <c r="L56" s="403" t="s">
        <v>1475</v>
      </c>
      <c r="M56" s="403" t="s">
        <v>1490</v>
      </c>
      <c r="N56" s="403" t="s">
        <v>1491</v>
      </c>
      <c r="O56" s="403" t="s">
        <v>1492</v>
      </c>
      <c r="P56" s="403" t="s">
        <v>1493</v>
      </c>
      <c r="Q56" s="403" t="s">
        <v>1494</v>
      </c>
      <c r="R56" s="403" t="s">
        <v>1495</v>
      </c>
      <c r="S56" s="403" t="s">
        <v>1496</v>
      </c>
      <c r="T56" s="403" t="s">
        <v>1497</v>
      </c>
      <c r="U56" s="403" t="s">
        <v>730</v>
      </c>
    </row>
    <row r="57" spans="2:221">
      <c r="E57" s="403" t="s">
        <v>1498</v>
      </c>
      <c r="F57" s="403" t="s">
        <v>611</v>
      </c>
      <c r="G57" s="403">
        <v>9</v>
      </c>
      <c r="J57" s="403">
        <v>56</v>
      </c>
      <c r="K57" s="403" t="s">
        <v>1489</v>
      </c>
      <c r="L57" s="403" t="s">
        <v>1479</v>
      </c>
      <c r="M57" s="403" t="s">
        <v>1490</v>
      </c>
      <c r="N57" s="403" t="s">
        <v>1491</v>
      </c>
      <c r="O57" s="403" t="s">
        <v>1492</v>
      </c>
      <c r="P57" s="403" t="s">
        <v>1493</v>
      </c>
      <c r="Q57" s="403" t="s">
        <v>1494</v>
      </c>
      <c r="R57" s="403" t="s">
        <v>1495</v>
      </c>
      <c r="S57" s="403" t="s">
        <v>1496</v>
      </c>
      <c r="T57" s="403" t="s">
        <v>1497</v>
      </c>
      <c r="U57" s="403" t="s">
        <v>730</v>
      </c>
    </row>
    <row r="58" spans="2:221">
      <c r="B58" s="403" t="s">
        <v>635</v>
      </c>
      <c r="C58" s="403" t="s">
        <v>574</v>
      </c>
      <c r="E58" s="403" t="s">
        <v>635</v>
      </c>
      <c r="F58" s="403" t="s">
        <v>568</v>
      </c>
      <c r="G58" s="403">
        <v>20</v>
      </c>
      <c r="H58" s="404">
        <v>1.0030050070090001E+74</v>
      </c>
      <c r="J58" s="403">
        <v>57</v>
      </c>
      <c r="L58" s="403" t="s">
        <v>1499</v>
      </c>
      <c r="M58" s="403" t="s">
        <v>1500</v>
      </c>
      <c r="N58" s="403" t="s">
        <v>1501</v>
      </c>
      <c r="O58" s="403" t="s">
        <v>1502</v>
      </c>
      <c r="P58" s="403" t="s">
        <v>1503</v>
      </c>
      <c r="Q58" s="403" t="s">
        <v>1504</v>
      </c>
      <c r="R58" s="403" t="s">
        <v>1505</v>
      </c>
      <c r="S58" s="403" t="s">
        <v>1506</v>
      </c>
      <c r="T58" s="403" t="s">
        <v>1507</v>
      </c>
      <c r="U58" s="403" t="s">
        <v>1508</v>
      </c>
      <c r="V58" s="403" t="s">
        <v>1509</v>
      </c>
      <c r="W58" s="403" t="s">
        <v>1510</v>
      </c>
      <c r="X58" s="403" t="s">
        <v>1511</v>
      </c>
      <c r="Y58" s="403" t="s">
        <v>1512</v>
      </c>
      <c r="Z58" s="403" t="s">
        <v>1513</v>
      </c>
      <c r="AA58" s="403" t="s">
        <v>1514</v>
      </c>
      <c r="AB58" s="403" t="s">
        <v>1515</v>
      </c>
      <c r="AC58" s="403" t="s">
        <v>1516</v>
      </c>
      <c r="AD58" s="403" t="s">
        <v>1517</v>
      </c>
      <c r="AE58" s="403" t="s">
        <v>1518</v>
      </c>
      <c r="AF58" s="403" t="s">
        <v>1519</v>
      </c>
    </row>
    <row r="59" spans="2:221">
      <c r="B59" s="403" t="s">
        <v>643</v>
      </c>
      <c r="C59" s="403" t="s">
        <v>613</v>
      </c>
      <c r="D59" s="403">
        <v>2</v>
      </c>
      <c r="E59" s="403" t="s">
        <v>644</v>
      </c>
      <c r="F59" s="403" t="s">
        <v>611</v>
      </c>
      <c r="G59" s="403">
        <v>26</v>
      </c>
      <c r="J59" s="403">
        <v>58</v>
      </c>
      <c r="K59" s="403" t="s">
        <v>1520</v>
      </c>
      <c r="L59" s="403" t="s">
        <v>1521</v>
      </c>
      <c r="M59" s="403" t="s">
        <v>1387</v>
      </c>
      <c r="N59" s="403" t="s">
        <v>745</v>
      </c>
      <c r="O59" s="403" t="s">
        <v>1388</v>
      </c>
      <c r="P59" s="403" t="s">
        <v>1389</v>
      </c>
      <c r="Q59" s="403" t="s">
        <v>1390</v>
      </c>
      <c r="R59" s="403" t="s">
        <v>1391</v>
      </c>
      <c r="S59" s="403" t="s">
        <v>746</v>
      </c>
      <c r="T59" s="403" t="s">
        <v>1392</v>
      </c>
      <c r="U59" s="403" t="s">
        <v>1393</v>
      </c>
      <c r="V59" s="403" t="s">
        <v>747</v>
      </c>
      <c r="W59" s="403" t="s">
        <v>1394</v>
      </c>
      <c r="X59" s="403" t="s">
        <v>1395</v>
      </c>
      <c r="Y59" s="403" t="s">
        <v>750</v>
      </c>
      <c r="Z59" s="403" t="s">
        <v>1396</v>
      </c>
      <c r="AA59" s="403" t="s">
        <v>1397</v>
      </c>
      <c r="AB59" s="403" t="s">
        <v>1398</v>
      </c>
      <c r="AC59" s="403" t="s">
        <v>1399</v>
      </c>
      <c r="AD59" s="403" t="s">
        <v>1400</v>
      </c>
      <c r="AE59" s="403" t="s">
        <v>1401</v>
      </c>
      <c r="AF59" s="403" t="s">
        <v>1402</v>
      </c>
      <c r="AG59" s="403" t="s">
        <v>1403</v>
      </c>
      <c r="AH59" s="403" t="s">
        <v>1404</v>
      </c>
      <c r="AI59" s="403" t="s">
        <v>1405</v>
      </c>
      <c r="AJ59" s="403" t="s">
        <v>748</v>
      </c>
      <c r="AK59" s="403" t="s">
        <v>749</v>
      </c>
      <c r="AL59" s="403" t="s">
        <v>729</v>
      </c>
    </row>
    <row r="60" spans="2:221">
      <c r="E60" s="403" t="s">
        <v>645</v>
      </c>
      <c r="F60" s="403" t="s">
        <v>611</v>
      </c>
      <c r="G60" s="403">
        <v>26</v>
      </c>
      <c r="J60" s="403">
        <v>59</v>
      </c>
      <c r="K60" s="403" t="s">
        <v>1520</v>
      </c>
      <c r="L60" s="403" t="s">
        <v>1522</v>
      </c>
      <c r="M60" s="403" t="s">
        <v>1387</v>
      </c>
      <c r="N60" s="403" t="s">
        <v>745</v>
      </c>
      <c r="O60" s="403" t="s">
        <v>1388</v>
      </c>
      <c r="P60" s="403" t="s">
        <v>1389</v>
      </c>
      <c r="Q60" s="403" t="s">
        <v>1390</v>
      </c>
      <c r="R60" s="403" t="s">
        <v>1391</v>
      </c>
      <c r="S60" s="403" t="s">
        <v>746</v>
      </c>
      <c r="T60" s="403" t="s">
        <v>1392</v>
      </c>
      <c r="U60" s="403" t="s">
        <v>1393</v>
      </c>
      <c r="V60" s="403" t="s">
        <v>747</v>
      </c>
      <c r="W60" s="403" t="s">
        <v>1394</v>
      </c>
      <c r="X60" s="403" t="s">
        <v>1395</v>
      </c>
      <c r="Y60" s="403" t="s">
        <v>750</v>
      </c>
      <c r="Z60" s="403" t="s">
        <v>1396</v>
      </c>
      <c r="AA60" s="403" t="s">
        <v>1397</v>
      </c>
      <c r="AB60" s="403" t="s">
        <v>1398</v>
      </c>
      <c r="AC60" s="403" t="s">
        <v>1399</v>
      </c>
      <c r="AD60" s="403" t="s">
        <v>1400</v>
      </c>
      <c r="AE60" s="403" t="s">
        <v>1401</v>
      </c>
      <c r="AF60" s="403" t="s">
        <v>1402</v>
      </c>
      <c r="AG60" s="403" t="s">
        <v>1403</v>
      </c>
      <c r="AH60" s="403" t="s">
        <v>1404</v>
      </c>
      <c r="AI60" s="403" t="s">
        <v>1405</v>
      </c>
      <c r="AJ60" s="403" t="s">
        <v>748</v>
      </c>
      <c r="AK60" s="403" t="s">
        <v>749</v>
      </c>
      <c r="AL60" s="403" t="s">
        <v>729</v>
      </c>
    </row>
    <row r="61" spans="2:221">
      <c r="B61" s="403" t="s">
        <v>646</v>
      </c>
      <c r="C61" s="403" t="s">
        <v>610</v>
      </c>
      <c r="E61" s="403" t="s">
        <v>646</v>
      </c>
      <c r="F61" s="403" t="s">
        <v>611</v>
      </c>
      <c r="G61" s="403">
        <v>39</v>
      </c>
      <c r="J61" s="403">
        <v>60</v>
      </c>
      <c r="L61" s="403" t="s">
        <v>1523</v>
      </c>
      <c r="M61" s="403" t="s">
        <v>1524</v>
      </c>
      <c r="N61" s="403" t="s">
        <v>1525</v>
      </c>
      <c r="O61" s="403" t="s">
        <v>1526</v>
      </c>
      <c r="P61" s="403" t="s">
        <v>1527</v>
      </c>
      <c r="Q61" s="403" t="s">
        <v>1528</v>
      </c>
      <c r="R61" s="403" t="s">
        <v>1529</v>
      </c>
      <c r="S61" s="403" t="s">
        <v>1530</v>
      </c>
      <c r="T61" s="403" t="s">
        <v>1531</v>
      </c>
      <c r="U61" s="403" t="s">
        <v>1532</v>
      </c>
      <c r="V61" s="403" t="s">
        <v>1533</v>
      </c>
      <c r="W61" s="403" t="s">
        <v>1534</v>
      </c>
      <c r="X61" s="403" t="s">
        <v>1535</v>
      </c>
      <c r="Y61" s="403" t="s">
        <v>1536</v>
      </c>
      <c r="Z61" s="403" t="s">
        <v>1537</v>
      </c>
      <c r="AA61" s="403" t="s">
        <v>1538</v>
      </c>
      <c r="AB61" s="403" t="s">
        <v>1539</v>
      </c>
      <c r="AC61" s="403" t="s">
        <v>1540</v>
      </c>
      <c r="AD61" s="403" t="s">
        <v>1541</v>
      </c>
      <c r="AE61" s="403" t="s">
        <v>1542</v>
      </c>
      <c r="AF61" s="403" t="s">
        <v>1543</v>
      </c>
      <c r="AG61" s="403" t="s">
        <v>1544</v>
      </c>
      <c r="AH61" s="403" t="s">
        <v>1545</v>
      </c>
      <c r="AI61" s="403" t="s">
        <v>1546</v>
      </c>
      <c r="AJ61" s="403" t="s">
        <v>1547</v>
      </c>
      <c r="AK61" s="403" t="s">
        <v>1548</v>
      </c>
      <c r="AL61" s="403" t="s">
        <v>1549</v>
      </c>
      <c r="AM61" s="403" t="s">
        <v>1550</v>
      </c>
      <c r="AN61" s="403" t="s">
        <v>1551</v>
      </c>
      <c r="AO61" s="403" t="s">
        <v>1552</v>
      </c>
      <c r="AP61" s="403" t="s">
        <v>1553</v>
      </c>
      <c r="AQ61" s="403" t="s">
        <v>1554</v>
      </c>
      <c r="AR61" s="403" t="s">
        <v>1555</v>
      </c>
      <c r="AS61" s="403" t="s">
        <v>1556</v>
      </c>
      <c r="AT61" s="403" t="s">
        <v>1557</v>
      </c>
      <c r="AU61" s="403" t="s">
        <v>1558</v>
      </c>
      <c r="AV61" s="403" t="s">
        <v>1559</v>
      </c>
      <c r="AW61" s="403" t="s">
        <v>1560</v>
      </c>
      <c r="AX61" s="403" t="s">
        <v>1561</v>
      </c>
      <c r="AY61" s="403" t="s">
        <v>1562</v>
      </c>
    </row>
    <row r="62" spans="2:221">
      <c r="E62" s="403" t="s">
        <v>1563</v>
      </c>
      <c r="F62" s="403" t="s">
        <v>571</v>
      </c>
      <c r="J62" s="403">
        <v>61</v>
      </c>
      <c r="L62" s="403" t="s">
        <v>1564</v>
      </c>
    </row>
    <row r="63" spans="2:221">
      <c r="B63" s="403" t="s">
        <v>647</v>
      </c>
      <c r="C63" s="403" t="s">
        <v>610</v>
      </c>
      <c r="E63" s="403" t="s">
        <v>647</v>
      </c>
      <c r="F63" s="403" t="s">
        <v>611</v>
      </c>
      <c r="G63" s="403">
        <v>39</v>
      </c>
      <c r="J63" s="403">
        <v>62</v>
      </c>
      <c r="L63" s="403" t="s">
        <v>1565</v>
      </c>
      <c r="M63" s="403" t="s">
        <v>1524</v>
      </c>
      <c r="N63" s="403" t="s">
        <v>1525</v>
      </c>
      <c r="O63" s="403" t="s">
        <v>1526</v>
      </c>
      <c r="P63" s="403" t="s">
        <v>1527</v>
      </c>
      <c r="Q63" s="403" t="s">
        <v>1528</v>
      </c>
      <c r="R63" s="403" t="s">
        <v>1529</v>
      </c>
      <c r="S63" s="403" t="s">
        <v>1530</v>
      </c>
      <c r="T63" s="403" t="s">
        <v>1531</v>
      </c>
      <c r="U63" s="403" t="s">
        <v>1532</v>
      </c>
      <c r="V63" s="403" t="s">
        <v>1533</v>
      </c>
      <c r="W63" s="403" t="s">
        <v>1534</v>
      </c>
      <c r="X63" s="403" t="s">
        <v>1535</v>
      </c>
      <c r="Y63" s="403" t="s">
        <v>1536</v>
      </c>
      <c r="Z63" s="403" t="s">
        <v>1537</v>
      </c>
      <c r="AA63" s="403" t="s">
        <v>1538</v>
      </c>
      <c r="AB63" s="403" t="s">
        <v>1539</v>
      </c>
      <c r="AC63" s="403" t="s">
        <v>1540</v>
      </c>
      <c r="AD63" s="403" t="s">
        <v>1541</v>
      </c>
      <c r="AE63" s="403" t="s">
        <v>1542</v>
      </c>
      <c r="AF63" s="403" t="s">
        <v>1543</v>
      </c>
      <c r="AG63" s="403" t="s">
        <v>1544</v>
      </c>
      <c r="AH63" s="403" t="s">
        <v>1545</v>
      </c>
      <c r="AI63" s="403" t="s">
        <v>1546</v>
      </c>
      <c r="AJ63" s="403" t="s">
        <v>1547</v>
      </c>
      <c r="AK63" s="403" t="s">
        <v>1548</v>
      </c>
      <c r="AL63" s="403" t="s">
        <v>1549</v>
      </c>
      <c r="AM63" s="403" t="s">
        <v>1550</v>
      </c>
      <c r="AN63" s="403" t="s">
        <v>1551</v>
      </c>
      <c r="AO63" s="403" t="s">
        <v>1552</v>
      </c>
      <c r="AP63" s="403" t="s">
        <v>1553</v>
      </c>
      <c r="AQ63" s="403" t="s">
        <v>1554</v>
      </c>
      <c r="AR63" s="403" t="s">
        <v>1555</v>
      </c>
      <c r="AS63" s="403" t="s">
        <v>1556</v>
      </c>
      <c r="AT63" s="403" t="s">
        <v>1557</v>
      </c>
      <c r="AU63" s="403" t="s">
        <v>1558</v>
      </c>
      <c r="AV63" s="403" t="s">
        <v>1559</v>
      </c>
      <c r="AW63" s="403" t="s">
        <v>1560</v>
      </c>
      <c r="AX63" s="403" t="s">
        <v>1561</v>
      </c>
      <c r="AY63" s="403" t="s">
        <v>1562</v>
      </c>
    </row>
    <row r="64" spans="2:221">
      <c r="E64" s="403" t="s">
        <v>1566</v>
      </c>
      <c r="F64" s="403" t="s">
        <v>571</v>
      </c>
      <c r="J64" s="403">
        <v>63</v>
      </c>
      <c r="L64" s="403" t="s">
        <v>1567</v>
      </c>
    </row>
    <row r="65" spans="2:51">
      <c r="B65" s="403" t="s">
        <v>648</v>
      </c>
      <c r="C65" s="403" t="s">
        <v>610</v>
      </c>
      <c r="E65" s="403" t="s">
        <v>648</v>
      </c>
      <c r="F65" s="403" t="s">
        <v>611</v>
      </c>
      <c r="G65" s="403">
        <v>39</v>
      </c>
      <c r="J65" s="403">
        <v>64</v>
      </c>
      <c r="L65" s="403" t="s">
        <v>1568</v>
      </c>
      <c r="M65" s="403" t="s">
        <v>1524</v>
      </c>
      <c r="N65" s="403" t="s">
        <v>1525</v>
      </c>
      <c r="O65" s="403" t="s">
        <v>1526</v>
      </c>
      <c r="P65" s="403" t="s">
        <v>1527</v>
      </c>
      <c r="Q65" s="403" t="s">
        <v>1528</v>
      </c>
      <c r="R65" s="403" t="s">
        <v>1529</v>
      </c>
      <c r="S65" s="403" t="s">
        <v>1530</v>
      </c>
      <c r="T65" s="403" t="s">
        <v>1531</v>
      </c>
      <c r="U65" s="403" t="s">
        <v>1532</v>
      </c>
      <c r="V65" s="403" t="s">
        <v>1533</v>
      </c>
      <c r="W65" s="403" t="s">
        <v>1534</v>
      </c>
      <c r="X65" s="403" t="s">
        <v>1535</v>
      </c>
      <c r="Y65" s="403" t="s">
        <v>1536</v>
      </c>
      <c r="Z65" s="403" t="s">
        <v>1537</v>
      </c>
      <c r="AA65" s="403" t="s">
        <v>1538</v>
      </c>
      <c r="AB65" s="403" t="s">
        <v>1539</v>
      </c>
      <c r="AC65" s="403" t="s">
        <v>1540</v>
      </c>
      <c r="AD65" s="403" t="s">
        <v>1541</v>
      </c>
      <c r="AE65" s="403" t="s">
        <v>1542</v>
      </c>
      <c r="AF65" s="403" t="s">
        <v>1543</v>
      </c>
      <c r="AG65" s="403" t="s">
        <v>1544</v>
      </c>
      <c r="AH65" s="403" t="s">
        <v>1545</v>
      </c>
      <c r="AI65" s="403" t="s">
        <v>1546</v>
      </c>
      <c r="AJ65" s="403" t="s">
        <v>1547</v>
      </c>
      <c r="AK65" s="403" t="s">
        <v>1548</v>
      </c>
      <c r="AL65" s="403" t="s">
        <v>1549</v>
      </c>
      <c r="AM65" s="403" t="s">
        <v>1550</v>
      </c>
      <c r="AN65" s="403" t="s">
        <v>1551</v>
      </c>
      <c r="AO65" s="403" t="s">
        <v>1552</v>
      </c>
      <c r="AP65" s="403" t="s">
        <v>1553</v>
      </c>
      <c r="AQ65" s="403" t="s">
        <v>1554</v>
      </c>
      <c r="AR65" s="403" t="s">
        <v>1555</v>
      </c>
      <c r="AS65" s="403" t="s">
        <v>1556</v>
      </c>
      <c r="AT65" s="403" t="s">
        <v>1557</v>
      </c>
      <c r="AU65" s="403" t="s">
        <v>1558</v>
      </c>
      <c r="AV65" s="403" t="s">
        <v>1559</v>
      </c>
      <c r="AW65" s="403" t="s">
        <v>1560</v>
      </c>
      <c r="AX65" s="403" t="s">
        <v>1561</v>
      </c>
      <c r="AY65" s="403" t="s">
        <v>1562</v>
      </c>
    </row>
    <row r="66" spans="2:51">
      <c r="E66" s="403" t="s">
        <v>1569</v>
      </c>
      <c r="F66" s="403" t="s">
        <v>571</v>
      </c>
      <c r="J66" s="403">
        <v>65</v>
      </c>
      <c r="L66" s="403" t="s">
        <v>1570</v>
      </c>
    </row>
    <row r="67" spans="2:51">
      <c r="B67" s="403" t="s">
        <v>660</v>
      </c>
      <c r="C67" s="403" t="s">
        <v>584</v>
      </c>
      <c r="D67" s="403">
        <v>7</v>
      </c>
      <c r="E67" s="403" t="s">
        <v>661</v>
      </c>
      <c r="F67" s="403" t="s">
        <v>568</v>
      </c>
      <c r="G67" s="403">
        <v>5</v>
      </c>
      <c r="H67" s="403" t="s">
        <v>1571</v>
      </c>
      <c r="J67" s="403">
        <v>66</v>
      </c>
      <c r="K67" s="403" t="s">
        <v>1572</v>
      </c>
      <c r="L67" s="403" t="s">
        <v>1573</v>
      </c>
      <c r="M67" s="403" t="s">
        <v>761</v>
      </c>
      <c r="N67" s="403" t="s">
        <v>762</v>
      </c>
      <c r="O67" s="403" t="s">
        <v>763</v>
      </c>
      <c r="P67" s="403" t="s">
        <v>764</v>
      </c>
      <c r="Q67" s="403" t="s">
        <v>765</v>
      </c>
    </row>
    <row r="68" spans="2:51">
      <c r="E68" s="403" t="s">
        <v>662</v>
      </c>
      <c r="F68" s="403" t="s">
        <v>568</v>
      </c>
      <c r="G68" s="403">
        <v>5</v>
      </c>
      <c r="H68" s="403" t="s">
        <v>1571</v>
      </c>
      <c r="J68" s="403">
        <v>67</v>
      </c>
      <c r="K68" s="403" t="s">
        <v>1572</v>
      </c>
      <c r="L68" s="403" t="s">
        <v>1574</v>
      </c>
      <c r="M68" s="403" t="s">
        <v>761</v>
      </c>
      <c r="N68" s="403" t="s">
        <v>762</v>
      </c>
      <c r="O68" s="403" t="s">
        <v>763</v>
      </c>
      <c r="P68" s="403" t="s">
        <v>764</v>
      </c>
      <c r="Q68" s="403" t="s">
        <v>765</v>
      </c>
    </row>
    <row r="69" spans="2:51">
      <c r="E69" s="403" t="s">
        <v>663</v>
      </c>
      <c r="F69" s="403" t="s">
        <v>568</v>
      </c>
      <c r="G69" s="403">
        <v>5</v>
      </c>
      <c r="H69" s="403" t="s">
        <v>1571</v>
      </c>
      <c r="J69" s="403">
        <v>68</v>
      </c>
      <c r="K69" s="403" t="s">
        <v>1572</v>
      </c>
      <c r="L69" s="403" t="s">
        <v>1575</v>
      </c>
      <c r="M69" s="403" t="s">
        <v>761</v>
      </c>
      <c r="N69" s="403" t="s">
        <v>762</v>
      </c>
      <c r="O69" s="403" t="s">
        <v>763</v>
      </c>
      <c r="P69" s="403" t="s">
        <v>764</v>
      </c>
      <c r="Q69" s="403" t="s">
        <v>765</v>
      </c>
    </row>
    <row r="70" spans="2:51">
      <c r="E70" s="403" t="s">
        <v>1576</v>
      </c>
      <c r="F70" s="403" t="s">
        <v>568</v>
      </c>
      <c r="G70" s="403">
        <v>5</v>
      </c>
      <c r="H70" s="403" t="s">
        <v>1571</v>
      </c>
      <c r="J70" s="403">
        <v>69</v>
      </c>
      <c r="K70" s="403" t="s">
        <v>1572</v>
      </c>
      <c r="L70" s="403" t="s">
        <v>1577</v>
      </c>
      <c r="M70" s="403" t="s">
        <v>761</v>
      </c>
      <c r="N70" s="403" t="s">
        <v>762</v>
      </c>
      <c r="O70" s="403" t="s">
        <v>763</v>
      </c>
      <c r="P70" s="403" t="s">
        <v>764</v>
      </c>
      <c r="Q70" s="403" t="s">
        <v>765</v>
      </c>
    </row>
    <row r="71" spans="2:51">
      <c r="E71" s="403" t="s">
        <v>1578</v>
      </c>
      <c r="F71" s="403" t="s">
        <v>568</v>
      </c>
      <c r="G71" s="403">
        <v>5</v>
      </c>
      <c r="H71" s="403" t="s">
        <v>1571</v>
      </c>
      <c r="J71" s="403">
        <v>70</v>
      </c>
      <c r="K71" s="403" t="s">
        <v>1572</v>
      </c>
      <c r="L71" s="403" t="s">
        <v>1579</v>
      </c>
      <c r="M71" s="403" t="s">
        <v>761</v>
      </c>
      <c r="N71" s="403" t="s">
        <v>762</v>
      </c>
      <c r="O71" s="403" t="s">
        <v>763</v>
      </c>
      <c r="P71" s="403" t="s">
        <v>764</v>
      </c>
      <c r="Q71" s="403" t="s">
        <v>765</v>
      </c>
    </row>
    <row r="72" spans="2:51">
      <c r="E72" s="403" t="s">
        <v>1580</v>
      </c>
      <c r="F72" s="403" t="s">
        <v>568</v>
      </c>
      <c r="G72" s="403">
        <v>5</v>
      </c>
      <c r="H72" s="403" t="s">
        <v>1571</v>
      </c>
      <c r="J72" s="403">
        <v>71</v>
      </c>
      <c r="K72" s="403" t="s">
        <v>1572</v>
      </c>
      <c r="L72" s="403" t="s">
        <v>1581</v>
      </c>
      <c r="M72" s="403" t="s">
        <v>761</v>
      </c>
      <c r="N72" s="403" t="s">
        <v>762</v>
      </c>
      <c r="O72" s="403" t="s">
        <v>763</v>
      </c>
      <c r="P72" s="403" t="s">
        <v>764</v>
      </c>
      <c r="Q72" s="403" t="s">
        <v>765</v>
      </c>
    </row>
    <row r="73" spans="2:51">
      <c r="E73" s="403" t="s">
        <v>1582</v>
      </c>
      <c r="F73" s="403" t="s">
        <v>568</v>
      </c>
      <c r="G73" s="403">
        <v>5</v>
      </c>
      <c r="H73" s="403" t="s">
        <v>1571</v>
      </c>
      <c r="J73" s="403">
        <v>72</v>
      </c>
      <c r="K73" s="403" t="s">
        <v>1572</v>
      </c>
      <c r="L73" s="403" t="s">
        <v>798</v>
      </c>
      <c r="M73" s="403" t="s">
        <v>761</v>
      </c>
      <c r="N73" s="403" t="s">
        <v>762</v>
      </c>
      <c r="O73" s="403" t="s">
        <v>763</v>
      </c>
      <c r="P73" s="403" t="s">
        <v>764</v>
      </c>
      <c r="Q73" s="403" t="s">
        <v>765</v>
      </c>
    </row>
    <row r="74" spans="2:51">
      <c r="B74" s="403" t="s">
        <v>664</v>
      </c>
      <c r="C74" s="403" t="s">
        <v>574</v>
      </c>
      <c r="E74" s="403" t="s">
        <v>664</v>
      </c>
      <c r="F74" s="403" t="s">
        <v>568</v>
      </c>
      <c r="G74" s="403">
        <v>9</v>
      </c>
      <c r="J74" s="403">
        <v>73</v>
      </c>
      <c r="L74" s="403" t="s">
        <v>1583</v>
      </c>
      <c r="M74" s="403" t="s">
        <v>1584</v>
      </c>
      <c r="N74" s="403" t="s">
        <v>1585</v>
      </c>
      <c r="O74" s="403" t="s">
        <v>1586</v>
      </c>
      <c r="P74" s="403" t="s">
        <v>1587</v>
      </c>
      <c r="Q74" s="403" t="s">
        <v>1588</v>
      </c>
      <c r="R74" s="403" t="s">
        <v>1589</v>
      </c>
      <c r="S74" s="403" t="s">
        <v>1590</v>
      </c>
      <c r="T74" s="403" t="s">
        <v>1591</v>
      </c>
      <c r="U74" s="403" t="s">
        <v>728</v>
      </c>
    </row>
    <row r="75" spans="2:51">
      <c r="E75" s="403" t="s">
        <v>1592</v>
      </c>
      <c r="F75" s="403" t="s">
        <v>571</v>
      </c>
      <c r="J75" s="403">
        <v>74</v>
      </c>
      <c r="L75" s="403" t="s">
        <v>1593</v>
      </c>
    </row>
    <row r="76" spans="2:51">
      <c r="B76" s="403" t="s">
        <v>665</v>
      </c>
      <c r="C76" s="403" t="s">
        <v>574</v>
      </c>
      <c r="E76" s="403" t="s">
        <v>665</v>
      </c>
      <c r="F76" s="403" t="s">
        <v>568</v>
      </c>
      <c r="G76" s="403">
        <v>2</v>
      </c>
      <c r="J76" s="403">
        <v>75</v>
      </c>
      <c r="L76" s="403" t="s">
        <v>1594</v>
      </c>
      <c r="M76" s="403" t="s">
        <v>1595</v>
      </c>
      <c r="N76" s="403" t="s">
        <v>1596</v>
      </c>
    </row>
    <row r="77" spans="2:51">
      <c r="B77" s="403" t="s">
        <v>666</v>
      </c>
      <c r="C77" s="403" t="s">
        <v>574</v>
      </c>
      <c r="E77" s="403" t="s">
        <v>666</v>
      </c>
      <c r="F77" s="403" t="s">
        <v>568</v>
      </c>
      <c r="G77" s="403">
        <v>5</v>
      </c>
      <c r="J77" s="403">
        <v>76</v>
      </c>
      <c r="L77" s="403" t="s">
        <v>1597</v>
      </c>
      <c r="M77" s="403" t="s">
        <v>1336</v>
      </c>
      <c r="N77" s="403" t="s">
        <v>1598</v>
      </c>
      <c r="O77" s="403" t="s">
        <v>1599</v>
      </c>
      <c r="P77" s="403" t="s">
        <v>1600</v>
      </c>
      <c r="Q77" s="403" t="s">
        <v>728</v>
      </c>
    </row>
    <row r="78" spans="2:51">
      <c r="E78" s="403" t="s">
        <v>1601</v>
      </c>
      <c r="F78" s="403" t="s">
        <v>571</v>
      </c>
      <c r="J78" s="403">
        <v>77</v>
      </c>
      <c r="L78" s="403" t="s">
        <v>1602</v>
      </c>
    </row>
    <row r="79" spans="2:51">
      <c r="B79" s="403" t="s">
        <v>667</v>
      </c>
      <c r="C79" s="403" t="s">
        <v>610</v>
      </c>
      <c r="E79" s="403" t="s">
        <v>667</v>
      </c>
      <c r="F79" s="403" t="s">
        <v>611</v>
      </c>
      <c r="G79" s="403">
        <v>4</v>
      </c>
      <c r="J79" s="403">
        <v>78</v>
      </c>
      <c r="L79" s="403" t="s">
        <v>1603</v>
      </c>
      <c r="M79" s="403" t="s">
        <v>1604</v>
      </c>
      <c r="N79" s="403" t="s">
        <v>1605</v>
      </c>
      <c r="O79" s="403" t="s">
        <v>1606</v>
      </c>
      <c r="P79" s="403" t="s">
        <v>728</v>
      </c>
    </row>
    <row r="80" spans="2:51">
      <c r="E80" s="403" t="s">
        <v>1607</v>
      </c>
      <c r="F80" s="403" t="s">
        <v>571</v>
      </c>
      <c r="J80" s="403">
        <v>79</v>
      </c>
      <c r="L80" s="403" t="s">
        <v>1608</v>
      </c>
    </row>
    <row r="81" spans="2:223">
      <c r="B81" s="403" t="s">
        <v>668</v>
      </c>
      <c r="C81" s="403" t="s">
        <v>610</v>
      </c>
      <c r="E81" s="403" t="s">
        <v>668</v>
      </c>
      <c r="F81" s="403" t="s">
        <v>611</v>
      </c>
      <c r="G81" s="403">
        <v>8</v>
      </c>
      <c r="J81" s="403">
        <v>80</v>
      </c>
      <c r="L81" s="403" t="s">
        <v>1609</v>
      </c>
      <c r="M81" s="403" t="s">
        <v>1610</v>
      </c>
      <c r="N81" s="403" t="s">
        <v>1611</v>
      </c>
      <c r="O81" s="403" t="s">
        <v>1612</v>
      </c>
      <c r="P81" s="403" t="s">
        <v>1613</v>
      </c>
      <c r="Q81" s="403" t="s">
        <v>1614</v>
      </c>
      <c r="R81" s="403" t="s">
        <v>1615</v>
      </c>
      <c r="S81" s="403" t="s">
        <v>1616</v>
      </c>
      <c r="T81" s="403" t="s">
        <v>1617</v>
      </c>
    </row>
    <row r="82" spans="2:223">
      <c r="B82" s="403" t="s">
        <v>669</v>
      </c>
      <c r="C82" s="403" t="s">
        <v>613</v>
      </c>
      <c r="D82" s="403">
        <v>6</v>
      </c>
      <c r="E82" s="403" t="s">
        <v>670</v>
      </c>
      <c r="F82" s="403" t="s">
        <v>611</v>
      </c>
      <c r="G82" s="403">
        <v>6</v>
      </c>
      <c r="J82" s="403">
        <v>81</v>
      </c>
      <c r="K82" s="403" t="s">
        <v>1618</v>
      </c>
      <c r="L82" s="403" t="s">
        <v>1610</v>
      </c>
      <c r="M82" s="403" t="s">
        <v>1619</v>
      </c>
      <c r="N82" s="403" t="s">
        <v>1620</v>
      </c>
      <c r="O82" s="403" t="s">
        <v>1621</v>
      </c>
      <c r="P82" s="403" t="s">
        <v>1622</v>
      </c>
      <c r="Q82" s="403" t="s">
        <v>1623</v>
      </c>
      <c r="R82" s="403" t="s">
        <v>1624</v>
      </c>
      <c r="HM82" s="405"/>
      <c r="HO82" s="405"/>
    </row>
    <row r="83" spans="2:223">
      <c r="E83" s="403" t="s">
        <v>676</v>
      </c>
      <c r="F83" s="403" t="s">
        <v>611</v>
      </c>
      <c r="G83" s="403">
        <v>6</v>
      </c>
      <c r="J83" s="403">
        <v>82</v>
      </c>
      <c r="K83" s="403" t="s">
        <v>1618</v>
      </c>
      <c r="L83" s="403" t="s">
        <v>1611</v>
      </c>
      <c r="M83" s="403" t="s">
        <v>1619</v>
      </c>
      <c r="N83" s="403" t="s">
        <v>1620</v>
      </c>
      <c r="O83" s="403" t="s">
        <v>1621</v>
      </c>
      <c r="P83" s="403" t="s">
        <v>1622</v>
      </c>
      <c r="Q83" s="403" t="s">
        <v>1623</v>
      </c>
      <c r="R83" s="403" t="s">
        <v>1624</v>
      </c>
      <c r="HM83" s="405"/>
      <c r="HO83" s="405"/>
    </row>
    <row r="84" spans="2:223">
      <c r="E84" s="403" t="s">
        <v>677</v>
      </c>
      <c r="F84" s="403" t="s">
        <v>611</v>
      </c>
      <c r="G84" s="403">
        <v>6</v>
      </c>
      <c r="J84" s="403">
        <v>83</v>
      </c>
      <c r="K84" s="403" t="s">
        <v>1618</v>
      </c>
      <c r="L84" s="403" t="s">
        <v>1625</v>
      </c>
      <c r="M84" s="403" t="s">
        <v>1619</v>
      </c>
      <c r="N84" s="403" t="s">
        <v>1620</v>
      </c>
      <c r="O84" s="403" t="s">
        <v>1621</v>
      </c>
      <c r="P84" s="403" t="s">
        <v>1622</v>
      </c>
      <c r="Q84" s="403" t="s">
        <v>1623</v>
      </c>
      <c r="R84" s="403" t="s">
        <v>1624</v>
      </c>
      <c r="HM84" s="405"/>
      <c r="HO84" s="405"/>
    </row>
    <row r="85" spans="2:223">
      <c r="E85" s="403" t="s">
        <v>678</v>
      </c>
      <c r="F85" s="403" t="s">
        <v>611</v>
      </c>
      <c r="G85" s="403">
        <v>6</v>
      </c>
      <c r="J85" s="403">
        <v>84</v>
      </c>
      <c r="K85" s="403" t="s">
        <v>1618</v>
      </c>
      <c r="L85" s="403" t="s">
        <v>1613</v>
      </c>
      <c r="M85" s="403" t="s">
        <v>1619</v>
      </c>
      <c r="N85" s="403" t="s">
        <v>1620</v>
      </c>
      <c r="O85" s="403" t="s">
        <v>1621</v>
      </c>
      <c r="P85" s="403" t="s">
        <v>1622</v>
      </c>
      <c r="Q85" s="403" t="s">
        <v>1623</v>
      </c>
      <c r="R85" s="403" t="s">
        <v>1624</v>
      </c>
      <c r="HM85" s="405"/>
      <c r="HO85" s="405"/>
    </row>
    <row r="86" spans="2:223">
      <c r="E86" s="403" t="s">
        <v>679</v>
      </c>
      <c r="F86" s="403" t="s">
        <v>611</v>
      </c>
      <c r="G86" s="403">
        <v>6</v>
      </c>
      <c r="J86" s="403">
        <v>85</v>
      </c>
      <c r="K86" s="403" t="s">
        <v>1618</v>
      </c>
      <c r="L86" s="403" t="s">
        <v>1614</v>
      </c>
      <c r="M86" s="403" t="s">
        <v>1619</v>
      </c>
      <c r="N86" s="403" t="s">
        <v>1620</v>
      </c>
      <c r="O86" s="403" t="s">
        <v>1621</v>
      </c>
      <c r="P86" s="403" t="s">
        <v>1622</v>
      </c>
      <c r="Q86" s="403" t="s">
        <v>1623</v>
      </c>
      <c r="R86" s="403" t="s">
        <v>1624</v>
      </c>
      <c r="HM86" s="405"/>
      <c r="HO86" s="405"/>
    </row>
    <row r="87" spans="2:223">
      <c r="E87" s="403" t="s">
        <v>680</v>
      </c>
      <c r="F87" s="403" t="s">
        <v>611</v>
      </c>
      <c r="G87" s="403">
        <v>6</v>
      </c>
      <c r="J87" s="403">
        <v>86</v>
      </c>
      <c r="K87" s="403" t="s">
        <v>1618</v>
      </c>
      <c r="L87" s="403" t="s">
        <v>1615</v>
      </c>
      <c r="M87" s="403" t="s">
        <v>1619</v>
      </c>
      <c r="N87" s="403" t="s">
        <v>1620</v>
      </c>
      <c r="O87" s="403" t="s">
        <v>1621</v>
      </c>
      <c r="P87" s="403" t="s">
        <v>1622</v>
      </c>
      <c r="Q87" s="403" t="s">
        <v>1623</v>
      </c>
      <c r="R87" s="403" t="s">
        <v>1624</v>
      </c>
      <c r="HM87" s="405"/>
      <c r="HO87" s="405"/>
    </row>
    <row r="88" spans="2:223">
      <c r="B88" s="403" t="s">
        <v>681</v>
      </c>
      <c r="C88" s="403" t="s">
        <v>584</v>
      </c>
      <c r="D88" s="403">
        <v>3</v>
      </c>
      <c r="E88" s="403" t="s">
        <v>682</v>
      </c>
      <c r="F88" s="403" t="s">
        <v>568</v>
      </c>
      <c r="G88" s="403">
        <v>36</v>
      </c>
      <c r="J88" s="403">
        <v>87</v>
      </c>
      <c r="K88" s="403" t="s">
        <v>1626</v>
      </c>
      <c r="L88" s="403" t="s">
        <v>1627</v>
      </c>
      <c r="M88" s="403" t="s">
        <v>1628</v>
      </c>
      <c r="N88" s="403" t="s">
        <v>1629</v>
      </c>
      <c r="O88" s="403" t="s">
        <v>1630</v>
      </c>
      <c r="P88" s="403" t="s">
        <v>1631</v>
      </c>
      <c r="Q88" s="403" t="s">
        <v>1632</v>
      </c>
      <c r="R88" s="403" t="s">
        <v>1633</v>
      </c>
      <c r="S88" s="403" t="s">
        <v>1634</v>
      </c>
      <c r="T88" s="403" t="s">
        <v>1635</v>
      </c>
      <c r="U88" s="403" t="s">
        <v>1636</v>
      </c>
      <c r="V88" s="403" t="s">
        <v>1637</v>
      </c>
      <c r="W88" s="403" t="s">
        <v>1638</v>
      </c>
      <c r="X88" s="403" t="s">
        <v>1639</v>
      </c>
      <c r="Y88" s="403" t="s">
        <v>1640</v>
      </c>
      <c r="Z88" s="403" t="s">
        <v>1641</v>
      </c>
      <c r="AA88" s="403" t="s">
        <v>1642</v>
      </c>
      <c r="AB88" s="403" t="s">
        <v>1643</v>
      </c>
      <c r="AC88" s="403" t="s">
        <v>1644</v>
      </c>
      <c r="AD88" s="403" t="s">
        <v>1645</v>
      </c>
      <c r="AE88" s="403" t="s">
        <v>1646</v>
      </c>
      <c r="AF88" s="403" t="s">
        <v>1647</v>
      </c>
      <c r="AG88" s="403" t="s">
        <v>1648</v>
      </c>
      <c r="AH88" s="403" t="s">
        <v>1649</v>
      </c>
      <c r="AI88" s="403" t="s">
        <v>1650</v>
      </c>
      <c r="AJ88" s="403" t="s">
        <v>1651</v>
      </c>
      <c r="AK88" s="403" t="s">
        <v>1652</v>
      </c>
      <c r="AL88" s="403" t="s">
        <v>1653</v>
      </c>
      <c r="AM88" s="403" t="s">
        <v>1654</v>
      </c>
      <c r="AN88" s="403" t="s">
        <v>1655</v>
      </c>
      <c r="AO88" s="403" t="s">
        <v>1656</v>
      </c>
      <c r="AP88" s="403" t="s">
        <v>1657</v>
      </c>
      <c r="AQ88" s="403" t="s">
        <v>1658</v>
      </c>
      <c r="AR88" s="403" t="s">
        <v>1659</v>
      </c>
      <c r="AS88" s="403" t="s">
        <v>1660</v>
      </c>
      <c r="AT88" s="403" t="s">
        <v>1661</v>
      </c>
      <c r="AU88" s="403" t="s">
        <v>1662</v>
      </c>
      <c r="AV88" s="403" t="s">
        <v>1663</v>
      </c>
    </row>
    <row r="89" spans="2:223">
      <c r="E89" s="403" t="s">
        <v>683</v>
      </c>
      <c r="F89" s="403" t="s">
        <v>568</v>
      </c>
      <c r="G89" s="403">
        <v>36</v>
      </c>
      <c r="J89" s="403">
        <v>88</v>
      </c>
      <c r="K89" s="403" t="s">
        <v>1626</v>
      </c>
      <c r="L89" s="403" t="s">
        <v>1664</v>
      </c>
      <c r="M89" s="403" t="s">
        <v>1628</v>
      </c>
      <c r="N89" s="403" t="s">
        <v>1629</v>
      </c>
      <c r="O89" s="403" t="s">
        <v>1630</v>
      </c>
      <c r="P89" s="403" t="s">
        <v>1631</v>
      </c>
      <c r="Q89" s="403" t="s">
        <v>1632</v>
      </c>
      <c r="R89" s="403" t="s">
        <v>1633</v>
      </c>
      <c r="S89" s="403" t="s">
        <v>1634</v>
      </c>
      <c r="T89" s="403" t="s">
        <v>1635</v>
      </c>
      <c r="U89" s="403" t="s">
        <v>1636</v>
      </c>
      <c r="V89" s="403" t="s">
        <v>1637</v>
      </c>
      <c r="W89" s="403" t="s">
        <v>1638</v>
      </c>
      <c r="X89" s="403" t="s">
        <v>1639</v>
      </c>
      <c r="Y89" s="403" t="s">
        <v>1640</v>
      </c>
      <c r="Z89" s="403" t="s">
        <v>1641</v>
      </c>
      <c r="AA89" s="403" t="s">
        <v>1642</v>
      </c>
      <c r="AB89" s="403" t="s">
        <v>1643</v>
      </c>
      <c r="AC89" s="403" t="s">
        <v>1644</v>
      </c>
      <c r="AD89" s="403" t="s">
        <v>1645</v>
      </c>
      <c r="AE89" s="403" t="s">
        <v>1646</v>
      </c>
      <c r="AF89" s="403" t="s">
        <v>1647</v>
      </c>
      <c r="AG89" s="403" t="s">
        <v>1648</v>
      </c>
      <c r="AH89" s="403" t="s">
        <v>1649</v>
      </c>
      <c r="AI89" s="403" t="s">
        <v>1650</v>
      </c>
      <c r="AJ89" s="403" t="s">
        <v>1651</v>
      </c>
      <c r="AK89" s="403" t="s">
        <v>1652</v>
      </c>
      <c r="AL89" s="403" t="s">
        <v>1653</v>
      </c>
      <c r="AM89" s="403" t="s">
        <v>1654</v>
      </c>
      <c r="AN89" s="403" t="s">
        <v>1655</v>
      </c>
      <c r="AO89" s="403" t="s">
        <v>1656</v>
      </c>
      <c r="AP89" s="403" t="s">
        <v>1657</v>
      </c>
      <c r="AQ89" s="403" t="s">
        <v>1658</v>
      </c>
      <c r="AR89" s="403" t="s">
        <v>1659</v>
      </c>
      <c r="AS89" s="403" t="s">
        <v>1660</v>
      </c>
      <c r="AT89" s="403" t="s">
        <v>1661</v>
      </c>
      <c r="AU89" s="403" t="s">
        <v>1662</v>
      </c>
      <c r="AV89" s="403" t="s">
        <v>1663</v>
      </c>
    </row>
    <row r="90" spans="2:223">
      <c r="E90" s="403" t="s">
        <v>684</v>
      </c>
      <c r="F90" s="403" t="s">
        <v>568</v>
      </c>
      <c r="G90" s="403">
        <v>36</v>
      </c>
      <c r="J90" s="403">
        <v>89</v>
      </c>
      <c r="K90" s="403" t="s">
        <v>1626</v>
      </c>
      <c r="L90" s="403" t="s">
        <v>1665</v>
      </c>
      <c r="M90" s="403" t="s">
        <v>1628</v>
      </c>
      <c r="N90" s="403" t="s">
        <v>1629</v>
      </c>
      <c r="O90" s="403" t="s">
        <v>1630</v>
      </c>
      <c r="P90" s="403" t="s">
        <v>1631</v>
      </c>
      <c r="Q90" s="403" t="s">
        <v>1632</v>
      </c>
      <c r="R90" s="403" t="s">
        <v>1633</v>
      </c>
      <c r="S90" s="403" t="s">
        <v>1634</v>
      </c>
      <c r="T90" s="403" t="s">
        <v>1635</v>
      </c>
      <c r="U90" s="403" t="s">
        <v>1636</v>
      </c>
      <c r="V90" s="403" t="s">
        <v>1637</v>
      </c>
      <c r="W90" s="403" t="s">
        <v>1638</v>
      </c>
      <c r="X90" s="403" t="s">
        <v>1639</v>
      </c>
      <c r="Y90" s="403" t="s">
        <v>1640</v>
      </c>
      <c r="Z90" s="403" t="s">
        <v>1641</v>
      </c>
      <c r="AA90" s="403" t="s">
        <v>1642</v>
      </c>
      <c r="AB90" s="403" t="s">
        <v>1643</v>
      </c>
      <c r="AC90" s="403" t="s">
        <v>1644</v>
      </c>
      <c r="AD90" s="403" t="s">
        <v>1645</v>
      </c>
      <c r="AE90" s="403" t="s">
        <v>1646</v>
      </c>
      <c r="AF90" s="403" t="s">
        <v>1647</v>
      </c>
      <c r="AG90" s="403" t="s">
        <v>1648</v>
      </c>
      <c r="AH90" s="403" t="s">
        <v>1649</v>
      </c>
      <c r="AI90" s="403" t="s">
        <v>1650</v>
      </c>
      <c r="AJ90" s="403" t="s">
        <v>1651</v>
      </c>
      <c r="AK90" s="403" t="s">
        <v>1652</v>
      </c>
      <c r="AL90" s="403" t="s">
        <v>1653</v>
      </c>
      <c r="AM90" s="403" t="s">
        <v>1654</v>
      </c>
      <c r="AN90" s="403" t="s">
        <v>1655</v>
      </c>
      <c r="AO90" s="403" t="s">
        <v>1656</v>
      </c>
      <c r="AP90" s="403" t="s">
        <v>1657</v>
      </c>
      <c r="AQ90" s="403" t="s">
        <v>1658</v>
      </c>
      <c r="AR90" s="403" t="s">
        <v>1659</v>
      </c>
      <c r="AS90" s="403" t="s">
        <v>1660</v>
      </c>
      <c r="AT90" s="403" t="s">
        <v>1661</v>
      </c>
      <c r="AU90" s="403" t="s">
        <v>1662</v>
      </c>
      <c r="AV90" s="403" t="s">
        <v>1663</v>
      </c>
    </row>
    <row r="91" spans="2:223">
      <c r="B91" s="403" t="s">
        <v>685</v>
      </c>
      <c r="C91" s="403" t="s">
        <v>584</v>
      </c>
      <c r="D91" s="403">
        <v>36</v>
      </c>
      <c r="E91" s="403" t="s">
        <v>686</v>
      </c>
      <c r="F91" s="403" t="s">
        <v>568</v>
      </c>
      <c r="G91" s="403">
        <v>4</v>
      </c>
      <c r="J91" s="403">
        <v>90</v>
      </c>
      <c r="K91" s="403" t="s">
        <v>1666</v>
      </c>
      <c r="L91" s="403" t="s">
        <v>1628</v>
      </c>
      <c r="M91" s="403" t="s">
        <v>1667</v>
      </c>
      <c r="N91" s="403" t="s">
        <v>1604</v>
      </c>
      <c r="O91" s="403" t="s">
        <v>1668</v>
      </c>
      <c r="P91" s="403" t="s">
        <v>1606</v>
      </c>
    </row>
    <row r="92" spans="2:223">
      <c r="E92" s="403" t="s">
        <v>688</v>
      </c>
      <c r="F92" s="403" t="s">
        <v>568</v>
      </c>
      <c r="G92" s="403">
        <v>4</v>
      </c>
      <c r="J92" s="403">
        <v>91</v>
      </c>
      <c r="K92" s="403" t="s">
        <v>1666</v>
      </c>
      <c r="L92" s="403" t="s">
        <v>1629</v>
      </c>
      <c r="M92" s="403" t="s">
        <v>1667</v>
      </c>
      <c r="N92" s="403" t="s">
        <v>1604</v>
      </c>
      <c r="O92" s="403" t="s">
        <v>1668</v>
      </c>
      <c r="P92" s="403" t="s">
        <v>1606</v>
      </c>
    </row>
    <row r="93" spans="2:223">
      <c r="E93" s="403" t="s">
        <v>689</v>
      </c>
      <c r="F93" s="403" t="s">
        <v>568</v>
      </c>
      <c r="G93" s="403">
        <v>4</v>
      </c>
      <c r="J93" s="403">
        <v>92</v>
      </c>
      <c r="K93" s="403" t="s">
        <v>1666</v>
      </c>
      <c r="L93" s="403" t="s">
        <v>1630</v>
      </c>
      <c r="M93" s="403" t="s">
        <v>1667</v>
      </c>
      <c r="N93" s="403" t="s">
        <v>1604</v>
      </c>
      <c r="O93" s="403" t="s">
        <v>1668</v>
      </c>
      <c r="P93" s="403" t="s">
        <v>1606</v>
      </c>
    </row>
    <row r="94" spans="2:223">
      <c r="E94" s="403" t="s">
        <v>690</v>
      </c>
      <c r="F94" s="403" t="s">
        <v>568</v>
      </c>
      <c r="G94" s="403">
        <v>4</v>
      </c>
      <c r="J94" s="403">
        <v>93</v>
      </c>
      <c r="K94" s="403" t="s">
        <v>1666</v>
      </c>
      <c r="L94" s="403" t="s">
        <v>1631</v>
      </c>
      <c r="M94" s="403" t="s">
        <v>1667</v>
      </c>
      <c r="N94" s="403" t="s">
        <v>1604</v>
      </c>
      <c r="O94" s="403" t="s">
        <v>1668</v>
      </c>
      <c r="P94" s="403" t="s">
        <v>1606</v>
      </c>
      <c r="HM94" s="405"/>
    </row>
    <row r="95" spans="2:223">
      <c r="E95" s="403" t="s">
        <v>691</v>
      </c>
      <c r="F95" s="403" t="s">
        <v>568</v>
      </c>
      <c r="G95" s="403">
        <v>4</v>
      </c>
      <c r="J95" s="403">
        <v>94</v>
      </c>
      <c r="K95" s="403" t="s">
        <v>1666</v>
      </c>
      <c r="L95" s="403" t="s">
        <v>1632</v>
      </c>
      <c r="M95" s="403" t="s">
        <v>1667</v>
      </c>
      <c r="N95" s="403" t="s">
        <v>1604</v>
      </c>
      <c r="O95" s="403" t="s">
        <v>1668</v>
      </c>
      <c r="P95" s="403" t="s">
        <v>1606</v>
      </c>
      <c r="HM95" s="405"/>
    </row>
    <row r="96" spans="2:223">
      <c r="E96" s="403" t="s">
        <v>692</v>
      </c>
      <c r="F96" s="403" t="s">
        <v>568</v>
      </c>
      <c r="G96" s="403">
        <v>4</v>
      </c>
      <c r="J96" s="403">
        <v>95</v>
      </c>
      <c r="K96" s="403" t="s">
        <v>1666</v>
      </c>
      <c r="L96" s="403" t="s">
        <v>1633</v>
      </c>
      <c r="M96" s="403" t="s">
        <v>1667</v>
      </c>
      <c r="N96" s="403" t="s">
        <v>1604</v>
      </c>
      <c r="O96" s="403" t="s">
        <v>1668</v>
      </c>
      <c r="P96" s="403" t="s">
        <v>1606</v>
      </c>
      <c r="HM96" s="405"/>
    </row>
    <row r="97" spans="5:221">
      <c r="E97" s="403" t="s">
        <v>693</v>
      </c>
      <c r="F97" s="403" t="s">
        <v>568</v>
      </c>
      <c r="G97" s="403">
        <v>4</v>
      </c>
      <c r="J97" s="403">
        <v>96</v>
      </c>
      <c r="K97" s="403" t="s">
        <v>1666</v>
      </c>
      <c r="L97" s="403" t="s">
        <v>1634</v>
      </c>
      <c r="M97" s="403" t="s">
        <v>1667</v>
      </c>
      <c r="N97" s="403" t="s">
        <v>1604</v>
      </c>
      <c r="O97" s="403" t="s">
        <v>1668</v>
      </c>
      <c r="P97" s="403" t="s">
        <v>1606</v>
      </c>
      <c r="HM97" s="405"/>
    </row>
    <row r="98" spans="5:221">
      <c r="E98" s="403" t="s">
        <v>694</v>
      </c>
      <c r="F98" s="403" t="s">
        <v>568</v>
      </c>
      <c r="G98" s="403">
        <v>4</v>
      </c>
      <c r="J98" s="403">
        <v>97</v>
      </c>
      <c r="K98" s="403" t="s">
        <v>1666</v>
      </c>
      <c r="L98" s="403" t="s">
        <v>1635</v>
      </c>
      <c r="M98" s="403" t="s">
        <v>1667</v>
      </c>
      <c r="N98" s="403" t="s">
        <v>1604</v>
      </c>
      <c r="O98" s="403" t="s">
        <v>1668</v>
      </c>
      <c r="P98" s="403" t="s">
        <v>1606</v>
      </c>
      <c r="HM98" s="405"/>
    </row>
    <row r="99" spans="5:221">
      <c r="E99" s="403" t="s">
        <v>695</v>
      </c>
      <c r="F99" s="403" t="s">
        <v>568</v>
      </c>
      <c r="G99" s="403">
        <v>4</v>
      </c>
      <c r="J99" s="403">
        <v>98</v>
      </c>
      <c r="K99" s="403" t="s">
        <v>1666</v>
      </c>
      <c r="L99" s="403" t="s">
        <v>1636</v>
      </c>
      <c r="M99" s="403" t="s">
        <v>1667</v>
      </c>
      <c r="N99" s="403" t="s">
        <v>1604</v>
      </c>
      <c r="O99" s="403" t="s">
        <v>1668</v>
      </c>
      <c r="P99" s="403" t="s">
        <v>1606</v>
      </c>
      <c r="HM99" s="405"/>
    </row>
    <row r="100" spans="5:221">
      <c r="E100" s="403" t="s">
        <v>1669</v>
      </c>
      <c r="F100" s="403" t="s">
        <v>568</v>
      </c>
      <c r="G100" s="403">
        <v>4</v>
      </c>
      <c r="J100" s="403">
        <v>99</v>
      </c>
      <c r="K100" s="403" t="s">
        <v>1666</v>
      </c>
      <c r="L100" s="403" t="s">
        <v>1637</v>
      </c>
      <c r="M100" s="403" t="s">
        <v>1667</v>
      </c>
      <c r="N100" s="403" t="s">
        <v>1604</v>
      </c>
      <c r="O100" s="403" t="s">
        <v>1668</v>
      </c>
      <c r="P100" s="403" t="s">
        <v>1606</v>
      </c>
      <c r="HM100" s="405"/>
    </row>
    <row r="101" spans="5:221">
      <c r="E101" s="403" t="s">
        <v>1670</v>
      </c>
      <c r="F101" s="403" t="s">
        <v>568</v>
      </c>
      <c r="G101" s="403">
        <v>4</v>
      </c>
      <c r="J101" s="403">
        <v>100</v>
      </c>
      <c r="K101" s="403" t="s">
        <v>1666</v>
      </c>
      <c r="L101" s="403" t="s">
        <v>1638</v>
      </c>
      <c r="M101" s="403" t="s">
        <v>1667</v>
      </c>
      <c r="N101" s="403" t="s">
        <v>1604</v>
      </c>
      <c r="O101" s="403" t="s">
        <v>1668</v>
      </c>
      <c r="P101" s="403" t="s">
        <v>1606</v>
      </c>
      <c r="HM101" s="405"/>
    </row>
    <row r="102" spans="5:221">
      <c r="E102" s="403" t="s">
        <v>1671</v>
      </c>
      <c r="F102" s="403" t="s">
        <v>568</v>
      </c>
      <c r="G102" s="403">
        <v>4</v>
      </c>
      <c r="J102" s="403">
        <v>101</v>
      </c>
      <c r="K102" s="403" t="s">
        <v>1666</v>
      </c>
      <c r="L102" s="403" t="s">
        <v>1639</v>
      </c>
      <c r="M102" s="403" t="s">
        <v>1667</v>
      </c>
      <c r="N102" s="403" t="s">
        <v>1604</v>
      </c>
      <c r="O102" s="403" t="s">
        <v>1668</v>
      </c>
      <c r="P102" s="403" t="s">
        <v>1606</v>
      </c>
      <c r="HM102" s="405"/>
    </row>
    <row r="103" spans="5:221">
      <c r="E103" s="403" t="s">
        <v>1672</v>
      </c>
      <c r="F103" s="403" t="s">
        <v>568</v>
      </c>
      <c r="G103" s="403">
        <v>4</v>
      </c>
      <c r="J103" s="403">
        <v>102</v>
      </c>
      <c r="K103" s="403" t="s">
        <v>1666</v>
      </c>
      <c r="L103" s="403" t="s">
        <v>1640</v>
      </c>
      <c r="M103" s="403" t="s">
        <v>1667</v>
      </c>
      <c r="N103" s="403" t="s">
        <v>1604</v>
      </c>
      <c r="O103" s="403" t="s">
        <v>1668</v>
      </c>
      <c r="P103" s="403" t="s">
        <v>1606</v>
      </c>
    </row>
    <row r="104" spans="5:221">
      <c r="E104" s="403" t="s">
        <v>1673</v>
      </c>
      <c r="F104" s="403" t="s">
        <v>568</v>
      </c>
      <c r="G104" s="403">
        <v>4</v>
      </c>
      <c r="J104" s="403">
        <v>103</v>
      </c>
      <c r="K104" s="403" t="s">
        <v>1666</v>
      </c>
      <c r="L104" s="403" t="s">
        <v>1641</v>
      </c>
      <c r="M104" s="403" t="s">
        <v>1667</v>
      </c>
      <c r="N104" s="403" t="s">
        <v>1604</v>
      </c>
      <c r="O104" s="403" t="s">
        <v>1668</v>
      </c>
      <c r="P104" s="403" t="s">
        <v>1606</v>
      </c>
    </row>
    <row r="105" spans="5:221">
      <c r="E105" s="403" t="s">
        <v>1674</v>
      </c>
      <c r="F105" s="403" t="s">
        <v>568</v>
      </c>
      <c r="G105" s="403">
        <v>4</v>
      </c>
      <c r="J105" s="403">
        <v>104</v>
      </c>
      <c r="K105" s="403" t="s">
        <v>1666</v>
      </c>
      <c r="L105" s="403" t="s">
        <v>1642</v>
      </c>
      <c r="M105" s="403" t="s">
        <v>1667</v>
      </c>
      <c r="N105" s="403" t="s">
        <v>1604</v>
      </c>
      <c r="O105" s="403" t="s">
        <v>1668</v>
      </c>
      <c r="P105" s="403" t="s">
        <v>1606</v>
      </c>
    </row>
    <row r="106" spans="5:221">
      <c r="E106" s="403" t="s">
        <v>1675</v>
      </c>
      <c r="F106" s="403" t="s">
        <v>568</v>
      </c>
      <c r="G106" s="403">
        <v>4</v>
      </c>
      <c r="J106" s="403">
        <v>105</v>
      </c>
      <c r="K106" s="403" t="s">
        <v>1666</v>
      </c>
      <c r="L106" s="403" t="s">
        <v>1643</v>
      </c>
      <c r="M106" s="403" t="s">
        <v>1667</v>
      </c>
      <c r="N106" s="403" t="s">
        <v>1604</v>
      </c>
      <c r="O106" s="403" t="s">
        <v>1668</v>
      </c>
      <c r="P106" s="403" t="s">
        <v>1606</v>
      </c>
    </row>
    <row r="107" spans="5:221">
      <c r="E107" s="403" t="s">
        <v>1676</v>
      </c>
      <c r="F107" s="403" t="s">
        <v>568</v>
      </c>
      <c r="G107" s="403">
        <v>4</v>
      </c>
      <c r="J107" s="403">
        <v>106</v>
      </c>
      <c r="K107" s="403" t="s">
        <v>1666</v>
      </c>
      <c r="L107" s="403" t="s">
        <v>1644</v>
      </c>
      <c r="M107" s="403" t="s">
        <v>1667</v>
      </c>
      <c r="N107" s="403" t="s">
        <v>1604</v>
      </c>
      <c r="O107" s="403" t="s">
        <v>1668</v>
      </c>
      <c r="P107" s="403" t="s">
        <v>1606</v>
      </c>
    </row>
    <row r="108" spans="5:221">
      <c r="E108" s="403" t="s">
        <v>1677</v>
      </c>
      <c r="F108" s="403" t="s">
        <v>568</v>
      </c>
      <c r="G108" s="403">
        <v>4</v>
      </c>
      <c r="J108" s="403">
        <v>107</v>
      </c>
      <c r="K108" s="403" t="s">
        <v>1666</v>
      </c>
      <c r="L108" s="403" t="s">
        <v>1645</v>
      </c>
      <c r="M108" s="403" t="s">
        <v>1667</v>
      </c>
      <c r="N108" s="403" t="s">
        <v>1604</v>
      </c>
      <c r="O108" s="403" t="s">
        <v>1668</v>
      </c>
      <c r="P108" s="403" t="s">
        <v>1606</v>
      </c>
    </row>
    <row r="109" spans="5:221">
      <c r="E109" s="403" t="s">
        <v>1678</v>
      </c>
      <c r="F109" s="403" t="s">
        <v>568</v>
      </c>
      <c r="G109" s="403">
        <v>4</v>
      </c>
      <c r="J109" s="403">
        <v>108</v>
      </c>
      <c r="K109" s="403" t="s">
        <v>1666</v>
      </c>
      <c r="L109" s="403" t="s">
        <v>1646</v>
      </c>
      <c r="M109" s="403" t="s">
        <v>1667</v>
      </c>
      <c r="N109" s="403" t="s">
        <v>1604</v>
      </c>
      <c r="O109" s="403" t="s">
        <v>1668</v>
      </c>
      <c r="P109" s="403" t="s">
        <v>1606</v>
      </c>
    </row>
    <row r="110" spans="5:221">
      <c r="E110" s="403" t="s">
        <v>1679</v>
      </c>
      <c r="F110" s="403" t="s">
        <v>568</v>
      </c>
      <c r="G110" s="403">
        <v>4</v>
      </c>
      <c r="J110" s="403">
        <v>109</v>
      </c>
      <c r="K110" s="403" t="s">
        <v>1666</v>
      </c>
      <c r="L110" s="403" t="s">
        <v>1647</v>
      </c>
      <c r="M110" s="403" t="s">
        <v>1667</v>
      </c>
      <c r="N110" s="403" t="s">
        <v>1604</v>
      </c>
      <c r="O110" s="403" t="s">
        <v>1668</v>
      </c>
      <c r="P110" s="403" t="s">
        <v>1606</v>
      </c>
      <c r="HK110" s="405"/>
    </row>
    <row r="111" spans="5:221">
      <c r="E111" s="403" t="s">
        <v>1680</v>
      </c>
      <c r="F111" s="403" t="s">
        <v>568</v>
      </c>
      <c r="G111" s="403">
        <v>4</v>
      </c>
      <c r="J111" s="403">
        <v>110</v>
      </c>
      <c r="K111" s="403" t="s">
        <v>1666</v>
      </c>
      <c r="L111" s="403" t="s">
        <v>1648</v>
      </c>
      <c r="M111" s="403" t="s">
        <v>1667</v>
      </c>
      <c r="N111" s="403" t="s">
        <v>1604</v>
      </c>
      <c r="O111" s="403" t="s">
        <v>1668</v>
      </c>
      <c r="P111" s="403" t="s">
        <v>1606</v>
      </c>
    </row>
    <row r="112" spans="5:221">
      <c r="E112" s="403" t="s">
        <v>1681</v>
      </c>
      <c r="F112" s="403" t="s">
        <v>568</v>
      </c>
      <c r="G112" s="403">
        <v>4</v>
      </c>
      <c r="J112" s="403">
        <v>111</v>
      </c>
      <c r="K112" s="403" t="s">
        <v>1666</v>
      </c>
      <c r="L112" s="403" t="s">
        <v>1649</v>
      </c>
      <c r="M112" s="403" t="s">
        <v>1667</v>
      </c>
      <c r="N112" s="403" t="s">
        <v>1604</v>
      </c>
      <c r="O112" s="403" t="s">
        <v>1668</v>
      </c>
      <c r="P112" s="403" t="s">
        <v>1606</v>
      </c>
    </row>
    <row r="113" spans="2:21">
      <c r="E113" s="403" t="s">
        <v>1682</v>
      </c>
      <c r="F113" s="403" t="s">
        <v>568</v>
      </c>
      <c r="G113" s="403">
        <v>4</v>
      </c>
      <c r="J113" s="403">
        <v>112</v>
      </c>
      <c r="K113" s="403" t="s">
        <v>1666</v>
      </c>
      <c r="L113" s="403" t="s">
        <v>1650</v>
      </c>
      <c r="M113" s="403" t="s">
        <v>1667</v>
      </c>
      <c r="N113" s="403" t="s">
        <v>1604</v>
      </c>
      <c r="O113" s="403" t="s">
        <v>1668</v>
      </c>
      <c r="P113" s="403" t="s">
        <v>1606</v>
      </c>
    </row>
    <row r="114" spans="2:21">
      <c r="E114" s="403" t="s">
        <v>1683</v>
      </c>
      <c r="F114" s="403" t="s">
        <v>568</v>
      </c>
      <c r="G114" s="403">
        <v>4</v>
      </c>
      <c r="J114" s="403">
        <v>113</v>
      </c>
      <c r="K114" s="403" t="s">
        <v>1666</v>
      </c>
      <c r="L114" s="403" t="s">
        <v>1651</v>
      </c>
      <c r="M114" s="403" t="s">
        <v>1667</v>
      </c>
      <c r="N114" s="403" t="s">
        <v>1604</v>
      </c>
      <c r="O114" s="403" t="s">
        <v>1668</v>
      </c>
      <c r="P114" s="403" t="s">
        <v>1606</v>
      </c>
    </row>
    <row r="115" spans="2:21">
      <c r="E115" s="403" t="s">
        <v>1684</v>
      </c>
      <c r="F115" s="403" t="s">
        <v>568</v>
      </c>
      <c r="G115" s="403">
        <v>4</v>
      </c>
      <c r="J115" s="403">
        <v>114</v>
      </c>
      <c r="K115" s="403" t="s">
        <v>1666</v>
      </c>
      <c r="L115" s="403" t="s">
        <v>1652</v>
      </c>
      <c r="M115" s="403" t="s">
        <v>1667</v>
      </c>
      <c r="N115" s="403" t="s">
        <v>1604</v>
      </c>
      <c r="O115" s="403" t="s">
        <v>1668</v>
      </c>
      <c r="P115" s="403" t="s">
        <v>1606</v>
      </c>
    </row>
    <row r="116" spans="2:21">
      <c r="E116" s="403" t="s">
        <v>1685</v>
      </c>
      <c r="F116" s="403" t="s">
        <v>568</v>
      </c>
      <c r="G116" s="403">
        <v>4</v>
      </c>
      <c r="J116" s="403">
        <v>115</v>
      </c>
      <c r="K116" s="403" t="s">
        <v>1666</v>
      </c>
      <c r="L116" s="403" t="s">
        <v>1653</v>
      </c>
      <c r="M116" s="403" t="s">
        <v>1667</v>
      </c>
      <c r="N116" s="403" t="s">
        <v>1604</v>
      </c>
      <c r="O116" s="403" t="s">
        <v>1668</v>
      </c>
      <c r="P116" s="403" t="s">
        <v>1606</v>
      </c>
    </row>
    <row r="117" spans="2:21">
      <c r="E117" s="403" t="s">
        <v>1686</v>
      </c>
      <c r="F117" s="403" t="s">
        <v>568</v>
      </c>
      <c r="G117" s="403">
        <v>4</v>
      </c>
      <c r="J117" s="403">
        <v>116</v>
      </c>
      <c r="K117" s="403" t="s">
        <v>1666</v>
      </c>
      <c r="L117" s="403" t="s">
        <v>1654</v>
      </c>
      <c r="M117" s="403" t="s">
        <v>1667</v>
      </c>
      <c r="N117" s="403" t="s">
        <v>1604</v>
      </c>
      <c r="O117" s="403" t="s">
        <v>1668</v>
      </c>
      <c r="P117" s="403" t="s">
        <v>1606</v>
      </c>
    </row>
    <row r="118" spans="2:21">
      <c r="E118" s="403" t="s">
        <v>1687</v>
      </c>
      <c r="F118" s="403" t="s">
        <v>568</v>
      </c>
      <c r="G118" s="403">
        <v>4</v>
      </c>
      <c r="J118" s="403">
        <v>117</v>
      </c>
      <c r="K118" s="403" t="s">
        <v>1666</v>
      </c>
      <c r="L118" s="403" t="s">
        <v>1655</v>
      </c>
      <c r="M118" s="403" t="s">
        <v>1667</v>
      </c>
      <c r="N118" s="403" t="s">
        <v>1604</v>
      </c>
      <c r="O118" s="403" t="s">
        <v>1668</v>
      </c>
      <c r="P118" s="403" t="s">
        <v>1606</v>
      </c>
    </row>
    <row r="119" spans="2:21">
      <c r="E119" s="403" t="s">
        <v>1688</v>
      </c>
      <c r="F119" s="403" t="s">
        <v>568</v>
      </c>
      <c r="G119" s="403">
        <v>4</v>
      </c>
      <c r="J119" s="403">
        <v>118</v>
      </c>
      <c r="K119" s="403" t="s">
        <v>1666</v>
      </c>
      <c r="L119" s="403" t="s">
        <v>1656</v>
      </c>
      <c r="M119" s="403" t="s">
        <v>1667</v>
      </c>
      <c r="N119" s="403" t="s">
        <v>1604</v>
      </c>
      <c r="O119" s="403" t="s">
        <v>1668</v>
      </c>
      <c r="P119" s="403" t="s">
        <v>1606</v>
      </c>
    </row>
    <row r="120" spans="2:21">
      <c r="E120" s="403" t="s">
        <v>1689</v>
      </c>
      <c r="F120" s="403" t="s">
        <v>568</v>
      </c>
      <c r="G120" s="403">
        <v>4</v>
      </c>
      <c r="J120" s="403">
        <v>119</v>
      </c>
      <c r="K120" s="403" t="s">
        <v>1666</v>
      </c>
      <c r="L120" s="403" t="s">
        <v>1657</v>
      </c>
      <c r="M120" s="403" t="s">
        <v>1667</v>
      </c>
      <c r="N120" s="403" t="s">
        <v>1604</v>
      </c>
      <c r="O120" s="403" t="s">
        <v>1668</v>
      </c>
      <c r="P120" s="403" t="s">
        <v>1606</v>
      </c>
    </row>
    <row r="121" spans="2:21">
      <c r="E121" s="403" t="s">
        <v>1690</v>
      </c>
      <c r="F121" s="403" t="s">
        <v>568</v>
      </c>
      <c r="G121" s="403">
        <v>4</v>
      </c>
      <c r="J121" s="403">
        <v>120</v>
      </c>
      <c r="K121" s="403" t="s">
        <v>1666</v>
      </c>
      <c r="L121" s="403" t="s">
        <v>1658</v>
      </c>
      <c r="M121" s="403" t="s">
        <v>1667</v>
      </c>
      <c r="N121" s="403" t="s">
        <v>1604</v>
      </c>
      <c r="O121" s="403" t="s">
        <v>1668</v>
      </c>
      <c r="P121" s="403" t="s">
        <v>1606</v>
      </c>
    </row>
    <row r="122" spans="2:21">
      <c r="E122" s="403" t="s">
        <v>1691</v>
      </c>
      <c r="F122" s="403" t="s">
        <v>568</v>
      </c>
      <c r="G122" s="403">
        <v>4</v>
      </c>
      <c r="J122" s="403">
        <v>121</v>
      </c>
      <c r="K122" s="403" t="s">
        <v>1666</v>
      </c>
      <c r="L122" s="403" t="s">
        <v>1659</v>
      </c>
      <c r="M122" s="403" t="s">
        <v>1667</v>
      </c>
      <c r="N122" s="403" t="s">
        <v>1604</v>
      </c>
      <c r="O122" s="403" t="s">
        <v>1668</v>
      </c>
      <c r="P122" s="403" t="s">
        <v>1606</v>
      </c>
    </row>
    <row r="123" spans="2:21">
      <c r="E123" s="403" t="s">
        <v>1692</v>
      </c>
      <c r="F123" s="403" t="s">
        <v>568</v>
      </c>
      <c r="G123" s="403">
        <v>4</v>
      </c>
      <c r="J123" s="403">
        <v>122</v>
      </c>
      <c r="K123" s="403" t="s">
        <v>1666</v>
      </c>
      <c r="L123" s="403" t="s">
        <v>1660</v>
      </c>
      <c r="M123" s="403" t="s">
        <v>1667</v>
      </c>
      <c r="N123" s="403" t="s">
        <v>1604</v>
      </c>
      <c r="O123" s="403" t="s">
        <v>1668</v>
      </c>
      <c r="P123" s="403" t="s">
        <v>1606</v>
      </c>
    </row>
    <row r="124" spans="2:21">
      <c r="E124" s="403" t="s">
        <v>1693</v>
      </c>
      <c r="F124" s="403" t="s">
        <v>568</v>
      </c>
      <c r="G124" s="403">
        <v>4</v>
      </c>
      <c r="J124" s="403">
        <v>123</v>
      </c>
      <c r="K124" s="403" t="s">
        <v>1666</v>
      </c>
      <c r="L124" s="403" t="s">
        <v>1661</v>
      </c>
      <c r="M124" s="403" t="s">
        <v>1667</v>
      </c>
      <c r="N124" s="403" t="s">
        <v>1604</v>
      </c>
      <c r="O124" s="403" t="s">
        <v>1668</v>
      </c>
      <c r="P124" s="403" t="s">
        <v>1606</v>
      </c>
    </row>
    <row r="125" spans="2:21">
      <c r="E125" s="403" t="s">
        <v>1694</v>
      </c>
      <c r="F125" s="403" t="s">
        <v>568</v>
      </c>
      <c r="G125" s="403">
        <v>4</v>
      </c>
      <c r="J125" s="403">
        <v>124</v>
      </c>
      <c r="K125" s="403" t="s">
        <v>1666</v>
      </c>
      <c r="L125" s="403" t="s">
        <v>1662</v>
      </c>
      <c r="M125" s="403" t="s">
        <v>1667</v>
      </c>
      <c r="N125" s="403" t="s">
        <v>1604</v>
      </c>
      <c r="O125" s="403" t="s">
        <v>1668</v>
      </c>
      <c r="P125" s="403" t="s">
        <v>1606</v>
      </c>
    </row>
    <row r="126" spans="2:21">
      <c r="E126" s="403" t="s">
        <v>1695</v>
      </c>
      <c r="F126" s="403" t="s">
        <v>568</v>
      </c>
      <c r="G126" s="403">
        <v>4</v>
      </c>
      <c r="J126" s="403">
        <v>125</v>
      </c>
      <c r="K126" s="403" t="s">
        <v>1666</v>
      </c>
      <c r="L126" s="403" t="s">
        <v>1663</v>
      </c>
      <c r="M126" s="403" t="s">
        <v>1667</v>
      </c>
      <c r="N126" s="403" t="s">
        <v>1604</v>
      </c>
      <c r="O126" s="403" t="s">
        <v>1668</v>
      </c>
      <c r="P126" s="403" t="s">
        <v>1606</v>
      </c>
    </row>
    <row r="127" spans="2:21">
      <c r="B127" s="403" t="s">
        <v>697</v>
      </c>
      <c r="C127" s="403" t="s">
        <v>574</v>
      </c>
      <c r="E127" s="403" t="s">
        <v>697</v>
      </c>
      <c r="F127" s="403" t="s">
        <v>568</v>
      </c>
      <c r="G127" s="403">
        <v>3</v>
      </c>
      <c r="J127" s="403">
        <v>126</v>
      </c>
      <c r="L127" s="403" t="s">
        <v>1696</v>
      </c>
      <c r="M127" s="403" t="s">
        <v>1697</v>
      </c>
      <c r="N127" s="403" t="s">
        <v>1698</v>
      </c>
      <c r="O127" s="403" t="s">
        <v>1699</v>
      </c>
    </row>
    <row r="128" spans="2:21">
      <c r="B128" s="403" t="s">
        <v>698</v>
      </c>
      <c r="C128" s="403" t="s">
        <v>574</v>
      </c>
      <c r="E128" s="403" t="s">
        <v>698</v>
      </c>
      <c r="F128" s="403" t="s">
        <v>568</v>
      </c>
      <c r="G128" s="403">
        <v>9</v>
      </c>
      <c r="J128" s="403">
        <v>127</v>
      </c>
      <c r="L128" s="403" t="s">
        <v>1700</v>
      </c>
      <c r="M128" s="403" t="s">
        <v>1701</v>
      </c>
      <c r="N128" s="403" t="s">
        <v>1702</v>
      </c>
      <c r="O128" s="403">
        <v>618</v>
      </c>
      <c r="P128" s="403" t="s">
        <v>1703</v>
      </c>
      <c r="Q128" s="403" t="s">
        <v>1704</v>
      </c>
      <c r="R128" s="403" t="s">
        <v>1705</v>
      </c>
      <c r="S128" s="403" t="s">
        <v>1706</v>
      </c>
      <c r="T128" s="403" t="s">
        <v>1707</v>
      </c>
      <c r="U128" s="403" t="s">
        <v>728</v>
      </c>
    </row>
    <row r="129" spans="2:29">
      <c r="E129" s="403" t="s">
        <v>1708</v>
      </c>
      <c r="F129" s="403" t="s">
        <v>571</v>
      </c>
      <c r="J129" s="403">
        <v>128</v>
      </c>
      <c r="L129" s="403" t="s">
        <v>1709</v>
      </c>
    </row>
    <row r="130" spans="2:29">
      <c r="B130" s="403" t="s">
        <v>699</v>
      </c>
      <c r="C130" s="403" t="s">
        <v>574</v>
      </c>
      <c r="E130" s="403" t="s">
        <v>699</v>
      </c>
      <c r="F130" s="403" t="s">
        <v>568</v>
      </c>
      <c r="G130" s="403">
        <v>9</v>
      </c>
      <c r="J130" s="403">
        <v>129</v>
      </c>
      <c r="L130" s="403" t="s">
        <v>1710</v>
      </c>
      <c r="M130" s="403" t="s">
        <v>1701</v>
      </c>
      <c r="N130" s="403" t="s">
        <v>1702</v>
      </c>
      <c r="O130" s="403">
        <v>618</v>
      </c>
      <c r="P130" s="403" t="s">
        <v>1703</v>
      </c>
      <c r="Q130" s="403" t="s">
        <v>1704</v>
      </c>
      <c r="R130" s="403" t="s">
        <v>1705</v>
      </c>
      <c r="S130" s="403" t="s">
        <v>1706</v>
      </c>
      <c r="T130" s="403" t="s">
        <v>1707</v>
      </c>
      <c r="U130" s="403" t="s">
        <v>728</v>
      </c>
    </row>
    <row r="131" spans="2:29">
      <c r="E131" s="403" t="s">
        <v>1711</v>
      </c>
      <c r="F131" s="403" t="s">
        <v>571</v>
      </c>
      <c r="J131" s="403">
        <v>130</v>
      </c>
      <c r="L131" s="403" t="s">
        <v>1712</v>
      </c>
    </row>
    <row r="132" spans="2:29">
      <c r="B132" s="403" t="s">
        <v>700</v>
      </c>
      <c r="C132" s="403" t="s">
        <v>1713</v>
      </c>
      <c r="E132" s="403" t="s">
        <v>1714</v>
      </c>
      <c r="F132" s="403" t="s">
        <v>571</v>
      </c>
      <c r="J132" s="403">
        <v>131</v>
      </c>
      <c r="L132" s="403" t="s">
        <v>1715</v>
      </c>
    </row>
    <row r="133" spans="2:29">
      <c r="B133" s="403" t="s">
        <v>704</v>
      </c>
      <c r="C133" s="403" t="s">
        <v>1713</v>
      </c>
      <c r="E133" s="403" t="s">
        <v>1716</v>
      </c>
      <c r="F133" s="403" t="s">
        <v>571</v>
      </c>
      <c r="J133" s="403">
        <v>132</v>
      </c>
      <c r="L133" s="403" t="s">
        <v>1717</v>
      </c>
    </row>
    <row r="134" spans="2:29">
      <c r="B134" s="403" t="s">
        <v>705</v>
      </c>
      <c r="C134" s="403" t="s">
        <v>574</v>
      </c>
      <c r="E134" s="403" t="s">
        <v>705</v>
      </c>
      <c r="F134" s="403" t="s">
        <v>568</v>
      </c>
      <c r="G134" s="403">
        <v>6</v>
      </c>
      <c r="J134" s="403">
        <v>133</v>
      </c>
      <c r="L134" s="403" t="s">
        <v>1718</v>
      </c>
      <c r="M134" s="403" t="s">
        <v>1719</v>
      </c>
      <c r="N134" s="403" t="s">
        <v>1720</v>
      </c>
      <c r="O134" s="403" t="s">
        <v>1721</v>
      </c>
      <c r="P134" s="403" t="s">
        <v>1722</v>
      </c>
      <c r="Q134" s="403" t="s">
        <v>1723</v>
      </c>
      <c r="R134" s="403" t="s">
        <v>1724</v>
      </c>
    </row>
    <row r="135" spans="2:29">
      <c r="B135" s="403" t="s">
        <v>706</v>
      </c>
      <c r="C135" s="403" t="s">
        <v>1713</v>
      </c>
      <c r="E135" s="403" t="s">
        <v>1725</v>
      </c>
      <c r="F135" s="403" t="s">
        <v>571</v>
      </c>
      <c r="J135" s="403">
        <v>134</v>
      </c>
      <c r="L135" s="403" t="s">
        <v>1726</v>
      </c>
    </row>
    <row r="136" spans="2:29">
      <c r="B136" s="403" t="s">
        <v>1727</v>
      </c>
      <c r="C136" s="403" t="s">
        <v>610</v>
      </c>
      <c r="E136" s="403" t="s">
        <v>1727</v>
      </c>
      <c r="F136" s="403" t="s">
        <v>611</v>
      </c>
      <c r="G136" s="403">
        <v>17</v>
      </c>
      <c r="J136" s="403">
        <v>135</v>
      </c>
      <c r="L136" s="403" t="s">
        <v>1728</v>
      </c>
      <c r="M136" s="403" t="s">
        <v>1729</v>
      </c>
      <c r="N136" s="403" t="s">
        <v>1730</v>
      </c>
      <c r="O136" s="403" t="s">
        <v>1731</v>
      </c>
      <c r="P136" s="403" t="s">
        <v>1732</v>
      </c>
      <c r="Q136" s="403" t="s">
        <v>1733</v>
      </c>
      <c r="R136" s="403" t="s">
        <v>1734</v>
      </c>
      <c r="S136" s="403" t="s">
        <v>1735</v>
      </c>
      <c r="T136" s="403" t="s">
        <v>1736</v>
      </c>
      <c r="U136" s="403" t="s">
        <v>1737</v>
      </c>
      <c r="V136" s="403" t="s">
        <v>1738</v>
      </c>
      <c r="W136" s="403" t="s">
        <v>1739</v>
      </c>
      <c r="X136" s="403" t="s">
        <v>1740</v>
      </c>
      <c r="Y136" s="403" t="s">
        <v>1741</v>
      </c>
      <c r="Z136" s="403" t="s">
        <v>1742</v>
      </c>
      <c r="AA136" s="403" t="s">
        <v>1743</v>
      </c>
      <c r="AB136" s="403" t="s">
        <v>1744</v>
      </c>
      <c r="AC136" s="403" t="s">
        <v>728</v>
      </c>
    </row>
    <row r="137" spans="2:29">
      <c r="E137" s="403" t="s">
        <v>1745</v>
      </c>
      <c r="F137" s="403" t="s">
        <v>571</v>
      </c>
      <c r="J137" s="403">
        <v>136</v>
      </c>
      <c r="L137" s="403" t="s">
        <v>1746</v>
      </c>
    </row>
    <row r="138" spans="2:29">
      <c r="B138" s="403" t="s">
        <v>1747</v>
      </c>
      <c r="C138" s="403" t="s">
        <v>610</v>
      </c>
      <c r="E138" s="403" t="s">
        <v>1747</v>
      </c>
      <c r="F138" s="403" t="s">
        <v>611</v>
      </c>
      <c r="G138" s="403">
        <v>17</v>
      </c>
      <c r="J138" s="403">
        <v>137</v>
      </c>
      <c r="L138" s="403" t="s">
        <v>1748</v>
      </c>
      <c r="M138" s="403" t="s">
        <v>1749</v>
      </c>
      <c r="N138" s="403" t="s">
        <v>1750</v>
      </c>
      <c r="O138" s="403" t="s">
        <v>1751</v>
      </c>
      <c r="P138" s="403" t="s">
        <v>1752</v>
      </c>
      <c r="Q138" s="403" t="s">
        <v>1753</v>
      </c>
      <c r="R138" s="403" t="s">
        <v>1754</v>
      </c>
      <c r="S138" s="403" t="s">
        <v>1755</v>
      </c>
      <c r="T138" s="403" t="s">
        <v>1756</v>
      </c>
      <c r="U138" s="403" t="s">
        <v>1757</v>
      </c>
      <c r="V138" s="403" t="s">
        <v>1758</v>
      </c>
      <c r="W138" s="403" t="s">
        <v>1759</v>
      </c>
      <c r="X138" s="403" t="s">
        <v>1760</v>
      </c>
      <c r="Y138" s="403" t="s">
        <v>1761</v>
      </c>
      <c r="Z138" s="403" t="s">
        <v>1762</v>
      </c>
      <c r="AA138" s="403" t="s">
        <v>1763</v>
      </c>
      <c r="AB138" s="403" t="s">
        <v>1764</v>
      </c>
      <c r="AC138" s="403" t="s">
        <v>729</v>
      </c>
    </row>
    <row r="139" spans="2:29">
      <c r="B139" s="403" t="s">
        <v>1765</v>
      </c>
      <c r="C139" s="403" t="s">
        <v>574</v>
      </c>
      <c r="E139" s="403" t="s">
        <v>1765</v>
      </c>
      <c r="F139" s="403" t="s">
        <v>568</v>
      </c>
      <c r="G139" s="403">
        <v>16</v>
      </c>
      <c r="J139" s="403">
        <v>138</v>
      </c>
      <c r="L139" s="403" t="s">
        <v>767</v>
      </c>
      <c r="M139" s="403" t="s">
        <v>768</v>
      </c>
      <c r="N139" s="403" t="s">
        <v>769</v>
      </c>
      <c r="O139" s="403" t="s">
        <v>770</v>
      </c>
      <c r="P139" s="403" t="s">
        <v>771</v>
      </c>
      <c r="Q139" s="403" t="s">
        <v>772</v>
      </c>
      <c r="R139" s="403" t="s">
        <v>773</v>
      </c>
      <c r="S139" s="403" t="s">
        <v>774</v>
      </c>
      <c r="T139" s="403" t="s">
        <v>775</v>
      </c>
      <c r="U139" s="403" t="s">
        <v>776</v>
      </c>
      <c r="V139" s="403" t="s">
        <v>777</v>
      </c>
      <c r="W139" s="403" t="s">
        <v>778</v>
      </c>
      <c r="X139" s="403" t="s">
        <v>779</v>
      </c>
      <c r="Y139" s="403" t="s">
        <v>780</v>
      </c>
      <c r="Z139" s="403" t="s">
        <v>781</v>
      </c>
      <c r="AA139" s="403" t="s">
        <v>782</v>
      </c>
      <c r="AB139" s="403" t="s">
        <v>1766</v>
      </c>
    </row>
    <row r="140" spans="2:29">
      <c r="E140" s="403" t="s">
        <v>1767</v>
      </c>
      <c r="F140" s="403" t="s">
        <v>571</v>
      </c>
      <c r="J140" s="403">
        <v>139</v>
      </c>
      <c r="L140" s="403" t="s">
        <v>1768</v>
      </c>
    </row>
    <row r="141" spans="2:29">
      <c r="B141" s="403" t="s">
        <v>1769</v>
      </c>
      <c r="C141" s="403" t="s">
        <v>574</v>
      </c>
      <c r="E141" s="403" t="s">
        <v>1769</v>
      </c>
      <c r="F141" s="403" t="s">
        <v>568</v>
      </c>
      <c r="G141" s="403">
        <v>5</v>
      </c>
      <c r="J141" s="403">
        <v>140</v>
      </c>
      <c r="L141" s="403" t="s">
        <v>1770</v>
      </c>
      <c r="M141" s="403" t="s">
        <v>1771</v>
      </c>
      <c r="N141" s="403" t="s">
        <v>1772</v>
      </c>
      <c r="O141" s="403" t="s">
        <v>1773</v>
      </c>
      <c r="P141" s="403" t="s">
        <v>1774</v>
      </c>
      <c r="Q141" s="403" t="s">
        <v>1766</v>
      </c>
    </row>
    <row r="142" spans="2:29">
      <c r="E142" s="403" t="s">
        <v>1775</v>
      </c>
      <c r="F142" s="403" t="s">
        <v>571</v>
      </c>
      <c r="J142" s="403">
        <v>141</v>
      </c>
      <c r="L142" s="403" t="s">
        <v>1776</v>
      </c>
    </row>
    <row r="143" spans="2:29">
      <c r="B143" s="403" t="s">
        <v>1777</v>
      </c>
      <c r="C143" s="403" t="s">
        <v>574</v>
      </c>
      <c r="E143" s="403" t="s">
        <v>1777</v>
      </c>
      <c r="F143" s="403" t="s">
        <v>568</v>
      </c>
      <c r="G143" s="403">
        <v>14</v>
      </c>
      <c r="J143" s="403">
        <v>142</v>
      </c>
      <c r="L143" s="403" t="s">
        <v>1778</v>
      </c>
      <c r="M143" s="403" t="s">
        <v>1779</v>
      </c>
      <c r="N143" s="403" t="s">
        <v>1780</v>
      </c>
      <c r="O143" s="403" t="s">
        <v>1781</v>
      </c>
      <c r="P143" s="403" t="s">
        <v>1782</v>
      </c>
      <c r="Q143" s="403" t="s">
        <v>1783</v>
      </c>
      <c r="R143" s="403" t="s">
        <v>1784</v>
      </c>
      <c r="S143" s="403" t="s">
        <v>1785</v>
      </c>
      <c r="T143" s="403" t="s">
        <v>1786</v>
      </c>
      <c r="U143" s="403" t="s">
        <v>1787</v>
      </c>
      <c r="V143" s="403" t="s">
        <v>1788</v>
      </c>
      <c r="W143" s="403" t="s">
        <v>1789</v>
      </c>
      <c r="X143" s="403" t="s">
        <v>1790</v>
      </c>
      <c r="Y143" s="403" t="s">
        <v>1791</v>
      </c>
      <c r="Z143" s="403" t="s">
        <v>1792</v>
      </c>
    </row>
    <row r="144" spans="2:29">
      <c r="B144" s="403" t="s">
        <v>1793</v>
      </c>
      <c r="C144" s="403" t="s">
        <v>574</v>
      </c>
      <c r="E144" s="403" t="s">
        <v>1793</v>
      </c>
      <c r="F144" s="403" t="s">
        <v>568</v>
      </c>
      <c r="G144" s="403">
        <v>9</v>
      </c>
      <c r="J144" s="403">
        <v>143</v>
      </c>
      <c r="L144" s="403" t="s">
        <v>1794</v>
      </c>
      <c r="M144" s="403" t="s">
        <v>1795</v>
      </c>
      <c r="N144" s="403" t="s">
        <v>1796</v>
      </c>
      <c r="O144" s="403" t="s">
        <v>1797</v>
      </c>
      <c r="P144" s="403" t="s">
        <v>1798</v>
      </c>
      <c r="Q144" s="403" t="s">
        <v>1799</v>
      </c>
      <c r="R144" s="403" t="s">
        <v>1800</v>
      </c>
      <c r="S144" s="403" t="s">
        <v>1801</v>
      </c>
      <c r="T144" s="403" t="s">
        <v>1802</v>
      </c>
      <c r="U144" s="403" t="s">
        <v>1766</v>
      </c>
    </row>
    <row r="145" spans="5:12">
      <c r="E145" s="403" t="s">
        <v>1803</v>
      </c>
      <c r="F145" s="403" t="s">
        <v>571</v>
      </c>
      <c r="J145" s="403">
        <v>144</v>
      </c>
      <c r="L145" s="403" t="s">
        <v>1804</v>
      </c>
    </row>
  </sheetData>
  <phoneticPr fontId="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8" tint="-0.249977111117893"/>
  </sheetPr>
  <dimension ref="A1:IC145"/>
  <sheetViews>
    <sheetView workbookViewId="0">
      <selection activeCell="L13" sqref="L13"/>
    </sheetView>
  </sheetViews>
  <sheetFormatPr defaultColWidth="9" defaultRowHeight="13.8"/>
  <cols>
    <col min="1" max="6" width="9" style="143"/>
    <col min="7" max="7" width="9" style="142"/>
    <col min="8" max="11" width="9" style="143"/>
    <col min="12" max="12" width="33.5546875" style="143" customWidth="1"/>
    <col min="13" max="16384" width="9" style="143"/>
  </cols>
  <sheetData>
    <row r="1" spans="1:237">
      <c r="A1" s="143" t="s">
        <v>524</v>
      </c>
      <c r="B1" s="143" t="s">
        <v>525</v>
      </c>
      <c r="C1" s="143" t="s">
        <v>526</v>
      </c>
      <c r="D1" s="143" t="s">
        <v>527</v>
      </c>
      <c r="E1" s="143" t="s">
        <v>528</v>
      </c>
      <c r="F1" s="143" t="s">
        <v>529</v>
      </c>
      <c r="G1" s="142" t="s">
        <v>530</v>
      </c>
      <c r="H1" s="143" t="s">
        <v>531</v>
      </c>
      <c r="I1" s="143" t="s">
        <v>532</v>
      </c>
      <c r="J1" s="143" t="s">
        <v>533</v>
      </c>
      <c r="K1" s="143" t="s">
        <v>534</v>
      </c>
      <c r="L1" s="143" t="s">
        <v>535</v>
      </c>
      <c r="M1" s="143">
        <v>1</v>
      </c>
      <c r="N1" s="143">
        <v>2</v>
      </c>
      <c r="O1" s="143">
        <v>3</v>
      </c>
      <c r="P1" s="143">
        <v>4</v>
      </c>
      <c r="Q1" s="143">
        <v>5</v>
      </c>
      <c r="R1" s="143">
        <v>6</v>
      </c>
      <c r="S1" s="143">
        <v>7</v>
      </c>
      <c r="T1" s="143">
        <v>8</v>
      </c>
      <c r="U1" s="143">
        <v>9</v>
      </c>
      <c r="V1" s="143">
        <v>10</v>
      </c>
      <c r="W1" s="143">
        <v>11</v>
      </c>
      <c r="X1" s="143">
        <v>12</v>
      </c>
      <c r="Y1" s="143">
        <v>13</v>
      </c>
      <c r="Z1" s="143">
        <v>14</v>
      </c>
      <c r="AA1" s="143">
        <v>15</v>
      </c>
      <c r="AB1" s="143">
        <v>16</v>
      </c>
      <c r="AC1" s="143">
        <v>17</v>
      </c>
      <c r="AD1" s="143">
        <v>18</v>
      </c>
      <c r="AE1" s="143">
        <v>19</v>
      </c>
      <c r="AF1" s="143">
        <v>20</v>
      </c>
      <c r="AG1" s="143">
        <v>21</v>
      </c>
      <c r="AH1" s="143">
        <v>22</v>
      </c>
      <c r="AI1" s="143">
        <v>23</v>
      </c>
      <c r="AJ1" s="143">
        <v>24</v>
      </c>
      <c r="AK1" s="143">
        <v>25</v>
      </c>
      <c r="AL1" s="143">
        <v>26</v>
      </c>
      <c r="AM1" s="143">
        <v>27</v>
      </c>
      <c r="AN1" s="143">
        <v>28</v>
      </c>
      <c r="AO1" s="143">
        <v>29</v>
      </c>
      <c r="AP1" s="143">
        <v>30</v>
      </c>
      <c r="AQ1" s="143">
        <v>31</v>
      </c>
      <c r="AR1" s="143">
        <v>32</v>
      </c>
      <c r="AS1" s="143">
        <v>33</v>
      </c>
      <c r="AT1" s="143">
        <v>34</v>
      </c>
      <c r="AU1" s="143">
        <v>35</v>
      </c>
      <c r="AV1" s="143">
        <v>36</v>
      </c>
      <c r="AW1" s="143">
        <v>37</v>
      </c>
      <c r="AX1" s="143">
        <v>38</v>
      </c>
      <c r="AY1" s="143">
        <v>39</v>
      </c>
      <c r="AZ1" s="143">
        <v>40</v>
      </c>
      <c r="BA1" s="143">
        <v>41</v>
      </c>
      <c r="BB1" s="143">
        <v>42</v>
      </c>
      <c r="BC1" s="143">
        <v>43</v>
      </c>
      <c r="BD1" s="143">
        <v>44</v>
      </c>
      <c r="BE1" s="143">
        <v>45</v>
      </c>
      <c r="BF1" s="143">
        <v>46</v>
      </c>
      <c r="BG1" s="143">
        <v>47</v>
      </c>
      <c r="BH1" s="143">
        <v>48</v>
      </c>
      <c r="BI1" s="143">
        <v>49</v>
      </c>
      <c r="BJ1" s="143">
        <v>50</v>
      </c>
      <c r="BK1" s="143">
        <v>51</v>
      </c>
      <c r="BL1" s="143">
        <v>52</v>
      </c>
      <c r="BM1" s="143">
        <v>53</v>
      </c>
      <c r="BN1" s="143">
        <v>54</v>
      </c>
      <c r="BO1" s="143">
        <v>55</v>
      </c>
      <c r="BP1" s="143">
        <v>56</v>
      </c>
      <c r="BQ1" s="143">
        <v>57</v>
      </c>
      <c r="BR1" s="143">
        <v>58</v>
      </c>
      <c r="BS1" s="143">
        <v>59</v>
      </c>
      <c r="BT1" s="143">
        <v>60</v>
      </c>
      <c r="BU1" s="143">
        <v>61</v>
      </c>
      <c r="BV1" s="143">
        <v>62</v>
      </c>
      <c r="BW1" s="143">
        <v>63</v>
      </c>
      <c r="BX1" s="143">
        <v>64</v>
      </c>
      <c r="BY1" s="143">
        <v>65</v>
      </c>
      <c r="BZ1" s="143">
        <v>66</v>
      </c>
      <c r="CA1" s="143">
        <v>67</v>
      </c>
      <c r="CB1" s="143">
        <v>68</v>
      </c>
      <c r="CC1" s="143">
        <v>69</v>
      </c>
      <c r="CD1" s="143">
        <v>70</v>
      </c>
      <c r="CE1" s="143">
        <v>71</v>
      </c>
      <c r="CF1" s="143">
        <v>72</v>
      </c>
      <c r="CG1" s="143">
        <v>73</v>
      </c>
      <c r="CH1" s="143">
        <v>74</v>
      </c>
      <c r="CI1" s="143">
        <v>75</v>
      </c>
      <c r="CJ1" s="143">
        <v>76</v>
      </c>
      <c r="CK1" s="143">
        <v>77</v>
      </c>
      <c r="CL1" s="143">
        <v>78</v>
      </c>
      <c r="CM1" s="143">
        <v>79</v>
      </c>
      <c r="CN1" s="143">
        <v>80</v>
      </c>
      <c r="CO1" s="143">
        <v>81</v>
      </c>
      <c r="CP1" s="143">
        <v>82</v>
      </c>
      <c r="CQ1" s="143">
        <v>83</v>
      </c>
      <c r="CR1" s="143">
        <v>84</v>
      </c>
      <c r="CS1" s="143">
        <v>85</v>
      </c>
      <c r="CT1" s="143">
        <v>86</v>
      </c>
      <c r="CU1" s="143">
        <v>87</v>
      </c>
      <c r="CV1" s="143">
        <v>88</v>
      </c>
      <c r="CW1" s="143">
        <v>89</v>
      </c>
      <c r="CX1" s="143">
        <v>90</v>
      </c>
      <c r="CY1" s="143">
        <v>91</v>
      </c>
      <c r="CZ1" s="143">
        <v>92</v>
      </c>
      <c r="DA1" s="143">
        <v>93</v>
      </c>
      <c r="DB1" s="143">
        <v>94</v>
      </c>
      <c r="DC1" s="143">
        <v>95</v>
      </c>
      <c r="DD1" s="143">
        <v>96</v>
      </c>
      <c r="DE1" s="143">
        <v>97</v>
      </c>
      <c r="DF1" s="143">
        <v>98</v>
      </c>
      <c r="DG1" s="143">
        <v>99</v>
      </c>
      <c r="DH1" s="143">
        <v>100</v>
      </c>
      <c r="DI1" s="143">
        <v>101</v>
      </c>
      <c r="DJ1" s="143">
        <v>102</v>
      </c>
      <c r="DK1" s="143">
        <v>103</v>
      </c>
      <c r="DL1" s="143">
        <v>104</v>
      </c>
      <c r="DM1" s="143">
        <v>105</v>
      </c>
      <c r="DN1" s="143">
        <v>106</v>
      </c>
      <c r="DO1" s="143">
        <v>107</v>
      </c>
      <c r="DP1" s="143">
        <v>108</v>
      </c>
      <c r="DQ1" s="143">
        <v>109</v>
      </c>
      <c r="DR1" s="143">
        <v>110</v>
      </c>
      <c r="DS1" s="143">
        <v>111</v>
      </c>
      <c r="DT1" s="143">
        <v>112</v>
      </c>
      <c r="DU1" s="143">
        <v>113</v>
      </c>
      <c r="DV1" s="143">
        <v>114</v>
      </c>
      <c r="DW1" s="143">
        <v>115</v>
      </c>
      <c r="DX1" s="143">
        <v>116</v>
      </c>
      <c r="DY1" s="143">
        <v>117</v>
      </c>
      <c r="DZ1" s="143">
        <v>118</v>
      </c>
      <c r="EA1" s="143">
        <v>119</v>
      </c>
      <c r="EB1" s="143">
        <v>120</v>
      </c>
      <c r="EC1" s="143">
        <v>121</v>
      </c>
      <c r="ED1" s="143">
        <v>122</v>
      </c>
      <c r="EE1" s="143">
        <v>123</v>
      </c>
      <c r="EF1" s="143">
        <v>124</v>
      </c>
      <c r="EG1" s="143">
        <v>125</v>
      </c>
      <c r="EH1" s="143">
        <v>126</v>
      </c>
      <c r="EI1" s="143">
        <v>127</v>
      </c>
      <c r="EJ1" s="143">
        <v>128</v>
      </c>
      <c r="EK1" s="143">
        <v>129</v>
      </c>
      <c r="EL1" s="143">
        <v>130</v>
      </c>
      <c r="EM1" s="143">
        <v>131</v>
      </c>
      <c r="EN1" s="143">
        <v>132</v>
      </c>
      <c r="EO1" s="143">
        <v>133</v>
      </c>
      <c r="EP1" s="143">
        <v>134</v>
      </c>
      <c r="EQ1" s="143">
        <v>135</v>
      </c>
      <c r="ER1" s="143">
        <v>136</v>
      </c>
      <c r="ES1" s="143">
        <v>137</v>
      </c>
      <c r="ET1" s="143">
        <v>138</v>
      </c>
      <c r="EU1" s="143">
        <v>139</v>
      </c>
      <c r="EV1" s="143">
        <v>140</v>
      </c>
      <c r="EW1" s="143">
        <v>141</v>
      </c>
      <c r="EX1" s="143">
        <v>142</v>
      </c>
      <c r="EY1" s="143">
        <v>143</v>
      </c>
      <c r="EZ1" s="143">
        <v>144</v>
      </c>
      <c r="FA1" s="143">
        <v>145</v>
      </c>
      <c r="FB1" s="143">
        <v>146</v>
      </c>
      <c r="FC1" s="143">
        <v>147</v>
      </c>
      <c r="FD1" s="143">
        <v>148</v>
      </c>
      <c r="FE1" s="143">
        <v>149</v>
      </c>
      <c r="FF1" s="143">
        <v>150</v>
      </c>
      <c r="FG1" s="143">
        <v>151</v>
      </c>
      <c r="FH1" s="143">
        <v>152</v>
      </c>
      <c r="FI1" s="143">
        <v>153</v>
      </c>
      <c r="FJ1" s="143">
        <v>154</v>
      </c>
      <c r="FK1" s="143">
        <v>155</v>
      </c>
      <c r="FL1" s="143">
        <v>156</v>
      </c>
      <c r="FM1" s="143">
        <v>157</v>
      </c>
      <c r="FN1" s="143">
        <v>158</v>
      </c>
      <c r="FO1" s="143">
        <v>159</v>
      </c>
      <c r="FP1" s="143">
        <v>160</v>
      </c>
      <c r="FQ1" s="143">
        <v>161</v>
      </c>
      <c r="FR1" s="143">
        <v>162</v>
      </c>
      <c r="FS1" s="143">
        <v>163</v>
      </c>
      <c r="FT1" s="143">
        <v>164</v>
      </c>
      <c r="FU1" s="143">
        <v>165</v>
      </c>
      <c r="FV1" s="143">
        <v>166</v>
      </c>
      <c r="FW1" s="143">
        <v>167</v>
      </c>
      <c r="FX1" s="143">
        <v>168</v>
      </c>
      <c r="FY1" s="143">
        <v>169</v>
      </c>
      <c r="FZ1" s="143">
        <v>170</v>
      </c>
      <c r="GA1" s="143">
        <v>171</v>
      </c>
      <c r="GB1" s="143">
        <v>172</v>
      </c>
      <c r="GC1" s="143">
        <v>173</v>
      </c>
      <c r="GD1" s="143">
        <v>174</v>
      </c>
      <c r="GE1" s="143">
        <v>175</v>
      </c>
      <c r="GF1" s="143">
        <v>176</v>
      </c>
      <c r="GG1" s="143">
        <v>177</v>
      </c>
      <c r="GH1" s="143">
        <v>178</v>
      </c>
      <c r="GI1" s="143">
        <v>179</v>
      </c>
      <c r="GJ1" s="143">
        <v>180</v>
      </c>
      <c r="GK1" s="143">
        <v>181</v>
      </c>
      <c r="GL1" s="143">
        <v>182</v>
      </c>
      <c r="GM1" s="143">
        <v>183</v>
      </c>
      <c r="GN1" s="143">
        <v>184</v>
      </c>
      <c r="GO1" s="143">
        <v>185</v>
      </c>
      <c r="GP1" s="143">
        <v>186</v>
      </c>
      <c r="GQ1" s="143">
        <v>187</v>
      </c>
      <c r="GR1" s="143">
        <v>188</v>
      </c>
      <c r="GS1" s="143">
        <v>189</v>
      </c>
      <c r="GT1" s="143">
        <v>190</v>
      </c>
      <c r="GU1" s="143">
        <v>191</v>
      </c>
      <c r="GV1" s="143">
        <v>192</v>
      </c>
      <c r="GW1" s="143">
        <v>193</v>
      </c>
      <c r="GX1" s="143">
        <v>194</v>
      </c>
      <c r="GY1" s="143">
        <v>195</v>
      </c>
      <c r="GZ1" s="143">
        <v>196</v>
      </c>
      <c r="HA1" s="143">
        <v>197</v>
      </c>
      <c r="HB1" s="143">
        <v>198</v>
      </c>
      <c r="HC1" s="143">
        <v>199</v>
      </c>
      <c r="HD1" s="143">
        <v>200</v>
      </c>
      <c r="HE1" s="143" t="s">
        <v>536</v>
      </c>
      <c r="HF1" s="143" t="s">
        <v>537</v>
      </c>
      <c r="HG1" s="143" t="s">
        <v>538</v>
      </c>
      <c r="HH1" s="143" t="s">
        <v>539</v>
      </c>
      <c r="HI1" s="143" t="s">
        <v>540</v>
      </c>
      <c r="HJ1" s="143" t="s">
        <v>541</v>
      </c>
      <c r="HK1" s="143" t="s">
        <v>542</v>
      </c>
      <c r="HL1" s="143" t="s">
        <v>543</v>
      </c>
      <c r="HM1" s="143" t="s">
        <v>544</v>
      </c>
      <c r="HN1" s="143" t="s">
        <v>545</v>
      </c>
      <c r="HO1" s="143" t="s">
        <v>546</v>
      </c>
      <c r="HP1" s="143" t="s">
        <v>547</v>
      </c>
      <c r="HQ1" s="143" t="s">
        <v>548</v>
      </c>
      <c r="HR1" s="143" t="s">
        <v>549</v>
      </c>
      <c r="HS1" s="143" t="s">
        <v>550</v>
      </c>
      <c r="HT1" s="143" t="s">
        <v>551</v>
      </c>
      <c r="HU1" s="143" t="s">
        <v>552</v>
      </c>
      <c r="HV1" s="143" t="s">
        <v>553</v>
      </c>
      <c r="HW1" s="143" t="s">
        <v>554</v>
      </c>
      <c r="HX1" s="143" t="s">
        <v>555</v>
      </c>
      <c r="HY1" s="143" t="s">
        <v>556</v>
      </c>
      <c r="HZ1" s="143" t="s">
        <v>557</v>
      </c>
      <c r="IA1" s="143" t="s">
        <v>558</v>
      </c>
      <c r="IB1" s="143" t="s">
        <v>559</v>
      </c>
      <c r="IC1" s="143" t="s">
        <v>560</v>
      </c>
    </row>
    <row r="2" spans="1:237">
      <c r="E2" s="143" t="s">
        <v>561</v>
      </c>
      <c r="F2" s="143" t="s">
        <v>562</v>
      </c>
      <c r="J2" s="143">
        <v>1</v>
      </c>
      <c r="L2" s="143" t="s">
        <v>563</v>
      </c>
    </row>
    <row r="3" spans="1:237">
      <c r="E3" s="143" t="s">
        <v>564</v>
      </c>
      <c r="F3" s="143" t="s">
        <v>565</v>
      </c>
      <c r="J3" s="143">
        <v>2</v>
      </c>
      <c r="L3" s="143" t="s">
        <v>566</v>
      </c>
    </row>
    <row r="4" spans="1:237">
      <c r="E4" s="143" t="s">
        <v>567</v>
      </c>
      <c r="F4" s="143" t="s">
        <v>568</v>
      </c>
      <c r="G4" s="142">
        <v>8</v>
      </c>
      <c r="J4" s="143">
        <v>3</v>
      </c>
      <c r="L4" s="143" t="s">
        <v>569</v>
      </c>
      <c r="M4" s="143" t="s">
        <v>1279</v>
      </c>
      <c r="N4" s="143" t="s">
        <v>1280</v>
      </c>
      <c r="O4" s="143" t="s">
        <v>1281</v>
      </c>
      <c r="P4" s="143" t="s">
        <v>1282</v>
      </c>
      <c r="Q4" s="143" t="s">
        <v>1283</v>
      </c>
      <c r="R4" s="143" t="s">
        <v>1284</v>
      </c>
      <c r="S4" s="143" t="s">
        <v>1285</v>
      </c>
      <c r="T4" s="143" t="s">
        <v>1286</v>
      </c>
    </row>
    <row r="5" spans="1:237">
      <c r="E5" s="143" t="s">
        <v>570</v>
      </c>
      <c r="F5" s="143" t="s">
        <v>571</v>
      </c>
      <c r="J5" s="143">
        <v>4</v>
      </c>
      <c r="L5" s="143" t="s">
        <v>572</v>
      </c>
    </row>
    <row r="6" spans="1:237">
      <c r="B6" s="143" t="s">
        <v>573</v>
      </c>
      <c r="C6" s="143" t="s">
        <v>574</v>
      </c>
      <c r="E6" s="143" t="s">
        <v>573</v>
      </c>
      <c r="F6" s="143" t="s">
        <v>568</v>
      </c>
      <c r="G6" s="142">
        <v>5</v>
      </c>
      <c r="J6" s="143">
        <v>5</v>
      </c>
      <c r="L6" s="143" t="s">
        <v>1806</v>
      </c>
      <c r="M6" s="143" t="s">
        <v>576</v>
      </c>
      <c r="N6" s="143" t="s">
        <v>575</v>
      </c>
      <c r="O6" s="143" t="s">
        <v>577</v>
      </c>
      <c r="P6" s="143" t="s">
        <v>1807</v>
      </c>
      <c r="Q6" s="143" t="s">
        <v>579</v>
      </c>
    </row>
    <row r="7" spans="1:237">
      <c r="B7" s="143" t="s">
        <v>580</v>
      </c>
      <c r="C7" s="143" t="s">
        <v>574</v>
      </c>
      <c r="E7" s="143" t="s">
        <v>580</v>
      </c>
      <c r="F7" s="143" t="s">
        <v>568</v>
      </c>
      <c r="G7" s="142">
        <v>12</v>
      </c>
      <c r="J7" s="143">
        <v>6</v>
      </c>
      <c r="L7" s="143" t="s">
        <v>1808</v>
      </c>
      <c r="M7" s="143" t="s">
        <v>1809</v>
      </c>
      <c r="N7" s="143" t="s">
        <v>1810</v>
      </c>
      <c r="O7" s="143" t="s">
        <v>1811</v>
      </c>
      <c r="P7" s="143" t="s">
        <v>1812</v>
      </c>
      <c r="Q7" s="143" t="s">
        <v>1813</v>
      </c>
      <c r="R7" s="143" t="s">
        <v>1814</v>
      </c>
      <c r="S7" s="143" t="s">
        <v>1815</v>
      </c>
      <c r="T7" s="143" t="s">
        <v>1816</v>
      </c>
      <c r="U7" s="143" t="s">
        <v>1817</v>
      </c>
      <c r="V7" s="143" t="s">
        <v>1818</v>
      </c>
      <c r="W7" s="143" t="s">
        <v>1819</v>
      </c>
      <c r="X7" s="143" t="s">
        <v>1820</v>
      </c>
    </row>
    <row r="8" spans="1:237">
      <c r="B8" s="143" t="s">
        <v>581</v>
      </c>
      <c r="C8" s="143" t="s">
        <v>584</v>
      </c>
      <c r="D8" s="143">
        <v>2</v>
      </c>
      <c r="E8" s="143" t="s">
        <v>1302</v>
      </c>
      <c r="F8" s="143" t="s">
        <v>568</v>
      </c>
      <c r="G8" s="142">
        <v>20</v>
      </c>
      <c r="J8" s="143">
        <v>7</v>
      </c>
      <c r="K8" s="143" t="s">
        <v>1821</v>
      </c>
      <c r="L8" s="143" t="s">
        <v>585</v>
      </c>
      <c r="M8" s="143" t="s">
        <v>586</v>
      </c>
      <c r="N8" s="143" t="s">
        <v>587</v>
      </c>
      <c r="O8" s="143" t="s">
        <v>588</v>
      </c>
      <c r="P8" s="143" t="s">
        <v>589</v>
      </c>
      <c r="Q8" s="143" t="s">
        <v>590</v>
      </c>
      <c r="R8" s="143" t="s">
        <v>591</v>
      </c>
      <c r="S8" s="143" t="s">
        <v>592</v>
      </c>
      <c r="T8" s="143" t="s">
        <v>593</v>
      </c>
      <c r="U8" s="143" t="s">
        <v>594</v>
      </c>
      <c r="V8" s="143" t="s">
        <v>595</v>
      </c>
      <c r="W8" s="143" t="s">
        <v>596</v>
      </c>
      <c r="X8" s="143" t="s">
        <v>597</v>
      </c>
      <c r="Y8" s="143" t="s">
        <v>598</v>
      </c>
      <c r="Z8" s="143" t="s">
        <v>599</v>
      </c>
      <c r="AA8" s="143" t="s">
        <v>600</v>
      </c>
      <c r="AB8" s="143" t="s">
        <v>601</v>
      </c>
      <c r="AC8" s="143" t="s">
        <v>602</v>
      </c>
      <c r="AD8" s="143" t="s">
        <v>603</v>
      </c>
      <c r="AE8" s="143" t="s">
        <v>604</v>
      </c>
      <c r="AF8" s="143" t="s">
        <v>1822</v>
      </c>
    </row>
    <row r="9" spans="1:237">
      <c r="E9" s="143" t="s">
        <v>1304</v>
      </c>
      <c r="F9" s="143" t="s">
        <v>568</v>
      </c>
      <c r="G9" s="142">
        <v>20</v>
      </c>
      <c r="J9" s="143">
        <v>8</v>
      </c>
      <c r="K9" s="143" t="s">
        <v>1821</v>
      </c>
      <c r="L9" s="143" t="s">
        <v>606</v>
      </c>
      <c r="M9" s="143" t="s">
        <v>586</v>
      </c>
      <c r="N9" s="143" t="s">
        <v>587</v>
      </c>
      <c r="O9" s="143" t="s">
        <v>588</v>
      </c>
      <c r="P9" s="143" t="s">
        <v>589</v>
      </c>
      <c r="Q9" s="143" t="s">
        <v>590</v>
      </c>
      <c r="R9" s="143" t="s">
        <v>591</v>
      </c>
      <c r="S9" s="143" t="s">
        <v>592</v>
      </c>
      <c r="T9" s="143" t="s">
        <v>593</v>
      </c>
      <c r="U9" s="143" t="s">
        <v>594</v>
      </c>
      <c r="V9" s="143" t="s">
        <v>595</v>
      </c>
      <c r="W9" s="143" t="s">
        <v>596</v>
      </c>
      <c r="X9" s="143" t="s">
        <v>597</v>
      </c>
      <c r="Y9" s="143" t="s">
        <v>598</v>
      </c>
      <c r="Z9" s="143" t="s">
        <v>599</v>
      </c>
      <c r="AA9" s="143" t="s">
        <v>600</v>
      </c>
      <c r="AB9" s="143" t="s">
        <v>601</v>
      </c>
      <c r="AC9" s="143" t="s">
        <v>602</v>
      </c>
      <c r="AD9" s="143" t="s">
        <v>603</v>
      </c>
      <c r="AE9" s="143" t="s">
        <v>604</v>
      </c>
      <c r="AF9" s="143" t="s">
        <v>1822</v>
      </c>
    </row>
    <row r="10" spans="1:237">
      <c r="B10" s="143" t="s">
        <v>583</v>
      </c>
      <c r="C10" s="143" t="s">
        <v>574</v>
      </c>
      <c r="E10" s="143" t="s">
        <v>583</v>
      </c>
      <c r="F10" s="143" t="s">
        <v>568</v>
      </c>
      <c r="G10" s="142">
        <v>4</v>
      </c>
      <c r="J10" s="143">
        <v>9</v>
      </c>
      <c r="L10" s="143" t="s">
        <v>1823</v>
      </c>
      <c r="M10" s="143" t="s">
        <v>1306</v>
      </c>
      <c r="N10" s="143" t="s">
        <v>1307</v>
      </c>
      <c r="O10" s="143" t="s">
        <v>1824</v>
      </c>
      <c r="P10" s="143" t="s">
        <v>1825</v>
      </c>
    </row>
    <row r="11" spans="1:237">
      <c r="B11" s="143" t="s">
        <v>607</v>
      </c>
      <c r="C11" s="143" t="s">
        <v>584</v>
      </c>
      <c r="D11" s="143">
        <v>2</v>
      </c>
      <c r="E11" s="143" t="s">
        <v>1310</v>
      </c>
      <c r="F11" s="143" t="s">
        <v>568</v>
      </c>
      <c r="G11" s="142">
        <v>12</v>
      </c>
      <c r="J11" s="143">
        <v>10</v>
      </c>
      <c r="K11" s="143" t="s">
        <v>1826</v>
      </c>
      <c r="L11" s="143" t="s">
        <v>1827</v>
      </c>
      <c r="M11" s="143" t="s">
        <v>1828</v>
      </c>
      <c r="N11" s="143" t="s">
        <v>1829</v>
      </c>
      <c r="O11" s="143" t="s">
        <v>1830</v>
      </c>
      <c r="P11" s="143" t="s">
        <v>1831</v>
      </c>
      <c r="Q11" s="143" t="s">
        <v>1832</v>
      </c>
      <c r="R11" s="143" t="s">
        <v>1833</v>
      </c>
      <c r="S11" s="143" t="s">
        <v>1834</v>
      </c>
      <c r="T11" s="143" t="s">
        <v>1835</v>
      </c>
      <c r="U11" s="143" t="s">
        <v>1836</v>
      </c>
      <c r="V11" s="143" t="s">
        <v>1837</v>
      </c>
      <c r="W11" s="143" t="s">
        <v>1838</v>
      </c>
      <c r="X11" s="143" t="s">
        <v>1839</v>
      </c>
    </row>
    <row r="12" spans="1:237">
      <c r="E12" s="143" t="s">
        <v>1325</v>
      </c>
      <c r="F12" s="143" t="s">
        <v>568</v>
      </c>
      <c r="G12" s="142">
        <v>12</v>
      </c>
      <c r="J12" s="143">
        <v>11</v>
      </c>
      <c r="K12" s="143" t="s">
        <v>1826</v>
      </c>
      <c r="L12" s="143" t="s">
        <v>1840</v>
      </c>
      <c r="M12" s="143" t="s">
        <v>1828</v>
      </c>
      <c r="N12" s="143" t="s">
        <v>1829</v>
      </c>
      <c r="O12" s="143" t="s">
        <v>1830</v>
      </c>
      <c r="P12" s="143" t="s">
        <v>1831</v>
      </c>
      <c r="Q12" s="143" t="s">
        <v>1832</v>
      </c>
      <c r="R12" s="143" t="s">
        <v>1833</v>
      </c>
      <c r="S12" s="143" t="s">
        <v>1834</v>
      </c>
      <c r="T12" s="143" t="s">
        <v>1835</v>
      </c>
      <c r="U12" s="143" t="s">
        <v>1836</v>
      </c>
      <c r="V12" s="143" t="s">
        <v>1837</v>
      </c>
      <c r="W12" s="143" t="s">
        <v>1838</v>
      </c>
      <c r="X12" s="143" t="s">
        <v>1839</v>
      </c>
    </row>
    <row r="13" spans="1:237">
      <c r="B13" s="143" t="s">
        <v>608</v>
      </c>
      <c r="C13" s="143" t="s">
        <v>584</v>
      </c>
      <c r="D13" s="143">
        <v>2</v>
      </c>
      <c r="E13" s="143" t="s">
        <v>1327</v>
      </c>
      <c r="F13" s="143" t="s">
        <v>568</v>
      </c>
      <c r="G13" s="142">
        <v>2</v>
      </c>
      <c r="J13" s="143">
        <v>12</v>
      </c>
      <c r="K13" s="143" t="s">
        <v>1841</v>
      </c>
      <c r="L13" s="143" t="s">
        <v>1827</v>
      </c>
      <c r="M13" s="143" t="s">
        <v>1842</v>
      </c>
      <c r="N13" s="143" t="s">
        <v>1843</v>
      </c>
    </row>
    <row r="14" spans="1:237">
      <c r="E14" s="143" t="s">
        <v>1331</v>
      </c>
      <c r="F14" s="143" t="s">
        <v>568</v>
      </c>
      <c r="G14" s="142">
        <v>2</v>
      </c>
      <c r="J14" s="143">
        <v>13</v>
      </c>
      <c r="K14" s="143" t="s">
        <v>1841</v>
      </c>
      <c r="L14" s="143" t="s">
        <v>1840</v>
      </c>
      <c r="M14" s="143" t="s">
        <v>1842</v>
      </c>
      <c r="N14" s="143" t="s">
        <v>1843</v>
      </c>
    </row>
    <row r="15" spans="1:237">
      <c r="B15" s="143" t="s">
        <v>609</v>
      </c>
      <c r="C15" s="143" t="s">
        <v>613</v>
      </c>
      <c r="D15" s="143">
        <v>2</v>
      </c>
      <c r="E15" s="143" t="s">
        <v>1332</v>
      </c>
      <c r="F15" s="143" t="s">
        <v>611</v>
      </c>
      <c r="G15" s="142">
        <v>8</v>
      </c>
      <c r="J15" s="143">
        <v>14</v>
      </c>
      <c r="K15" s="143" t="s">
        <v>1844</v>
      </c>
      <c r="L15" s="143" t="s">
        <v>1845</v>
      </c>
      <c r="M15" s="143" t="s">
        <v>1846</v>
      </c>
      <c r="N15" s="143" t="s">
        <v>1847</v>
      </c>
      <c r="O15" s="143" t="s">
        <v>1848</v>
      </c>
      <c r="P15" s="143" t="s">
        <v>1849</v>
      </c>
      <c r="Q15" s="143" t="s">
        <v>1850</v>
      </c>
      <c r="R15" s="143" t="s">
        <v>1851</v>
      </c>
      <c r="S15" s="143" t="s">
        <v>1852</v>
      </c>
      <c r="T15" s="143" t="s">
        <v>1853</v>
      </c>
    </row>
    <row r="16" spans="1:237">
      <c r="E16" s="143" t="s">
        <v>1343</v>
      </c>
      <c r="F16" s="143" t="s">
        <v>611</v>
      </c>
      <c r="G16" s="142">
        <v>8</v>
      </c>
      <c r="J16" s="143">
        <v>15</v>
      </c>
      <c r="K16" s="143" t="s">
        <v>1844</v>
      </c>
      <c r="L16" s="143" t="s">
        <v>1854</v>
      </c>
      <c r="M16" s="143" t="s">
        <v>1846</v>
      </c>
      <c r="N16" s="143" t="s">
        <v>1847</v>
      </c>
      <c r="O16" s="143" t="s">
        <v>1848</v>
      </c>
      <c r="P16" s="143" t="s">
        <v>1849</v>
      </c>
      <c r="Q16" s="143" t="s">
        <v>1850</v>
      </c>
      <c r="R16" s="143" t="s">
        <v>1851</v>
      </c>
      <c r="S16" s="143" t="s">
        <v>1852</v>
      </c>
      <c r="T16" s="143" t="s">
        <v>1853</v>
      </c>
    </row>
    <row r="17" spans="2:52">
      <c r="B17" s="143" t="s">
        <v>616</v>
      </c>
      <c r="C17" s="143" t="s">
        <v>582</v>
      </c>
      <c r="D17" s="143">
        <v>5</v>
      </c>
      <c r="E17" s="143" t="s">
        <v>20</v>
      </c>
      <c r="F17" s="143" t="s">
        <v>571</v>
      </c>
      <c r="J17" s="143">
        <v>16</v>
      </c>
      <c r="K17" s="143" t="s">
        <v>1855</v>
      </c>
      <c r="L17" s="143" t="s">
        <v>1346</v>
      </c>
    </row>
    <row r="18" spans="2:52">
      <c r="E18" s="143" t="s">
        <v>21</v>
      </c>
      <c r="F18" s="143" t="s">
        <v>571</v>
      </c>
      <c r="J18" s="143">
        <v>17</v>
      </c>
      <c r="K18" s="143" t="s">
        <v>1855</v>
      </c>
      <c r="L18" s="143" t="s">
        <v>1347</v>
      </c>
    </row>
    <row r="19" spans="2:52">
      <c r="E19" s="143" t="s">
        <v>22</v>
      </c>
      <c r="F19" s="143" t="s">
        <v>571</v>
      </c>
      <c r="J19" s="143">
        <v>18</v>
      </c>
      <c r="K19" s="143" t="s">
        <v>1855</v>
      </c>
      <c r="L19" s="143" t="s">
        <v>1348</v>
      </c>
    </row>
    <row r="20" spans="2:52">
      <c r="E20" s="143" t="s">
        <v>23</v>
      </c>
      <c r="F20" s="143" t="s">
        <v>571</v>
      </c>
      <c r="J20" s="143">
        <v>19</v>
      </c>
      <c r="K20" s="143" t="s">
        <v>1855</v>
      </c>
      <c r="L20" s="143" t="s">
        <v>1349</v>
      </c>
    </row>
    <row r="21" spans="2:52">
      <c r="E21" s="143" t="s">
        <v>24</v>
      </c>
      <c r="F21" s="143" t="s">
        <v>571</v>
      </c>
      <c r="J21" s="143">
        <v>20</v>
      </c>
      <c r="K21" s="143" t="s">
        <v>1855</v>
      </c>
      <c r="L21" s="143" t="s">
        <v>1350</v>
      </c>
    </row>
    <row r="22" spans="2:52">
      <c r="B22" s="143" t="s">
        <v>617</v>
      </c>
      <c r="C22" s="143" t="s">
        <v>610</v>
      </c>
      <c r="E22" s="143" t="s">
        <v>617</v>
      </c>
      <c r="F22" s="143" t="s">
        <v>611</v>
      </c>
      <c r="G22" s="142">
        <v>40</v>
      </c>
      <c r="J22" s="143">
        <v>21</v>
      </c>
      <c r="L22" s="143" t="s">
        <v>1856</v>
      </c>
      <c r="M22" s="143" t="s">
        <v>1352</v>
      </c>
      <c r="N22" s="143" t="s">
        <v>1857</v>
      </c>
      <c r="O22" s="143" t="s">
        <v>1858</v>
      </c>
      <c r="P22" s="143" t="s">
        <v>1859</v>
      </c>
      <c r="Q22" s="143" t="s">
        <v>1860</v>
      </c>
      <c r="R22" s="143" t="s">
        <v>1861</v>
      </c>
      <c r="S22" s="143" t="s">
        <v>1862</v>
      </c>
      <c r="T22" s="143" t="s">
        <v>1863</v>
      </c>
      <c r="U22" s="143" t="s">
        <v>1864</v>
      </c>
      <c r="V22" s="143" t="s">
        <v>1865</v>
      </c>
      <c r="W22" s="143" t="s">
        <v>1866</v>
      </c>
      <c r="X22" s="143" t="s">
        <v>1867</v>
      </c>
      <c r="Y22" s="143" t="s">
        <v>1868</v>
      </c>
      <c r="Z22" s="143" t="s">
        <v>1869</v>
      </c>
      <c r="AA22" s="143" t="s">
        <v>1870</v>
      </c>
      <c r="AB22" s="143" t="s">
        <v>1871</v>
      </c>
      <c r="AC22" s="143" t="s">
        <v>1365</v>
      </c>
      <c r="AD22" s="143" t="s">
        <v>1872</v>
      </c>
      <c r="AE22" s="143" t="s">
        <v>1873</v>
      </c>
      <c r="AF22" s="143" t="s">
        <v>1874</v>
      </c>
      <c r="AG22" s="143" t="s">
        <v>1875</v>
      </c>
      <c r="AH22" s="143" t="s">
        <v>1876</v>
      </c>
      <c r="AI22" s="143" t="s">
        <v>1877</v>
      </c>
      <c r="AJ22" s="143" t="s">
        <v>1878</v>
      </c>
      <c r="AK22" s="143" t="s">
        <v>1879</v>
      </c>
      <c r="AL22" s="143" t="s">
        <v>1880</v>
      </c>
      <c r="AM22" s="143" t="s">
        <v>1881</v>
      </c>
      <c r="AN22" s="143" t="s">
        <v>1882</v>
      </c>
      <c r="AO22" s="143" t="s">
        <v>1883</v>
      </c>
      <c r="AP22" s="143" t="s">
        <v>1375</v>
      </c>
      <c r="AQ22" s="143" t="s">
        <v>1884</v>
      </c>
      <c r="AR22" s="143" t="s">
        <v>1885</v>
      </c>
      <c r="AS22" s="143" t="s">
        <v>1886</v>
      </c>
      <c r="AT22" s="143" t="s">
        <v>1887</v>
      </c>
      <c r="AU22" s="143" t="s">
        <v>1888</v>
      </c>
      <c r="AV22" s="143" t="s">
        <v>1889</v>
      </c>
      <c r="AW22" s="143" t="s">
        <v>1890</v>
      </c>
      <c r="AX22" s="143" t="s">
        <v>1891</v>
      </c>
      <c r="AY22" s="143" t="s">
        <v>1892</v>
      </c>
      <c r="AZ22" s="143" t="s">
        <v>615</v>
      </c>
    </row>
    <row r="23" spans="2:52">
      <c r="B23" s="143" t="s">
        <v>618</v>
      </c>
      <c r="C23" s="143" t="s">
        <v>613</v>
      </c>
      <c r="D23" s="143">
        <v>9</v>
      </c>
      <c r="E23" s="143" t="s">
        <v>1384</v>
      </c>
      <c r="F23" s="143" t="s">
        <v>611</v>
      </c>
      <c r="G23" s="142">
        <v>26</v>
      </c>
      <c r="J23" s="143">
        <v>22</v>
      </c>
      <c r="K23" s="143" t="s">
        <v>1893</v>
      </c>
      <c r="L23" s="143" t="s">
        <v>1894</v>
      </c>
      <c r="M23" s="143" t="s">
        <v>1895</v>
      </c>
      <c r="N23" s="143" t="s">
        <v>636</v>
      </c>
      <c r="O23" s="143" t="s">
        <v>1896</v>
      </c>
      <c r="P23" s="143" t="s">
        <v>1897</v>
      </c>
      <c r="Q23" s="143" t="s">
        <v>1898</v>
      </c>
      <c r="R23" s="143" t="s">
        <v>1899</v>
      </c>
      <c r="S23" s="143" t="s">
        <v>637</v>
      </c>
      <c r="T23" s="143" t="s">
        <v>1900</v>
      </c>
      <c r="U23" s="143" t="s">
        <v>1901</v>
      </c>
      <c r="V23" s="143" t="s">
        <v>638</v>
      </c>
      <c r="W23" s="143" t="s">
        <v>1902</v>
      </c>
      <c r="X23" s="143" t="s">
        <v>1903</v>
      </c>
      <c r="Y23" s="143" t="s">
        <v>641</v>
      </c>
      <c r="Z23" s="143" t="s">
        <v>1904</v>
      </c>
      <c r="AA23" s="143" t="s">
        <v>1905</v>
      </c>
      <c r="AB23" s="143" t="s">
        <v>1906</v>
      </c>
      <c r="AC23" s="143" t="s">
        <v>1907</v>
      </c>
      <c r="AD23" s="143" t="s">
        <v>1908</v>
      </c>
      <c r="AE23" s="143" t="s">
        <v>1909</v>
      </c>
      <c r="AF23" s="143" t="s">
        <v>1910</v>
      </c>
      <c r="AG23" s="143" t="s">
        <v>1911</v>
      </c>
      <c r="AH23" s="143" t="s">
        <v>642</v>
      </c>
      <c r="AI23" s="143" t="s">
        <v>1912</v>
      </c>
      <c r="AJ23" s="143" t="s">
        <v>639</v>
      </c>
      <c r="AK23" s="143" t="s">
        <v>640</v>
      </c>
      <c r="AL23" s="143" t="s">
        <v>615</v>
      </c>
    </row>
    <row r="24" spans="2:52">
      <c r="E24" s="143" t="s">
        <v>1406</v>
      </c>
      <c r="F24" s="143" t="s">
        <v>611</v>
      </c>
      <c r="G24" s="142">
        <v>26</v>
      </c>
      <c r="J24" s="143">
        <v>23</v>
      </c>
      <c r="K24" s="143" t="s">
        <v>1893</v>
      </c>
      <c r="L24" s="143" t="s">
        <v>1913</v>
      </c>
      <c r="M24" s="143" t="s">
        <v>1895</v>
      </c>
      <c r="N24" s="143" t="s">
        <v>636</v>
      </c>
      <c r="O24" s="143" t="s">
        <v>1896</v>
      </c>
      <c r="P24" s="143" t="s">
        <v>1897</v>
      </c>
      <c r="Q24" s="143" t="s">
        <v>1898</v>
      </c>
      <c r="R24" s="143" t="s">
        <v>1899</v>
      </c>
      <c r="S24" s="143" t="s">
        <v>637</v>
      </c>
      <c r="T24" s="143" t="s">
        <v>1900</v>
      </c>
      <c r="U24" s="143" t="s">
        <v>1901</v>
      </c>
      <c r="V24" s="143" t="s">
        <v>638</v>
      </c>
      <c r="W24" s="143" t="s">
        <v>1902</v>
      </c>
      <c r="X24" s="143" t="s">
        <v>1903</v>
      </c>
      <c r="Y24" s="143" t="s">
        <v>641</v>
      </c>
      <c r="Z24" s="143" t="s">
        <v>1904</v>
      </c>
      <c r="AA24" s="143" t="s">
        <v>1905</v>
      </c>
      <c r="AB24" s="143" t="s">
        <v>1906</v>
      </c>
      <c r="AC24" s="143" t="s">
        <v>1907</v>
      </c>
      <c r="AD24" s="143" t="s">
        <v>1908</v>
      </c>
      <c r="AE24" s="143" t="s">
        <v>1909</v>
      </c>
      <c r="AF24" s="143" t="s">
        <v>1910</v>
      </c>
      <c r="AG24" s="143" t="s">
        <v>1911</v>
      </c>
      <c r="AH24" s="143" t="s">
        <v>642</v>
      </c>
      <c r="AI24" s="143" t="s">
        <v>1912</v>
      </c>
      <c r="AJ24" s="143" t="s">
        <v>639</v>
      </c>
      <c r="AK24" s="143" t="s">
        <v>640</v>
      </c>
      <c r="AL24" s="143" t="s">
        <v>615</v>
      </c>
    </row>
    <row r="25" spans="2:52">
      <c r="E25" s="143" t="s">
        <v>1408</v>
      </c>
      <c r="F25" s="143" t="s">
        <v>611</v>
      </c>
      <c r="G25" s="142">
        <v>26</v>
      </c>
      <c r="J25" s="143">
        <v>24</v>
      </c>
      <c r="K25" s="143" t="s">
        <v>1893</v>
      </c>
      <c r="L25" s="143" t="s">
        <v>1914</v>
      </c>
      <c r="M25" s="143" t="s">
        <v>1895</v>
      </c>
      <c r="N25" s="143" t="s">
        <v>636</v>
      </c>
      <c r="O25" s="143" t="s">
        <v>1896</v>
      </c>
      <c r="P25" s="143" t="s">
        <v>1897</v>
      </c>
      <c r="Q25" s="143" t="s">
        <v>1898</v>
      </c>
      <c r="R25" s="143" t="s">
        <v>1899</v>
      </c>
      <c r="S25" s="143" t="s">
        <v>637</v>
      </c>
      <c r="T25" s="143" t="s">
        <v>1900</v>
      </c>
      <c r="U25" s="143" t="s">
        <v>1901</v>
      </c>
      <c r="V25" s="143" t="s">
        <v>638</v>
      </c>
      <c r="W25" s="143" t="s">
        <v>1902</v>
      </c>
      <c r="X25" s="143" t="s">
        <v>1903</v>
      </c>
      <c r="Y25" s="143" t="s">
        <v>641</v>
      </c>
      <c r="Z25" s="143" t="s">
        <v>1904</v>
      </c>
      <c r="AA25" s="143" t="s">
        <v>1905</v>
      </c>
      <c r="AB25" s="143" t="s">
        <v>1906</v>
      </c>
      <c r="AC25" s="143" t="s">
        <v>1907</v>
      </c>
      <c r="AD25" s="143" t="s">
        <v>1908</v>
      </c>
      <c r="AE25" s="143" t="s">
        <v>1909</v>
      </c>
      <c r="AF25" s="143" t="s">
        <v>1910</v>
      </c>
      <c r="AG25" s="143" t="s">
        <v>1911</v>
      </c>
      <c r="AH25" s="143" t="s">
        <v>642</v>
      </c>
      <c r="AI25" s="143" t="s">
        <v>1912</v>
      </c>
      <c r="AJ25" s="143" t="s">
        <v>639</v>
      </c>
      <c r="AK25" s="143" t="s">
        <v>640</v>
      </c>
      <c r="AL25" s="143" t="s">
        <v>615</v>
      </c>
    </row>
    <row r="26" spans="2:52">
      <c r="E26" s="143" t="s">
        <v>1410</v>
      </c>
      <c r="F26" s="143" t="s">
        <v>611</v>
      </c>
      <c r="G26" s="142">
        <v>26</v>
      </c>
      <c r="J26" s="143">
        <v>25</v>
      </c>
      <c r="K26" s="143" t="s">
        <v>1893</v>
      </c>
      <c r="L26" s="143" t="s">
        <v>1915</v>
      </c>
      <c r="M26" s="143" t="s">
        <v>1895</v>
      </c>
      <c r="N26" s="143" t="s">
        <v>636</v>
      </c>
      <c r="O26" s="143" t="s">
        <v>1896</v>
      </c>
      <c r="P26" s="143" t="s">
        <v>1897</v>
      </c>
      <c r="Q26" s="143" t="s">
        <v>1898</v>
      </c>
      <c r="R26" s="143" t="s">
        <v>1899</v>
      </c>
      <c r="S26" s="143" t="s">
        <v>637</v>
      </c>
      <c r="T26" s="143" t="s">
        <v>1900</v>
      </c>
      <c r="U26" s="143" t="s">
        <v>1901</v>
      </c>
      <c r="V26" s="143" t="s">
        <v>638</v>
      </c>
      <c r="W26" s="143" t="s">
        <v>1902</v>
      </c>
      <c r="X26" s="143" t="s">
        <v>1903</v>
      </c>
      <c r="Y26" s="143" t="s">
        <v>641</v>
      </c>
      <c r="Z26" s="143" t="s">
        <v>1904</v>
      </c>
      <c r="AA26" s="143" t="s">
        <v>1905</v>
      </c>
      <c r="AB26" s="143" t="s">
        <v>1906</v>
      </c>
      <c r="AC26" s="143" t="s">
        <v>1907</v>
      </c>
      <c r="AD26" s="143" t="s">
        <v>1908</v>
      </c>
      <c r="AE26" s="143" t="s">
        <v>1909</v>
      </c>
      <c r="AF26" s="143" t="s">
        <v>1910</v>
      </c>
      <c r="AG26" s="143" t="s">
        <v>1911</v>
      </c>
      <c r="AH26" s="143" t="s">
        <v>642</v>
      </c>
      <c r="AI26" s="143" t="s">
        <v>1912</v>
      </c>
      <c r="AJ26" s="143" t="s">
        <v>639</v>
      </c>
      <c r="AK26" s="143" t="s">
        <v>640</v>
      </c>
      <c r="AL26" s="143" t="s">
        <v>615</v>
      </c>
    </row>
    <row r="27" spans="2:52">
      <c r="E27" s="143" t="s">
        <v>1412</v>
      </c>
      <c r="F27" s="143" t="s">
        <v>611</v>
      </c>
      <c r="G27" s="142">
        <v>26</v>
      </c>
      <c r="J27" s="143">
        <v>26</v>
      </c>
      <c r="K27" s="143" t="s">
        <v>1893</v>
      </c>
      <c r="L27" s="143" t="s">
        <v>1916</v>
      </c>
      <c r="M27" s="143" t="s">
        <v>1895</v>
      </c>
      <c r="N27" s="143" t="s">
        <v>636</v>
      </c>
      <c r="O27" s="143" t="s">
        <v>1896</v>
      </c>
      <c r="P27" s="143" t="s">
        <v>1897</v>
      </c>
      <c r="Q27" s="143" t="s">
        <v>1898</v>
      </c>
      <c r="R27" s="143" t="s">
        <v>1899</v>
      </c>
      <c r="S27" s="143" t="s">
        <v>637</v>
      </c>
      <c r="T27" s="143" t="s">
        <v>1900</v>
      </c>
      <c r="U27" s="143" t="s">
        <v>1901</v>
      </c>
      <c r="V27" s="143" t="s">
        <v>638</v>
      </c>
      <c r="W27" s="143" t="s">
        <v>1902</v>
      </c>
      <c r="X27" s="143" t="s">
        <v>1903</v>
      </c>
      <c r="Y27" s="143" t="s">
        <v>641</v>
      </c>
      <c r="Z27" s="143" t="s">
        <v>1904</v>
      </c>
      <c r="AA27" s="143" t="s">
        <v>1905</v>
      </c>
      <c r="AB27" s="143" t="s">
        <v>1906</v>
      </c>
      <c r="AC27" s="143" t="s">
        <v>1907</v>
      </c>
      <c r="AD27" s="143" t="s">
        <v>1908</v>
      </c>
      <c r="AE27" s="143" t="s">
        <v>1909</v>
      </c>
      <c r="AF27" s="143" t="s">
        <v>1910</v>
      </c>
      <c r="AG27" s="143" t="s">
        <v>1911</v>
      </c>
      <c r="AH27" s="143" t="s">
        <v>642</v>
      </c>
      <c r="AI27" s="143" t="s">
        <v>1912</v>
      </c>
      <c r="AJ27" s="143" t="s">
        <v>639</v>
      </c>
      <c r="AK27" s="143" t="s">
        <v>640</v>
      </c>
      <c r="AL27" s="143" t="s">
        <v>615</v>
      </c>
    </row>
    <row r="28" spans="2:52">
      <c r="E28" s="143" t="s">
        <v>1414</v>
      </c>
      <c r="F28" s="143" t="s">
        <v>611</v>
      </c>
      <c r="G28" s="142">
        <v>26</v>
      </c>
      <c r="J28" s="143">
        <v>27</v>
      </c>
      <c r="K28" s="143" t="s">
        <v>1893</v>
      </c>
      <c r="L28" s="143" t="s">
        <v>1917</v>
      </c>
      <c r="M28" s="143" t="s">
        <v>1895</v>
      </c>
      <c r="N28" s="143" t="s">
        <v>636</v>
      </c>
      <c r="O28" s="143" t="s">
        <v>1896</v>
      </c>
      <c r="P28" s="143" t="s">
        <v>1897</v>
      </c>
      <c r="Q28" s="143" t="s">
        <v>1898</v>
      </c>
      <c r="R28" s="143" t="s">
        <v>1899</v>
      </c>
      <c r="S28" s="143" t="s">
        <v>637</v>
      </c>
      <c r="T28" s="143" t="s">
        <v>1900</v>
      </c>
      <c r="U28" s="143" t="s">
        <v>1901</v>
      </c>
      <c r="V28" s="143" t="s">
        <v>638</v>
      </c>
      <c r="W28" s="143" t="s">
        <v>1902</v>
      </c>
      <c r="X28" s="143" t="s">
        <v>1903</v>
      </c>
      <c r="Y28" s="143" t="s">
        <v>641</v>
      </c>
      <c r="Z28" s="143" t="s">
        <v>1904</v>
      </c>
      <c r="AA28" s="143" t="s">
        <v>1905</v>
      </c>
      <c r="AB28" s="143" t="s">
        <v>1906</v>
      </c>
      <c r="AC28" s="143" t="s">
        <v>1907</v>
      </c>
      <c r="AD28" s="143" t="s">
        <v>1908</v>
      </c>
      <c r="AE28" s="143" t="s">
        <v>1909</v>
      </c>
      <c r="AF28" s="143" t="s">
        <v>1910</v>
      </c>
      <c r="AG28" s="143" t="s">
        <v>1911</v>
      </c>
      <c r="AH28" s="143" t="s">
        <v>642</v>
      </c>
      <c r="AI28" s="143" t="s">
        <v>1912</v>
      </c>
      <c r="AJ28" s="143" t="s">
        <v>639</v>
      </c>
      <c r="AK28" s="143" t="s">
        <v>640</v>
      </c>
      <c r="AL28" s="143" t="s">
        <v>615</v>
      </c>
    </row>
    <row r="29" spans="2:52">
      <c r="E29" s="143" t="s">
        <v>1416</v>
      </c>
      <c r="F29" s="143" t="s">
        <v>611</v>
      </c>
      <c r="G29" s="142">
        <v>26</v>
      </c>
      <c r="J29" s="143">
        <v>28</v>
      </c>
      <c r="K29" s="143" t="s">
        <v>1893</v>
      </c>
      <c r="L29" s="143" t="s">
        <v>1918</v>
      </c>
      <c r="M29" s="143" t="s">
        <v>1895</v>
      </c>
      <c r="N29" s="143" t="s">
        <v>636</v>
      </c>
      <c r="O29" s="143" t="s">
        <v>1896</v>
      </c>
      <c r="P29" s="143" t="s">
        <v>1897</v>
      </c>
      <c r="Q29" s="143" t="s">
        <v>1898</v>
      </c>
      <c r="R29" s="143" t="s">
        <v>1899</v>
      </c>
      <c r="S29" s="143" t="s">
        <v>637</v>
      </c>
      <c r="T29" s="143" t="s">
        <v>1900</v>
      </c>
      <c r="U29" s="143" t="s">
        <v>1901</v>
      </c>
      <c r="V29" s="143" t="s">
        <v>638</v>
      </c>
      <c r="W29" s="143" t="s">
        <v>1902</v>
      </c>
      <c r="X29" s="143" t="s">
        <v>1903</v>
      </c>
      <c r="Y29" s="143" t="s">
        <v>641</v>
      </c>
      <c r="Z29" s="143" t="s">
        <v>1904</v>
      </c>
      <c r="AA29" s="143" t="s">
        <v>1905</v>
      </c>
      <c r="AB29" s="143" t="s">
        <v>1906</v>
      </c>
      <c r="AC29" s="143" t="s">
        <v>1907</v>
      </c>
      <c r="AD29" s="143" t="s">
        <v>1908</v>
      </c>
      <c r="AE29" s="143" t="s">
        <v>1909</v>
      </c>
      <c r="AF29" s="143" t="s">
        <v>1910</v>
      </c>
      <c r="AG29" s="143" t="s">
        <v>1911</v>
      </c>
      <c r="AH29" s="143" t="s">
        <v>642</v>
      </c>
      <c r="AI29" s="143" t="s">
        <v>1912</v>
      </c>
      <c r="AJ29" s="143" t="s">
        <v>639</v>
      </c>
      <c r="AK29" s="143" t="s">
        <v>640</v>
      </c>
      <c r="AL29" s="143" t="s">
        <v>615</v>
      </c>
    </row>
    <row r="30" spans="2:52">
      <c r="E30" s="143" t="s">
        <v>1418</v>
      </c>
      <c r="F30" s="143" t="s">
        <v>611</v>
      </c>
      <c r="G30" s="142">
        <v>26</v>
      </c>
      <c r="J30" s="143">
        <v>29</v>
      </c>
      <c r="K30" s="143" t="s">
        <v>1893</v>
      </c>
      <c r="L30" s="143" t="s">
        <v>1919</v>
      </c>
      <c r="M30" s="143" t="s">
        <v>1895</v>
      </c>
      <c r="N30" s="143" t="s">
        <v>636</v>
      </c>
      <c r="O30" s="143" t="s">
        <v>1896</v>
      </c>
      <c r="P30" s="143" t="s">
        <v>1897</v>
      </c>
      <c r="Q30" s="143" t="s">
        <v>1898</v>
      </c>
      <c r="R30" s="143" t="s">
        <v>1899</v>
      </c>
      <c r="S30" s="143" t="s">
        <v>637</v>
      </c>
      <c r="T30" s="143" t="s">
        <v>1900</v>
      </c>
      <c r="U30" s="143" t="s">
        <v>1901</v>
      </c>
      <c r="V30" s="143" t="s">
        <v>638</v>
      </c>
      <c r="W30" s="143" t="s">
        <v>1902</v>
      </c>
      <c r="X30" s="143" t="s">
        <v>1903</v>
      </c>
      <c r="Y30" s="143" t="s">
        <v>641</v>
      </c>
      <c r="Z30" s="143" t="s">
        <v>1904</v>
      </c>
      <c r="AA30" s="143" t="s">
        <v>1905</v>
      </c>
      <c r="AB30" s="143" t="s">
        <v>1906</v>
      </c>
      <c r="AC30" s="143" t="s">
        <v>1907</v>
      </c>
      <c r="AD30" s="143" t="s">
        <v>1908</v>
      </c>
      <c r="AE30" s="143" t="s">
        <v>1909</v>
      </c>
      <c r="AF30" s="143" t="s">
        <v>1910</v>
      </c>
      <c r="AG30" s="143" t="s">
        <v>1911</v>
      </c>
      <c r="AH30" s="143" t="s">
        <v>642</v>
      </c>
      <c r="AI30" s="143" t="s">
        <v>1912</v>
      </c>
      <c r="AJ30" s="143" t="s">
        <v>639</v>
      </c>
      <c r="AK30" s="143" t="s">
        <v>640</v>
      </c>
      <c r="AL30" s="143" t="s">
        <v>615</v>
      </c>
    </row>
    <row r="31" spans="2:52">
      <c r="E31" s="143" t="s">
        <v>1420</v>
      </c>
      <c r="F31" s="143" t="s">
        <v>611</v>
      </c>
      <c r="G31" s="142">
        <v>26</v>
      </c>
      <c r="J31" s="143">
        <v>30</v>
      </c>
      <c r="K31" s="143" t="s">
        <v>1893</v>
      </c>
      <c r="L31" s="143" t="s">
        <v>2</v>
      </c>
      <c r="M31" s="143" t="s">
        <v>1895</v>
      </c>
      <c r="N31" s="143" t="s">
        <v>636</v>
      </c>
      <c r="O31" s="143" t="s">
        <v>1896</v>
      </c>
      <c r="P31" s="143" t="s">
        <v>1897</v>
      </c>
      <c r="Q31" s="143" t="s">
        <v>1898</v>
      </c>
      <c r="R31" s="143" t="s">
        <v>1899</v>
      </c>
      <c r="S31" s="143" t="s">
        <v>637</v>
      </c>
      <c r="T31" s="143" t="s">
        <v>1900</v>
      </c>
      <c r="U31" s="143" t="s">
        <v>1901</v>
      </c>
      <c r="V31" s="143" t="s">
        <v>638</v>
      </c>
      <c r="W31" s="143" t="s">
        <v>1902</v>
      </c>
      <c r="X31" s="143" t="s">
        <v>1903</v>
      </c>
      <c r="Y31" s="143" t="s">
        <v>641</v>
      </c>
      <c r="Z31" s="143" t="s">
        <v>1904</v>
      </c>
      <c r="AA31" s="143" t="s">
        <v>1905</v>
      </c>
      <c r="AB31" s="143" t="s">
        <v>1906</v>
      </c>
      <c r="AC31" s="143" t="s">
        <v>1907</v>
      </c>
      <c r="AD31" s="143" t="s">
        <v>1908</v>
      </c>
      <c r="AE31" s="143" t="s">
        <v>1909</v>
      </c>
      <c r="AF31" s="143" t="s">
        <v>1910</v>
      </c>
      <c r="AG31" s="143" t="s">
        <v>1911</v>
      </c>
      <c r="AH31" s="143" t="s">
        <v>642</v>
      </c>
      <c r="AI31" s="143" t="s">
        <v>1912</v>
      </c>
      <c r="AJ31" s="143" t="s">
        <v>639</v>
      </c>
      <c r="AK31" s="143" t="s">
        <v>640</v>
      </c>
      <c r="AL31" s="143" t="s">
        <v>615</v>
      </c>
    </row>
    <row r="32" spans="2:52">
      <c r="B32" s="143" t="s">
        <v>619</v>
      </c>
      <c r="C32" s="143" t="s">
        <v>584</v>
      </c>
      <c r="D32" s="143">
        <v>9</v>
      </c>
      <c r="E32" s="143" t="s">
        <v>1421</v>
      </c>
      <c r="F32" s="143" t="s">
        <v>568</v>
      </c>
      <c r="G32" s="142">
        <v>6</v>
      </c>
      <c r="J32" s="143">
        <v>31</v>
      </c>
      <c r="K32" s="143" t="s">
        <v>1920</v>
      </c>
      <c r="L32" s="143" t="s">
        <v>1894</v>
      </c>
      <c r="M32" s="143" t="s">
        <v>671</v>
      </c>
      <c r="N32" s="143" t="s">
        <v>672</v>
      </c>
      <c r="O32" s="143" t="s">
        <v>673</v>
      </c>
      <c r="P32" s="143" t="s">
        <v>674</v>
      </c>
      <c r="Q32" s="143" t="s">
        <v>675</v>
      </c>
      <c r="R32" s="143" t="s">
        <v>1921</v>
      </c>
    </row>
    <row r="33" spans="2:54">
      <c r="E33" s="143" t="s">
        <v>1424</v>
      </c>
      <c r="F33" s="143" t="s">
        <v>568</v>
      </c>
      <c r="G33" s="142">
        <v>6</v>
      </c>
      <c r="J33" s="143">
        <v>32</v>
      </c>
      <c r="K33" s="143" t="s">
        <v>1920</v>
      </c>
      <c r="L33" s="143" t="s">
        <v>1913</v>
      </c>
      <c r="M33" s="143" t="s">
        <v>671</v>
      </c>
      <c r="N33" s="143" t="s">
        <v>672</v>
      </c>
      <c r="O33" s="143" t="s">
        <v>673</v>
      </c>
      <c r="P33" s="143" t="s">
        <v>674</v>
      </c>
      <c r="Q33" s="143" t="s">
        <v>675</v>
      </c>
      <c r="R33" s="143" t="s">
        <v>1921</v>
      </c>
    </row>
    <row r="34" spans="2:54">
      <c r="E34" s="143" t="s">
        <v>1425</v>
      </c>
      <c r="F34" s="143" t="s">
        <v>568</v>
      </c>
      <c r="G34" s="142">
        <v>6</v>
      </c>
      <c r="J34" s="143">
        <v>33</v>
      </c>
      <c r="K34" s="143" t="s">
        <v>1920</v>
      </c>
      <c r="L34" s="143" t="s">
        <v>1914</v>
      </c>
      <c r="M34" s="143" t="s">
        <v>671</v>
      </c>
      <c r="N34" s="143" t="s">
        <v>672</v>
      </c>
      <c r="O34" s="143" t="s">
        <v>673</v>
      </c>
      <c r="P34" s="143" t="s">
        <v>674</v>
      </c>
      <c r="Q34" s="143" t="s">
        <v>675</v>
      </c>
      <c r="R34" s="143" t="s">
        <v>1921</v>
      </c>
    </row>
    <row r="35" spans="2:54">
      <c r="E35" s="143" t="s">
        <v>1426</v>
      </c>
      <c r="F35" s="143" t="s">
        <v>568</v>
      </c>
      <c r="G35" s="142">
        <v>6</v>
      </c>
      <c r="J35" s="143">
        <v>34</v>
      </c>
      <c r="K35" s="143" t="s">
        <v>1920</v>
      </c>
      <c r="L35" s="143" t="s">
        <v>1915</v>
      </c>
      <c r="M35" s="143" t="s">
        <v>671</v>
      </c>
      <c r="N35" s="143" t="s">
        <v>672</v>
      </c>
      <c r="O35" s="143" t="s">
        <v>673</v>
      </c>
      <c r="P35" s="143" t="s">
        <v>674</v>
      </c>
      <c r="Q35" s="143" t="s">
        <v>675</v>
      </c>
      <c r="R35" s="143" t="s">
        <v>1921</v>
      </c>
    </row>
    <row r="36" spans="2:54">
      <c r="E36" s="143" t="s">
        <v>1427</v>
      </c>
      <c r="F36" s="143" t="s">
        <v>568</v>
      </c>
      <c r="G36" s="142">
        <v>6</v>
      </c>
      <c r="J36" s="143">
        <v>35</v>
      </c>
      <c r="K36" s="143" t="s">
        <v>1920</v>
      </c>
      <c r="L36" s="143" t="s">
        <v>1916</v>
      </c>
      <c r="M36" s="143" t="s">
        <v>671</v>
      </c>
      <c r="N36" s="143" t="s">
        <v>672</v>
      </c>
      <c r="O36" s="143" t="s">
        <v>673</v>
      </c>
      <c r="P36" s="143" t="s">
        <v>674</v>
      </c>
      <c r="Q36" s="143" t="s">
        <v>675</v>
      </c>
      <c r="R36" s="143" t="s">
        <v>1921</v>
      </c>
    </row>
    <row r="37" spans="2:54">
      <c r="E37" s="143" t="s">
        <v>1428</v>
      </c>
      <c r="F37" s="143" t="s">
        <v>568</v>
      </c>
      <c r="G37" s="142">
        <v>6</v>
      </c>
      <c r="J37" s="143">
        <v>36</v>
      </c>
      <c r="K37" s="143" t="s">
        <v>1920</v>
      </c>
      <c r="L37" s="143" t="s">
        <v>1917</v>
      </c>
      <c r="M37" s="143" t="s">
        <v>671</v>
      </c>
      <c r="N37" s="143" t="s">
        <v>672</v>
      </c>
      <c r="O37" s="143" t="s">
        <v>673</v>
      </c>
      <c r="P37" s="143" t="s">
        <v>674</v>
      </c>
      <c r="Q37" s="143" t="s">
        <v>675</v>
      </c>
      <c r="R37" s="143" t="s">
        <v>1921</v>
      </c>
    </row>
    <row r="38" spans="2:54">
      <c r="E38" s="143" t="s">
        <v>1429</v>
      </c>
      <c r="F38" s="143" t="s">
        <v>568</v>
      </c>
      <c r="G38" s="142">
        <v>6</v>
      </c>
      <c r="J38" s="143">
        <v>37</v>
      </c>
      <c r="K38" s="143" t="s">
        <v>1920</v>
      </c>
      <c r="L38" s="143" t="s">
        <v>1918</v>
      </c>
      <c r="M38" s="143" t="s">
        <v>671</v>
      </c>
      <c r="N38" s="143" t="s">
        <v>672</v>
      </c>
      <c r="O38" s="143" t="s">
        <v>673</v>
      </c>
      <c r="P38" s="143" t="s">
        <v>674</v>
      </c>
      <c r="Q38" s="143" t="s">
        <v>675</v>
      </c>
      <c r="R38" s="143" t="s">
        <v>1921</v>
      </c>
    </row>
    <row r="39" spans="2:54">
      <c r="E39" s="143" t="s">
        <v>1430</v>
      </c>
      <c r="F39" s="143" t="s">
        <v>568</v>
      </c>
      <c r="G39" s="142">
        <v>6</v>
      </c>
      <c r="J39" s="143">
        <v>38</v>
      </c>
      <c r="K39" s="143" t="s">
        <v>1920</v>
      </c>
      <c r="L39" s="143" t="s">
        <v>1919</v>
      </c>
      <c r="M39" s="143" t="s">
        <v>671</v>
      </c>
      <c r="N39" s="143" t="s">
        <v>672</v>
      </c>
      <c r="O39" s="143" t="s">
        <v>673</v>
      </c>
      <c r="P39" s="143" t="s">
        <v>674</v>
      </c>
      <c r="Q39" s="143" t="s">
        <v>675</v>
      </c>
      <c r="R39" s="143" t="s">
        <v>1921</v>
      </c>
    </row>
    <row r="40" spans="2:54">
      <c r="E40" s="143" t="s">
        <v>1431</v>
      </c>
      <c r="F40" s="143" t="s">
        <v>568</v>
      </c>
      <c r="G40" s="142">
        <v>6</v>
      </c>
      <c r="J40" s="143">
        <v>39</v>
      </c>
      <c r="K40" s="143" t="s">
        <v>1920</v>
      </c>
      <c r="L40" s="143" t="s">
        <v>2</v>
      </c>
      <c r="M40" s="143" t="s">
        <v>671</v>
      </c>
      <c r="N40" s="143" t="s">
        <v>672</v>
      </c>
      <c r="O40" s="143" t="s">
        <v>673</v>
      </c>
      <c r="P40" s="143" t="s">
        <v>674</v>
      </c>
      <c r="Q40" s="143" t="s">
        <v>675</v>
      </c>
      <c r="R40" s="143" t="s">
        <v>1921</v>
      </c>
    </row>
    <row r="41" spans="2:54">
      <c r="B41" s="143" t="s">
        <v>621</v>
      </c>
      <c r="C41" s="143" t="s">
        <v>574</v>
      </c>
      <c r="E41" s="143" t="s">
        <v>621</v>
      </c>
      <c r="F41" s="143" t="s">
        <v>568</v>
      </c>
      <c r="G41" s="142">
        <v>3</v>
      </c>
      <c r="J41" s="143">
        <v>40</v>
      </c>
      <c r="L41" s="143" t="s">
        <v>1922</v>
      </c>
      <c r="M41" s="143" t="s">
        <v>1434</v>
      </c>
      <c r="N41" s="143" t="s">
        <v>1435</v>
      </c>
      <c r="O41" s="143" t="s">
        <v>1923</v>
      </c>
    </row>
    <row r="42" spans="2:54">
      <c r="B42" s="143" t="s">
        <v>622</v>
      </c>
      <c r="C42" s="143" t="s">
        <v>584</v>
      </c>
      <c r="D42" s="143">
        <v>3</v>
      </c>
      <c r="E42" s="143" t="s">
        <v>623</v>
      </c>
      <c r="F42" s="143" t="s">
        <v>568</v>
      </c>
      <c r="G42" s="142">
        <v>2</v>
      </c>
      <c r="J42" s="143">
        <v>41</v>
      </c>
      <c r="K42" s="143" t="s">
        <v>1924</v>
      </c>
      <c r="L42" s="143" t="s">
        <v>1925</v>
      </c>
      <c r="M42" s="143" t="s">
        <v>1926</v>
      </c>
      <c r="N42" s="143" t="s">
        <v>1927</v>
      </c>
    </row>
    <row r="43" spans="2:54">
      <c r="E43" s="143" t="s">
        <v>624</v>
      </c>
      <c r="F43" s="143" t="s">
        <v>568</v>
      </c>
      <c r="G43" s="142">
        <v>2</v>
      </c>
      <c r="J43" s="143">
        <v>42</v>
      </c>
      <c r="K43" s="143" t="s">
        <v>1924</v>
      </c>
      <c r="L43" s="143" t="s">
        <v>1928</v>
      </c>
      <c r="M43" s="143" t="s">
        <v>1926</v>
      </c>
      <c r="N43" s="143" t="s">
        <v>1927</v>
      </c>
    </row>
    <row r="44" spans="2:54">
      <c r="E44" s="143" t="s">
        <v>1442</v>
      </c>
      <c r="F44" s="143" t="s">
        <v>568</v>
      </c>
      <c r="G44" s="142">
        <v>2</v>
      </c>
      <c r="J44" s="143">
        <v>43</v>
      </c>
      <c r="K44" s="143" t="s">
        <v>1924</v>
      </c>
      <c r="L44" s="143" t="s">
        <v>1929</v>
      </c>
      <c r="M44" s="143" t="s">
        <v>1926</v>
      </c>
      <c r="N44" s="143" t="s">
        <v>1927</v>
      </c>
    </row>
    <row r="45" spans="2:54">
      <c r="B45" s="143" t="s">
        <v>625</v>
      </c>
      <c r="C45" s="143" t="s">
        <v>574</v>
      </c>
      <c r="E45" s="143" t="s">
        <v>625</v>
      </c>
      <c r="F45" s="143" t="s">
        <v>568</v>
      </c>
      <c r="G45" s="142">
        <v>42</v>
      </c>
      <c r="J45" s="143">
        <v>44</v>
      </c>
      <c r="L45" s="143" t="s">
        <v>1930</v>
      </c>
      <c r="M45" s="143" t="s">
        <v>1352</v>
      </c>
      <c r="N45" s="143" t="s">
        <v>1857</v>
      </c>
      <c r="O45" s="143" t="s">
        <v>1858</v>
      </c>
      <c r="P45" s="143" t="s">
        <v>1859</v>
      </c>
      <c r="Q45" s="143" t="s">
        <v>1860</v>
      </c>
      <c r="R45" s="143" t="s">
        <v>1861</v>
      </c>
      <c r="S45" s="143" t="s">
        <v>1862</v>
      </c>
      <c r="T45" s="143" t="s">
        <v>1863</v>
      </c>
      <c r="U45" s="143" t="s">
        <v>1864</v>
      </c>
      <c r="V45" s="143" t="s">
        <v>1865</v>
      </c>
      <c r="W45" s="143" t="s">
        <v>1866</v>
      </c>
      <c r="X45" s="143" t="s">
        <v>1867</v>
      </c>
      <c r="Y45" s="143" t="s">
        <v>1868</v>
      </c>
      <c r="Z45" s="143" t="s">
        <v>1869</v>
      </c>
      <c r="AA45" s="143" t="s">
        <v>1870</v>
      </c>
      <c r="AB45" s="143" t="s">
        <v>1871</v>
      </c>
      <c r="AC45" s="143" t="s">
        <v>1365</v>
      </c>
      <c r="AD45" s="143" t="s">
        <v>1872</v>
      </c>
      <c r="AE45" s="143" t="s">
        <v>1873</v>
      </c>
      <c r="AF45" s="143" t="s">
        <v>1874</v>
      </c>
      <c r="AG45" s="143" t="s">
        <v>1875</v>
      </c>
      <c r="AH45" s="143" t="s">
        <v>1876</v>
      </c>
      <c r="AI45" s="143" t="s">
        <v>1877</v>
      </c>
      <c r="AJ45" s="143" t="s">
        <v>1878</v>
      </c>
      <c r="AK45" s="143" t="s">
        <v>1879</v>
      </c>
      <c r="AL45" s="143" t="s">
        <v>1880</v>
      </c>
      <c r="AM45" s="143" t="s">
        <v>1881</v>
      </c>
      <c r="AN45" s="143" t="s">
        <v>1882</v>
      </c>
      <c r="AO45" s="143" t="s">
        <v>1883</v>
      </c>
      <c r="AP45" s="143" t="s">
        <v>1375</v>
      </c>
      <c r="AQ45" s="143" t="s">
        <v>1884</v>
      </c>
      <c r="AR45" s="143" t="s">
        <v>1885</v>
      </c>
      <c r="AS45" s="143" t="s">
        <v>1886</v>
      </c>
      <c r="AT45" s="143" t="s">
        <v>1887</v>
      </c>
      <c r="AU45" s="143" t="s">
        <v>1888</v>
      </c>
      <c r="AV45" s="143" t="s">
        <v>1889</v>
      </c>
      <c r="AW45" s="143" t="s">
        <v>1890</v>
      </c>
      <c r="AX45" s="143" t="s">
        <v>1891</v>
      </c>
      <c r="AY45" s="143" t="s">
        <v>1892</v>
      </c>
      <c r="AZ45" s="143" t="s">
        <v>1931</v>
      </c>
      <c r="BA45" s="143" t="s">
        <v>1932</v>
      </c>
      <c r="BB45" s="143" t="s">
        <v>1933</v>
      </c>
    </row>
    <row r="46" spans="2:54">
      <c r="E46" s="143" t="s">
        <v>1447</v>
      </c>
      <c r="F46" s="143" t="s">
        <v>571</v>
      </c>
      <c r="J46" s="143">
        <v>45</v>
      </c>
      <c r="L46" s="143" t="s">
        <v>1934</v>
      </c>
    </row>
    <row r="47" spans="2:54">
      <c r="E47" s="143" t="s">
        <v>1449</v>
      </c>
      <c r="F47" s="143" t="s">
        <v>571</v>
      </c>
      <c r="J47" s="143">
        <v>46</v>
      </c>
      <c r="L47" s="143" t="s">
        <v>1935</v>
      </c>
    </row>
    <row r="48" spans="2:54">
      <c r="B48" s="143" t="s">
        <v>626</v>
      </c>
      <c r="C48" s="143" t="s">
        <v>610</v>
      </c>
      <c r="E48" s="143" t="s">
        <v>626</v>
      </c>
      <c r="F48" s="143" t="s">
        <v>611</v>
      </c>
      <c r="G48" s="142">
        <v>9</v>
      </c>
      <c r="J48" s="143">
        <v>47</v>
      </c>
      <c r="L48" s="143" t="s">
        <v>1936</v>
      </c>
      <c r="M48" s="143" t="s">
        <v>1937</v>
      </c>
      <c r="N48" s="143" t="s">
        <v>1938</v>
      </c>
      <c r="O48" s="143" t="s">
        <v>19</v>
      </c>
      <c r="P48" s="143" t="s">
        <v>1939</v>
      </c>
      <c r="Q48" s="143" t="s">
        <v>1940</v>
      </c>
      <c r="R48" s="143" t="s">
        <v>1941</v>
      </c>
      <c r="S48" s="143" t="s">
        <v>1942</v>
      </c>
      <c r="T48" s="143" t="s">
        <v>1943</v>
      </c>
      <c r="U48" s="143" t="s">
        <v>615</v>
      </c>
    </row>
    <row r="49" spans="2:51">
      <c r="B49" s="143" t="s">
        <v>627</v>
      </c>
      <c r="C49" s="143" t="s">
        <v>574</v>
      </c>
      <c r="E49" s="143" t="s">
        <v>627</v>
      </c>
      <c r="F49" s="143" t="s">
        <v>568</v>
      </c>
      <c r="G49" s="142">
        <v>5</v>
      </c>
      <c r="J49" s="143">
        <v>48</v>
      </c>
      <c r="L49" s="143" t="s">
        <v>1944</v>
      </c>
      <c r="M49" s="143" t="s">
        <v>1945</v>
      </c>
      <c r="N49" s="143" t="s">
        <v>1946</v>
      </c>
      <c r="O49" s="143" t="s">
        <v>1947</v>
      </c>
      <c r="P49" s="143" t="s">
        <v>1948</v>
      </c>
      <c r="Q49" s="143" t="s">
        <v>1949</v>
      </c>
    </row>
    <row r="50" spans="2:51">
      <c r="B50" s="143" t="s">
        <v>628</v>
      </c>
      <c r="C50" s="143" t="s">
        <v>574</v>
      </c>
      <c r="E50" s="143" t="s">
        <v>628</v>
      </c>
      <c r="F50" s="143" t="s">
        <v>568</v>
      </c>
      <c r="G50" s="142">
        <v>5</v>
      </c>
      <c r="J50" s="143">
        <v>49</v>
      </c>
      <c r="L50" s="143" t="s">
        <v>1950</v>
      </c>
      <c r="M50" s="143" t="s">
        <v>1951</v>
      </c>
      <c r="N50" s="143" t="s">
        <v>1952</v>
      </c>
      <c r="O50" s="143" t="s">
        <v>1953</v>
      </c>
      <c r="P50" s="143" t="s">
        <v>1954</v>
      </c>
      <c r="Q50" s="143" t="s">
        <v>1955</v>
      </c>
    </row>
    <row r="51" spans="2:51">
      <c r="E51" s="143" t="s">
        <v>629</v>
      </c>
      <c r="F51" s="143" t="s">
        <v>571</v>
      </c>
      <c r="J51" s="143">
        <v>50</v>
      </c>
      <c r="L51" s="143" t="s">
        <v>1956</v>
      </c>
    </row>
    <row r="52" spans="2:51">
      <c r="B52" s="143" t="s">
        <v>630</v>
      </c>
      <c r="C52" s="143" t="s">
        <v>613</v>
      </c>
      <c r="D52" s="143">
        <v>2</v>
      </c>
      <c r="E52" s="143" t="s">
        <v>1473</v>
      </c>
      <c r="F52" s="143" t="s">
        <v>611</v>
      </c>
      <c r="G52" s="142">
        <v>2</v>
      </c>
      <c r="J52" s="143">
        <v>51</v>
      </c>
      <c r="K52" s="143" t="s">
        <v>1957</v>
      </c>
      <c r="L52" s="143" t="s">
        <v>1958</v>
      </c>
      <c r="M52" s="143" t="s">
        <v>1959</v>
      </c>
      <c r="N52" s="143" t="s">
        <v>1960</v>
      </c>
    </row>
    <row r="53" spans="2:51">
      <c r="E53" s="143" t="s">
        <v>1478</v>
      </c>
      <c r="F53" s="143" t="s">
        <v>611</v>
      </c>
      <c r="G53" s="142">
        <v>2</v>
      </c>
      <c r="J53" s="143">
        <v>52</v>
      </c>
      <c r="K53" s="143" t="s">
        <v>1957</v>
      </c>
      <c r="L53" s="143" t="s">
        <v>1961</v>
      </c>
      <c r="M53" s="143" t="s">
        <v>1959</v>
      </c>
      <c r="N53" s="143" t="s">
        <v>1960</v>
      </c>
    </row>
    <row r="54" spans="2:51">
      <c r="B54" s="143" t="s">
        <v>631</v>
      </c>
      <c r="C54" s="143" t="s">
        <v>613</v>
      </c>
      <c r="D54" s="143">
        <v>2</v>
      </c>
      <c r="E54" s="143" t="s">
        <v>632</v>
      </c>
      <c r="F54" s="143" t="s">
        <v>611</v>
      </c>
      <c r="G54" s="142">
        <v>8</v>
      </c>
      <c r="J54" s="143">
        <v>53</v>
      </c>
      <c r="K54" s="143" t="s">
        <v>1962</v>
      </c>
      <c r="L54" s="143" t="s">
        <v>1958</v>
      </c>
      <c r="M54" s="143" t="s">
        <v>1963</v>
      </c>
      <c r="N54" s="143" t="s">
        <v>1964</v>
      </c>
      <c r="O54" s="143" t="s">
        <v>1965</v>
      </c>
      <c r="P54" s="143" t="s">
        <v>1966</v>
      </c>
      <c r="Q54" s="143" t="s">
        <v>1967</v>
      </c>
      <c r="R54" s="143" t="s">
        <v>1968</v>
      </c>
      <c r="S54" s="143" t="s">
        <v>1969</v>
      </c>
      <c r="T54" s="143" t="s">
        <v>620</v>
      </c>
    </row>
    <row r="55" spans="2:51">
      <c r="E55" s="143" t="s">
        <v>633</v>
      </c>
      <c r="F55" s="143" t="s">
        <v>611</v>
      </c>
      <c r="G55" s="142">
        <v>8</v>
      </c>
      <c r="J55" s="143">
        <v>54</v>
      </c>
      <c r="K55" s="143" t="s">
        <v>1962</v>
      </c>
      <c r="L55" s="143" t="s">
        <v>1961</v>
      </c>
      <c r="M55" s="143" t="s">
        <v>1963</v>
      </c>
      <c r="N55" s="143" t="s">
        <v>1964</v>
      </c>
      <c r="O55" s="143" t="s">
        <v>1965</v>
      </c>
      <c r="P55" s="143" t="s">
        <v>1966</v>
      </c>
      <c r="Q55" s="143" t="s">
        <v>1967</v>
      </c>
      <c r="R55" s="143" t="s">
        <v>1968</v>
      </c>
      <c r="S55" s="143" t="s">
        <v>1969</v>
      </c>
      <c r="T55" s="143" t="s">
        <v>620</v>
      </c>
    </row>
    <row r="56" spans="2:51">
      <c r="B56" s="143" t="s">
        <v>634</v>
      </c>
      <c r="C56" s="143" t="s">
        <v>613</v>
      </c>
      <c r="D56" s="143">
        <v>2</v>
      </c>
      <c r="E56" s="143" t="s">
        <v>1488</v>
      </c>
      <c r="F56" s="143" t="s">
        <v>611</v>
      </c>
      <c r="G56" s="142">
        <v>9</v>
      </c>
      <c r="J56" s="143">
        <v>55</v>
      </c>
      <c r="K56" s="143" t="s">
        <v>1970</v>
      </c>
      <c r="L56" s="143" t="s">
        <v>1958</v>
      </c>
      <c r="M56" s="143" t="s">
        <v>701</v>
      </c>
      <c r="N56" s="143" t="s">
        <v>702</v>
      </c>
      <c r="O56" s="143" t="s">
        <v>703</v>
      </c>
      <c r="P56" s="143" t="s">
        <v>1971</v>
      </c>
      <c r="Q56" s="143" t="s">
        <v>1972</v>
      </c>
      <c r="R56" s="143" t="s">
        <v>1973</v>
      </c>
      <c r="S56" s="143" t="s">
        <v>1974</v>
      </c>
      <c r="T56" s="143" t="s">
        <v>1497</v>
      </c>
      <c r="U56" s="143" t="s">
        <v>620</v>
      </c>
    </row>
    <row r="57" spans="2:51">
      <c r="E57" s="143" t="s">
        <v>1498</v>
      </c>
      <c r="F57" s="143" t="s">
        <v>611</v>
      </c>
      <c r="G57" s="142">
        <v>9</v>
      </c>
      <c r="J57" s="143">
        <v>56</v>
      </c>
      <c r="K57" s="143" t="s">
        <v>1970</v>
      </c>
      <c r="L57" s="143" t="s">
        <v>1961</v>
      </c>
      <c r="M57" s="143" t="s">
        <v>701</v>
      </c>
      <c r="N57" s="143" t="s">
        <v>702</v>
      </c>
      <c r="O57" s="143" t="s">
        <v>703</v>
      </c>
      <c r="P57" s="143" t="s">
        <v>1971</v>
      </c>
      <c r="Q57" s="143" t="s">
        <v>1972</v>
      </c>
      <c r="R57" s="143" t="s">
        <v>1973</v>
      </c>
      <c r="S57" s="143" t="s">
        <v>1974</v>
      </c>
      <c r="T57" s="143" t="s">
        <v>1497</v>
      </c>
      <c r="U57" s="143" t="s">
        <v>620</v>
      </c>
    </row>
    <row r="58" spans="2:51">
      <c r="B58" s="143" t="s">
        <v>635</v>
      </c>
      <c r="C58" s="143" t="s">
        <v>574</v>
      </c>
      <c r="E58" s="143" t="s">
        <v>635</v>
      </c>
      <c r="F58" s="143" t="s">
        <v>568</v>
      </c>
      <c r="G58" s="142">
        <v>20</v>
      </c>
      <c r="J58" s="143">
        <v>57</v>
      </c>
      <c r="L58" s="143" t="s">
        <v>1975</v>
      </c>
      <c r="M58" s="143" t="s">
        <v>1976</v>
      </c>
      <c r="N58" s="143" t="s">
        <v>1977</v>
      </c>
      <c r="O58" s="143" t="s">
        <v>1978</v>
      </c>
      <c r="P58" s="143" t="s">
        <v>1979</v>
      </c>
      <c r="Q58" s="143" t="s">
        <v>1980</v>
      </c>
      <c r="R58" s="143" t="s">
        <v>1981</v>
      </c>
      <c r="S58" s="143" t="s">
        <v>1982</v>
      </c>
      <c r="T58" s="143" t="s">
        <v>1983</v>
      </c>
      <c r="U58" s="143" t="s">
        <v>1984</v>
      </c>
      <c r="V58" s="143" t="s">
        <v>1985</v>
      </c>
      <c r="W58" s="143" t="s">
        <v>1986</v>
      </c>
      <c r="X58" s="143" t="s">
        <v>1987</v>
      </c>
      <c r="Y58" s="143" t="s">
        <v>1988</v>
      </c>
      <c r="Z58" s="143" t="s">
        <v>1989</v>
      </c>
      <c r="AA58" s="143" t="s">
        <v>1990</v>
      </c>
      <c r="AB58" s="143" t="s">
        <v>1991</v>
      </c>
      <c r="AC58" s="143" t="s">
        <v>1992</v>
      </c>
      <c r="AD58" s="143" t="s">
        <v>1993</v>
      </c>
      <c r="AE58" s="143" t="s">
        <v>1994</v>
      </c>
      <c r="AF58" s="143" t="s">
        <v>1995</v>
      </c>
    </row>
    <row r="59" spans="2:51">
      <c r="B59" s="143" t="s">
        <v>643</v>
      </c>
      <c r="C59" s="143" t="s">
        <v>613</v>
      </c>
      <c r="D59" s="143">
        <v>2</v>
      </c>
      <c r="E59" s="143" t="s">
        <v>644</v>
      </c>
      <c r="F59" s="143" t="s">
        <v>611</v>
      </c>
      <c r="G59" s="142">
        <v>26</v>
      </c>
      <c r="J59" s="143">
        <v>58</v>
      </c>
      <c r="K59" s="143" t="s">
        <v>1996</v>
      </c>
      <c r="L59" s="143" t="s">
        <v>1997</v>
      </c>
      <c r="M59" s="143" t="s">
        <v>1895</v>
      </c>
      <c r="N59" s="143" t="s">
        <v>636</v>
      </c>
      <c r="O59" s="143" t="s">
        <v>1896</v>
      </c>
      <c r="P59" s="143" t="s">
        <v>1897</v>
      </c>
      <c r="Q59" s="143" t="s">
        <v>1898</v>
      </c>
      <c r="R59" s="143" t="s">
        <v>1899</v>
      </c>
      <c r="S59" s="143" t="s">
        <v>637</v>
      </c>
      <c r="T59" s="143" t="s">
        <v>1900</v>
      </c>
      <c r="U59" s="143" t="s">
        <v>1901</v>
      </c>
      <c r="V59" s="143" t="s">
        <v>638</v>
      </c>
      <c r="W59" s="143" t="s">
        <v>1902</v>
      </c>
      <c r="X59" s="143" t="s">
        <v>1903</v>
      </c>
      <c r="Y59" s="143" t="s">
        <v>641</v>
      </c>
      <c r="Z59" s="143" t="s">
        <v>1904</v>
      </c>
      <c r="AA59" s="143" t="s">
        <v>1905</v>
      </c>
      <c r="AB59" s="143" t="s">
        <v>1906</v>
      </c>
      <c r="AC59" s="143" t="s">
        <v>1907</v>
      </c>
      <c r="AD59" s="143" t="s">
        <v>1908</v>
      </c>
      <c r="AE59" s="143" t="s">
        <v>1909</v>
      </c>
      <c r="AF59" s="143" t="s">
        <v>1910</v>
      </c>
      <c r="AG59" s="143" t="s">
        <v>1911</v>
      </c>
      <c r="AH59" s="143" t="s">
        <v>642</v>
      </c>
      <c r="AI59" s="143" t="s">
        <v>1912</v>
      </c>
      <c r="AJ59" s="143" t="s">
        <v>639</v>
      </c>
      <c r="AK59" s="143" t="s">
        <v>640</v>
      </c>
      <c r="AL59" s="143" t="s">
        <v>615</v>
      </c>
    </row>
    <row r="60" spans="2:51">
      <c r="E60" s="143" t="s">
        <v>645</v>
      </c>
      <c r="F60" s="143" t="s">
        <v>611</v>
      </c>
      <c r="G60" s="142">
        <v>26</v>
      </c>
      <c r="J60" s="143">
        <v>59</v>
      </c>
      <c r="K60" s="143" t="s">
        <v>1996</v>
      </c>
      <c r="L60" s="143" t="s">
        <v>1998</v>
      </c>
      <c r="M60" s="143" t="s">
        <v>1895</v>
      </c>
      <c r="N60" s="143" t="s">
        <v>636</v>
      </c>
      <c r="O60" s="143" t="s">
        <v>1896</v>
      </c>
      <c r="P60" s="143" t="s">
        <v>1897</v>
      </c>
      <c r="Q60" s="143" t="s">
        <v>1898</v>
      </c>
      <c r="R60" s="143" t="s">
        <v>1899</v>
      </c>
      <c r="S60" s="143" t="s">
        <v>637</v>
      </c>
      <c r="T60" s="143" t="s">
        <v>1900</v>
      </c>
      <c r="U60" s="143" t="s">
        <v>1901</v>
      </c>
      <c r="V60" s="143" t="s">
        <v>638</v>
      </c>
      <c r="W60" s="143" t="s">
        <v>1902</v>
      </c>
      <c r="X60" s="143" t="s">
        <v>1903</v>
      </c>
      <c r="Y60" s="143" t="s">
        <v>641</v>
      </c>
      <c r="Z60" s="143" t="s">
        <v>1904</v>
      </c>
      <c r="AA60" s="143" t="s">
        <v>1905</v>
      </c>
      <c r="AB60" s="143" t="s">
        <v>1906</v>
      </c>
      <c r="AC60" s="143" t="s">
        <v>1907</v>
      </c>
      <c r="AD60" s="143" t="s">
        <v>1908</v>
      </c>
      <c r="AE60" s="143" t="s">
        <v>1909</v>
      </c>
      <c r="AF60" s="143" t="s">
        <v>1910</v>
      </c>
      <c r="AG60" s="143" t="s">
        <v>1911</v>
      </c>
      <c r="AH60" s="143" t="s">
        <v>642</v>
      </c>
      <c r="AI60" s="143" t="s">
        <v>1912</v>
      </c>
      <c r="AJ60" s="143" t="s">
        <v>639</v>
      </c>
      <c r="AK60" s="143" t="s">
        <v>640</v>
      </c>
      <c r="AL60" s="143" t="s">
        <v>615</v>
      </c>
    </row>
    <row r="61" spans="2:51">
      <c r="B61" s="143" t="s">
        <v>646</v>
      </c>
      <c r="C61" s="143" t="s">
        <v>610</v>
      </c>
      <c r="E61" s="143" t="s">
        <v>646</v>
      </c>
      <c r="F61" s="143" t="s">
        <v>611</v>
      </c>
      <c r="G61" s="142">
        <v>39</v>
      </c>
      <c r="J61" s="143">
        <v>60</v>
      </c>
      <c r="L61" s="143" t="s">
        <v>1999</v>
      </c>
      <c r="M61" s="143" t="s">
        <v>2000</v>
      </c>
      <c r="N61" s="143" t="s">
        <v>2001</v>
      </c>
      <c r="O61" s="143" t="s">
        <v>2002</v>
      </c>
      <c r="P61" s="143" t="s">
        <v>2003</v>
      </c>
      <c r="Q61" s="143" t="s">
        <v>2004</v>
      </c>
      <c r="R61" s="143" t="s">
        <v>2005</v>
      </c>
      <c r="S61" s="143" t="s">
        <v>2006</v>
      </c>
      <c r="T61" s="143" t="s">
        <v>2007</v>
      </c>
      <c r="U61" s="143" t="s">
        <v>2008</v>
      </c>
      <c r="V61" s="143" t="s">
        <v>2009</v>
      </c>
      <c r="W61" s="143" t="s">
        <v>2010</v>
      </c>
      <c r="X61" s="143" t="s">
        <v>2011</v>
      </c>
      <c r="Y61" s="143" t="s">
        <v>2012</v>
      </c>
      <c r="Z61" s="143" t="s">
        <v>2013</v>
      </c>
      <c r="AA61" s="143" t="s">
        <v>2014</v>
      </c>
      <c r="AB61" s="143" t="s">
        <v>2015</v>
      </c>
      <c r="AC61" s="143" t="s">
        <v>2016</v>
      </c>
      <c r="AD61" s="143" t="s">
        <v>2017</v>
      </c>
      <c r="AE61" s="143" t="s">
        <v>2018</v>
      </c>
      <c r="AF61" s="143" t="s">
        <v>2019</v>
      </c>
      <c r="AG61" s="143" t="s">
        <v>2020</v>
      </c>
      <c r="AH61" s="143" t="s">
        <v>2021</v>
      </c>
      <c r="AI61" s="143" t="s">
        <v>2022</v>
      </c>
      <c r="AJ61" s="143" t="s">
        <v>2023</v>
      </c>
      <c r="AK61" s="143" t="s">
        <v>2024</v>
      </c>
      <c r="AL61" s="143" t="s">
        <v>2025</v>
      </c>
      <c r="AM61" s="143" t="s">
        <v>2026</v>
      </c>
      <c r="AN61" s="143" t="s">
        <v>2027</v>
      </c>
      <c r="AO61" s="143" t="s">
        <v>2028</v>
      </c>
      <c r="AP61" s="143" t="s">
        <v>2029</v>
      </c>
      <c r="AQ61" s="143" t="s">
        <v>2030</v>
      </c>
      <c r="AR61" s="143" t="s">
        <v>2031</v>
      </c>
      <c r="AS61" s="143" t="s">
        <v>2032</v>
      </c>
      <c r="AT61" s="143" t="s">
        <v>2033</v>
      </c>
      <c r="AU61" s="143" t="s">
        <v>2034</v>
      </c>
      <c r="AV61" s="143" t="s">
        <v>2035</v>
      </c>
      <c r="AW61" s="143" t="s">
        <v>2036</v>
      </c>
      <c r="AX61" s="143" t="s">
        <v>2037</v>
      </c>
      <c r="AY61" s="143" t="s">
        <v>2038</v>
      </c>
    </row>
    <row r="62" spans="2:51">
      <c r="E62" s="143" t="s">
        <v>1563</v>
      </c>
      <c r="F62" s="143" t="s">
        <v>571</v>
      </c>
      <c r="J62" s="143">
        <v>61</v>
      </c>
      <c r="L62" s="143" t="s">
        <v>2039</v>
      </c>
    </row>
    <row r="63" spans="2:51">
      <c r="B63" s="143" t="s">
        <v>647</v>
      </c>
      <c r="C63" s="143" t="s">
        <v>610</v>
      </c>
      <c r="E63" s="143" t="s">
        <v>647</v>
      </c>
      <c r="F63" s="143" t="s">
        <v>611</v>
      </c>
      <c r="G63" s="142">
        <v>39</v>
      </c>
      <c r="J63" s="143">
        <v>62</v>
      </c>
      <c r="L63" s="143" t="s">
        <v>2040</v>
      </c>
      <c r="M63" s="143" t="s">
        <v>2000</v>
      </c>
      <c r="N63" s="143" t="s">
        <v>2001</v>
      </c>
      <c r="O63" s="143" t="s">
        <v>2002</v>
      </c>
      <c r="P63" s="143" t="s">
        <v>2003</v>
      </c>
      <c r="Q63" s="143" t="s">
        <v>2004</v>
      </c>
      <c r="R63" s="143" t="s">
        <v>2005</v>
      </c>
      <c r="S63" s="143" t="s">
        <v>2006</v>
      </c>
      <c r="T63" s="143" t="s">
        <v>2007</v>
      </c>
      <c r="U63" s="143" t="s">
        <v>2008</v>
      </c>
      <c r="V63" s="143" t="s">
        <v>2009</v>
      </c>
      <c r="W63" s="143" t="s">
        <v>2010</v>
      </c>
      <c r="X63" s="143" t="s">
        <v>2011</v>
      </c>
      <c r="Y63" s="143" t="s">
        <v>2012</v>
      </c>
      <c r="Z63" s="143" t="s">
        <v>2013</v>
      </c>
      <c r="AA63" s="143" t="s">
        <v>2014</v>
      </c>
      <c r="AB63" s="143" t="s">
        <v>2015</v>
      </c>
      <c r="AC63" s="143" t="s">
        <v>2016</v>
      </c>
      <c r="AD63" s="143" t="s">
        <v>2017</v>
      </c>
      <c r="AE63" s="143" t="s">
        <v>2018</v>
      </c>
      <c r="AF63" s="143" t="s">
        <v>2019</v>
      </c>
      <c r="AG63" s="143" t="s">
        <v>2020</v>
      </c>
      <c r="AH63" s="143" t="s">
        <v>2021</v>
      </c>
      <c r="AI63" s="143" t="s">
        <v>2022</v>
      </c>
      <c r="AJ63" s="143" t="s">
        <v>2023</v>
      </c>
      <c r="AK63" s="143" t="s">
        <v>2024</v>
      </c>
      <c r="AL63" s="143" t="s">
        <v>2025</v>
      </c>
      <c r="AM63" s="143" t="s">
        <v>2026</v>
      </c>
      <c r="AN63" s="143" t="s">
        <v>2027</v>
      </c>
      <c r="AO63" s="143" t="s">
        <v>2028</v>
      </c>
      <c r="AP63" s="143" t="s">
        <v>2029</v>
      </c>
      <c r="AQ63" s="143" t="s">
        <v>2030</v>
      </c>
      <c r="AR63" s="143" t="s">
        <v>2031</v>
      </c>
      <c r="AS63" s="143" t="s">
        <v>2032</v>
      </c>
      <c r="AT63" s="143" t="s">
        <v>2033</v>
      </c>
      <c r="AU63" s="143" t="s">
        <v>2034</v>
      </c>
      <c r="AV63" s="143" t="s">
        <v>2035</v>
      </c>
      <c r="AW63" s="143" t="s">
        <v>2036</v>
      </c>
      <c r="AX63" s="143" t="s">
        <v>2037</v>
      </c>
      <c r="AY63" s="143" t="s">
        <v>2038</v>
      </c>
    </row>
    <row r="64" spans="2:51">
      <c r="E64" s="143" t="s">
        <v>1566</v>
      </c>
      <c r="F64" s="143" t="s">
        <v>571</v>
      </c>
      <c r="J64" s="143">
        <v>63</v>
      </c>
      <c r="L64" s="143" t="s">
        <v>2041</v>
      </c>
    </row>
    <row r="65" spans="2:51">
      <c r="B65" s="143" t="s">
        <v>648</v>
      </c>
      <c r="C65" s="143" t="s">
        <v>610</v>
      </c>
      <c r="E65" s="143" t="s">
        <v>648</v>
      </c>
      <c r="F65" s="143" t="s">
        <v>611</v>
      </c>
      <c r="G65" s="142">
        <v>39</v>
      </c>
      <c r="J65" s="143">
        <v>64</v>
      </c>
      <c r="L65" s="143" t="s">
        <v>2042</v>
      </c>
      <c r="M65" s="143" t="s">
        <v>2000</v>
      </c>
      <c r="N65" s="143" t="s">
        <v>2001</v>
      </c>
      <c r="O65" s="143" t="s">
        <v>2002</v>
      </c>
      <c r="P65" s="143" t="s">
        <v>2003</v>
      </c>
      <c r="Q65" s="143" t="s">
        <v>2004</v>
      </c>
      <c r="R65" s="143" t="s">
        <v>2005</v>
      </c>
      <c r="S65" s="143" t="s">
        <v>2006</v>
      </c>
      <c r="T65" s="143" t="s">
        <v>2007</v>
      </c>
      <c r="U65" s="143" t="s">
        <v>2008</v>
      </c>
      <c r="V65" s="143" t="s">
        <v>2009</v>
      </c>
      <c r="W65" s="143" t="s">
        <v>2010</v>
      </c>
      <c r="X65" s="143" t="s">
        <v>2011</v>
      </c>
      <c r="Y65" s="143" t="s">
        <v>2012</v>
      </c>
      <c r="Z65" s="143" t="s">
        <v>2013</v>
      </c>
      <c r="AA65" s="143" t="s">
        <v>2014</v>
      </c>
      <c r="AB65" s="143" t="s">
        <v>2015</v>
      </c>
      <c r="AC65" s="143" t="s">
        <v>2016</v>
      </c>
      <c r="AD65" s="143" t="s">
        <v>2017</v>
      </c>
      <c r="AE65" s="143" t="s">
        <v>2018</v>
      </c>
      <c r="AF65" s="143" t="s">
        <v>2019</v>
      </c>
      <c r="AG65" s="143" t="s">
        <v>2020</v>
      </c>
      <c r="AH65" s="143" t="s">
        <v>2021</v>
      </c>
      <c r="AI65" s="143" t="s">
        <v>2022</v>
      </c>
      <c r="AJ65" s="143" t="s">
        <v>2023</v>
      </c>
      <c r="AK65" s="143" t="s">
        <v>2024</v>
      </c>
      <c r="AL65" s="143" t="s">
        <v>2025</v>
      </c>
      <c r="AM65" s="143" t="s">
        <v>2026</v>
      </c>
      <c r="AN65" s="143" t="s">
        <v>2027</v>
      </c>
      <c r="AO65" s="143" t="s">
        <v>2028</v>
      </c>
      <c r="AP65" s="143" t="s">
        <v>2029</v>
      </c>
      <c r="AQ65" s="143" t="s">
        <v>2030</v>
      </c>
      <c r="AR65" s="143" t="s">
        <v>2031</v>
      </c>
      <c r="AS65" s="143" t="s">
        <v>2032</v>
      </c>
      <c r="AT65" s="143" t="s">
        <v>2033</v>
      </c>
      <c r="AU65" s="143" t="s">
        <v>2034</v>
      </c>
      <c r="AV65" s="143" t="s">
        <v>2035</v>
      </c>
      <c r="AW65" s="143" t="s">
        <v>2036</v>
      </c>
      <c r="AX65" s="143" t="s">
        <v>2037</v>
      </c>
      <c r="AY65" s="143" t="s">
        <v>2038</v>
      </c>
    </row>
    <row r="66" spans="2:51">
      <c r="E66" s="143" t="s">
        <v>1569</v>
      </c>
      <c r="F66" s="143" t="s">
        <v>571</v>
      </c>
      <c r="J66" s="143">
        <v>65</v>
      </c>
      <c r="L66" s="143" t="s">
        <v>2043</v>
      </c>
    </row>
    <row r="67" spans="2:51">
      <c r="B67" s="143" t="s">
        <v>660</v>
      </c>
      <c r="C67" s="143" t="s">
        <v>584</v>
      </c>
      <c r="D67" s="143">
        <v>7</v>
      </c>
      <c r="E67" s="143" t="s">
        <v>661</v>
      </c>
      <c r="F67" s="143" t="s">
        <v>568</v>
      </c>
      <c r="G67" s="142">
        <v>5</v>
      </c>
      <c r="J67" s="143">
        <v>66</v>
      </c>
      <c r="K67" s="143" t="s">
        <v>2044</v>
      </c>
      <c r="L67" s="143" t="s">
        <v>2045</v>
      </c>
      <c r="M67" s="143" t="s">
        <v>2046</v>
      </c>
      <c r="N67" s="143" t="s">
        <v>687</v>
      </c>
      <c r="O67" s="143" t="s">
        <v>2047</v>
      </c>
      <c r="P67" s="143" t="s">
        <v>2048</v>
      </c>
      <c r="Q67" s="143" t="s">
        <v>2049</v>
      </c>
    </row>
    <row r="68" spans="2:51">
      <c r="E68" s="143" t="s">
        <v>662</v>
      </c>
      <c r="F68" s="143" t="s">
        <v>568</v>
      </c>
      <c r="G68" s="142">
        <v>5</v>
      </c>
      <c r="J68" s="143">
        <v>67</v>
      </c>
      <c r="K68" s="143" t="s">
        <v>2044</v>
      </c>
      <c r="L68" s="143" t="s">
        <v>2050</v>
      </c>
      <c r="M68" s="143" t="s">
        <v>2046</v>
      </c>
      <c r="N68" s="143" t="s">
        <v>687</v>
      </c>
      <c r="O68" s="143" t="s">
        <v>2047</v>
      </c>
      <c r="P68" s="143" t="s">
        <v>2048</v>
      </c>
      <c r="Q68" s="143" t="s">
        <v>2049</v>
      </c>
    </row>
    <row r="69" spans="2:51">
      <c r="E69" s="143" t="s">
        <v>663</v>
      </c>
      <c r="F69" s="143" t="s">
        <v>568</v>
      </c>
      <c r="G69" s="142">
        <v>5</v>
      </c>
      <c r="J69" s="143">
        <v>68</v>
      </c>
      <c r="K69" s="143" t="s">
        <v>2044</v>
      </c>
      <c r="L69" s="143" t="s">
        <v>2051</v>
      </c>
      <c r="M69" s="143" t="s">
        <v>2046</v>
      </c>
      <c r="N69" s="143" t="s">
        <v>687</v>
      </c>
      <c r="O69" s="143" t="s">
        <v>2047</v>
      </c>
      <c r="P69" s="143" t="s">
        <v>2048</v>
      </c>
      <c r="Q69" s="143" t="s">
        <v>2049</v>
      </c>
    </row>
    <row r="70" spans="2:51">
      <c r="E70" s="143" t="s">
        <v>1576</v>
      </c>
      <c r="F70" s="143" t="s">
        <v>568</v>
      </c>
      <c r="G70" s="142">
        <v>5</v>
      </c>
      <c r="J70" s="143">
        <v>69</v>
      </c>
      <c r="K70" s="143" t="s">
        <v>2044</v>
      </c>
      <c r="L70" s="143" t="s">
        <v>2052</v>
      </c>
      <c r="M70" s="143" t="s">
        <v>2046</v>
      </c>
      <c r="N70" s="143" t="s">
        <v>687</v>
      </c>
      <c r="O70" s="143" t="s">
        <v>2047</v>
      </c>
      <c r="P70" s="143" t="s">
        <v>2048</v>
      </c>
      <c r="Q70" s="143" t="s">
        <v>2049</v>
      </c>
    </row>
    <row r="71" spans="2:51">
      <c r="E71" s="143" t="s">
        <v>1578</v>
      </c>
      <c r="F71" s="143" t="s">
        <v>568</v>
      </c>
      <c r="G71" s="142">
        <v>5</v>
      </c>
      <c r="J71" s="143">
        <v>70</v>
      </c>
      <c r="K71" s="143" t="s">
        <v>2044</v>
      </c>
      <c r="L71" s="143" t="s">
        <v>2053</v>
      </c>
      <c r="M71" s="143" t="s">
        <v>2046</v>
      </c>
      <c r="N71" s="143" t="s">
        <v>687</v>
      </c>
      <c r="O71" s="143" t="s">
        <v>2047</v>
      </c>
      <c r="P71" s="143" t="s">
        <v>2048</v>
      </c>
      <c r="Q71" s="143" t="s">
        <v>2049</v>
      </c>
    </row>
    <row r="72" spans="2:51">
      <c r="E72" s="143" t="s">
        <v>1580</v>
      </c>
      <c r="F72" s="143" t="s">
        <v>568</v>
      </c>
      <c r="G72" s="142">
        <v>5</v>
      </c>
      <c r="J72" s="143">
        <v>71</v>
      </c>
      <c r="K72" s="143" t="s">
        <v>2044</v>
      </c>
      <c r="L72" s="143" t="s">
        <v>2054</v>
      </c>
      <c r="M72" s="143" t="s">
        <v>2046</v>
      </c>
      <c r="N72" s="143" t="s">
        <v>687</v>
      </c>
      <c r="O72" s="143" t="s">
        <v>2047</v>
      </c>
      <c r="P72" s="143" t="s">
        <v>2048</v>
      </c>
      <c r="Q72" s="143" t="s">
        <v>2049</v>
      </c>
    </row>
    <row r="73" spans="2:51">
      <c r="E73" s="143" t="s">
        <v>1582</v>
      </c>
      <c r="F73" s="143" t="s">
        <v>568</v>
      </c>
      <c r="G73" s="142">
        <v>5</v>
      </c>
      <c r="J73" s="143">
        <v>72</v>
      </c>
      <c r="K73" s="143" t="s">
        <v>2044</v>
      </c>
      <c r="L73" s="143" t="s">
        <v>696</v>
      </c>
      <c r="M73" s="143" t="s">
        <v>2046</v>
      </c>
      <c r="N73" s="143" t="s">
        <v>687</v>
      </c>
      <c r="O73" s="143" t="s">
        <v>2047</v>
      </c>
      <c r="P73" s="143" t="s">
        <v>2048</v>
      </c>
      <c r="Q73" s="143" t="s">
        <v>2049</v>
      </c>
    </row>
    <row r="74" spans="2:51">
      <c r="B74" s="143" t="s">
        <v>664</v>
      </c>
      <c r="C74" s="143" t="s">
        <v>574</v>
      </c>
      <c r="E74" s="143" t="s">
        <v>664</v>
      </c>
      <c r="F74" s="143" t="s">
        <v>568</v>
      </c>
      <c r="G74" s="142">
        <v>9</v>
      </c>
      <c r="J74" s="143">
        <v>73</v>
      </c>
      <c r="L74" s="143" t="s">
        <v>2055</v>
      </c>
      <c r="M74" s="143" t="s">
        <v>2056</v>
      </c>
      <c r="N74" s="143" t="s">
        <v>2057</v>
      </c>
      <c r="O74" s="143" t="s">
        <v>2058</v>
      </c>
      <c r="P74" s="143" t="s">
        <v>2059</v>
      </c>
      <c r="Q74" s="143" t="s">
        <v>2060</v>
      </c>
      <c r="R74" s="143" t="s">
        <v>2061</v>
      </c>
      <c r="S74" s="143" t="s">
        <v>2062</v>
      </c>
      <c r="T74" s="143" t="s">
        <v>2063</v>
      </c>
      <c r="U74" s="143" t="s">
        <v>2064</v>
      </c>
    </row>
    <row r="75" spans="2:51">
      <c r="E75" s="143" t="s">
        <v>1592</v>
      </c>
      <c r="F75" s="143" t="s">
        <v>571</v>
      </c>
      <c r="J75" s="143">
        <v>74</v>
      </c>
      <c r="L75" s="143" t="s">
        <v>2065</v>
      </c>
    </row>
    <row r="76" spans="2:51">
      <c r="B76" s="143" t="s">
        <v>665</v>
      </c>
      <c r="C76" s="143" t="s">
        <v>574</v>
      </c>
      <c r="E76" s="143" t="s">
        <v>665</v>
      </c>
      <c r="F76" s="143" t="s">
        <v>568</v>
      </c>
      <c r="G76" s="142">
        <v>2</v>
      </c>
      <c r="J76" s="143">
        <v>75</v>
      </c>
      <c r="L76" s="143" t="s">
        <v>2066</v>
      </c>
      <c r="M76" s="143" t="s">
        <v>2067</v>
      </c>
      <c r="N76" s="143" t="s">
        <v>2068</v>
      </c>
    </row>
    <row r="77" spans="2:51">
      <c r="B77" s="143" t="s">
        <v>666</v>
      </c>
      <c r="C77" s="143" t="s">
        <v>574</v>
      </c>
      <c r="E77" s="143" t="s">
        <v>666</v>
      </c>
      <c r="F77" s="143" t="s">
        <v>568</v>
      </c>
      <c r="G77" s="142">
        <v>5</v>
      </c>
      <c r="J77" s="143">
        <v>76</v>
      </c>
      <c r="L77" s="143" t="s">
        <v>2069</v>
      </c>
      <c r="M77" s="143" t="s">
        <v>2070</v>
      </c>
      <c r="N77" s="143" t="s">
        <v>2071</v>
      </c>
      <c r="O77" s="143" t="s">
        <v>2072</v>
      </c>
      <c r="P77" s="143" t="s">
        <v>2073</v>
      </c>
      <c r="Q77" s="143" t="s">
        <v>612</v>
      </c>
    </row>
    <row r="78" spans="2:51">
      <c r="E78" s="143" t="s">
        <v>1601</v>
      </c>
      <c r="F78" s="143" t="s">
        <v>571</v>
      </c>
      <c r="J78" s="143">
        <v>77</v>
      </c>
      <c r="L78" s="143" t="s">
        <v>2074</v>
      </c>
    </row>
    <row r="79" spans="2:51">
      <c r="B79" s="143" t="s">
        <v>667</v>
      </c>
      <c r="C79" s="143" t="s">
        <v>610</v>
      </c>
      <c r="E79" s="143" t="s">
        <v>667</v>
      </c>
      <c r="F79" s="143" t="s">
        <v>611</v>
      </c>
      <c r="G79" s="142">
        <v>4</v>
      </c>
      <c r="J79" s="143">
        <v>78</v>
      </c>
      <c r="L79" s="143" t="s">
        <v>2075</v>
      </c>
      <c r="M79" s="143" t="s">
        <v>2076</v>
      </c>
      <c r="N79" s="143" t="s">
        <v>2077</v>
      </c>
      <c r="O79" s="143" t="s">
        <v>2078</v>
      </c>
      <c r="P79" s="143" t="s">
        <v>612</v>
      </c>
    </row>
    <row r="80" spans="2:51">
      <c r="E80" s="143" t="s">
        <v>1607</v>
      </c>
      <c r="F80" s="143" t="s">
        <v>571</v>
      </c>
      <c r="J80" s="143">
        <v>79</v>
      </c>
      <c r="L80" s="143" t="s">
        <v>2079</v>
      </c>
    </row>
    <row r="81" spans="2:48">
      <c r="B81" s="143" t="s">
        <v>668</v>
      </c>
      <c r="C81" s="143" t="s">
        <v>610</v>
      </c>
      <c r="E81" s="143" t="s">
        <v>668</v>
      </c>
      <c r="F81" s="143" t="s">
        <v>611</v>
      </c>
      <c r="G81" s="142">
        <v>8</v>
      </c>
      <c r="J81" s="143">
        <v>80</v>
      </c>
      <c r="L81" s="143" t="s">
        <v>2080</v>
      </c>
      <c r="M81" s="143" t="s">
        <v>1805</v>
      </c>
      <c r="N81" s="143" t="s">
        <v>2081</v>
      </c>
      <c r="O81" s="143" t="s">
        <v>2082</v>
      </c>
      <c r="P81" s="143" t="s">
        <v>2083</v>
      </c>
      <c r="Q81" s="143" t="s">
        <v>2084</v>
      </c>
      <c r="R81" s="143" t="s">
        <v>2085</v>
      </c>
      <c r="S81" s="143" t="s">
        <v>2086</v>
      </c>
      <c r="T81" s="143" t="s">
        <v>2087</v>
      </c>
    </row>
    <row r="82" spans="2:48">
      <c r="B82" s="143" t="s">
        <v>669</v>
      </c>
      <c r="C82" s="143" t="s">
        <v>613</v>
      </c>
      <c r="D82" s="143">
        <v>6</v>
      </c>
      <c r="E82" s="143" t="s">
        <v>670</v>
      </c>
      <c r="F82" s="143" t="s">
        <v>611</v>
      </c>
      <c r="G82" s="142">
        <v>6</v>
      </c>
      <c r="J82" s="143">
        <v>81</v>
      </c>
      <c r="K82" s="143" t="s">
        <v>2088</v>
      </c>
      <c r="L82" s="143" t="s">
        <v>1805</v>
      </c>
      <c r="M82" s="143" t="s">
        <v>2089</v>
      </c>
      <c r="N82" s="143" t="s">
        <v>2090</v>
      </c>
      <c r="O82" s="143" t="s">
        <v>2091</v>
      </c>
      <c r="P82" s="143" t="s">
        <v>2092</v>
      </c>
      <c r="Q82" s="143" t="s">
        <v>2093</v>
      </c>
      <c r="R82" s="143" t="s">
        <v>2094</v>
      </c>
    </row>
    <row r="83" spans="2:48">
      <c r="E83" s="143" t="s">
        <v>676</v>
      </c>
      <c r="F83" s="143" t="s">
        <v>611</v>
      </c>
      <c r="G83" s="142">
        <v>6</v>
      </c>
      <c r="J83" s="143">
        <v>82</v>
      </c>
      <c r="K83" s="143" t="s">
        <v>2088</v>
      </c>
      <c r="L83" s="143" t="s">
        <v>2081</v>
      </c>
      <c r="M83" s="143" t="s">
        <v>2089</v>
      </c>
      <c r="N83" s="143" t="s">
        <v>2090</v>
      </c>
      <c r="O83" s="143" t="s">
        <v>2091</v>
      </c>
      <c r="P83" s="143" t="s">
        <v>2092</v>
      </c>
      <c r="Q83" s="143" t="s">
        <v>2093</v>
      </c>
      <c r="R83" s="143" t="s">
        <v>2094</v>
      </c>
    </row>
    <row r="84" spans="2:48">
      <c r="E84" s="143" t="s">
        <v>677</v>
      </c>
      <c r="F84" s="143" t="s">
        <v>611</v>
      </c>
      <c r="G84" s="142">
        <v>6</v>
      </c>
      <c r="J84" s="143">
        <v>83</v>
      </c>
      <c r="K84" s="143" t="s">
        <v>2088</v>
      </c>
      <c r="L84" s="143" t="s">
        <v>2082</v>
      </c>
      <c r="M84" s="143" t="s">
        <v>2089</v>
      </c>
      <c r="N84" s="143" t="s">
        <v>2090</v>
      </c>
      <c r="O84" s="143" t="s">
        <v>2091</v>
      </c>
      <c r="P84" s="143" t="s">
        <v>2092</v>
      </c>
      <c r="Q84" s="143" t="s">
        <v>2093</v>
      </c>
      <c r="R84" s="143" t="s">
        <v>2094</v>
      </c>
    </row>
    <row r="85" spans="2:48">
      <c r="E85" s="143" t="s">
        <v>678</v>
      </c>
      <c r="F85" s="143" t="s">
        <v>611</v>
      </c>
      <c r="G85" s="142">
        <v>6</v>
      </c>
      <c r="J85" s="143">
        <v>84</v>
      </c>
      <c r="K85" s="143" t="s">
        <v>2088</v>
      </c>
      <c r="L85" s="143" t="s">
        <v>2083</v>
      </c>
      <c r="M85" s="143" t="s">
        <v>2089</v>
      </c>
      <c r="N85" s="143" t="s">
        <v>2090</v>
      </c>
      <c r="O85" s="143" t="s">
        <v>2091</v>
      </c>
      <c r="P85" s="143" t="s">
        <v>2092</v>
      </c>
      <c r="Q85" s="143" t="s">
        <v>2093</v>
      </c>
      <c r="R85" s="143" t="s">
        <v>2094</v>
      </c>
    </row>
    <row r="86" spans="2:48">
      <c r="E86" s="143" t="s">
        <v>679</v>
      </c>
      <c r="F86" s="143" t="s">
        <v>611</v>
      </c>
      <c r="G86" s="142">
        <v>6</v>
      </c>
      <c r="J86" s="143">
        <v>85</v>
      </c>
      <c r="K86" s="143" t="s">
        <v>2088</v>
      </c>
      <c r="L86" s="143" t="s">
        <v>2084</v>
      </c>
      <c r="M86" s="143" t="s">
        <v>2089</v>
      </c>
      <c r="N86" s="143" t="s">
        <v>2090</v>
      </c>
      <c r="O86" s="143" t="s">
        <v>2091</v>
      </c>
      <c r="P86" s="143" t="s">
        <v>2092</v>
      </c>
      <c r="Q86" s="143" t="s">
        <v>2093</v>
      </c>
      <c r="R86" s="143" t="s">
        <v>2094</v>
      </c>
    </row>
    <row r="87" spans="2:48">
      <c r="E87" s="143" t="s">
        <v>680</v>
      </c>
      <c r="F87" s="143" t="s">
        <v>611</v>
      </c>
      <c r="G87" s="142">
        <v>6</v>
      </c>
      <c r="J87" s="143">
        <v>86</v>
      </c>
      <c r="K87" s="143" t="s">
        <v>2088</v>
      </c>
      <c r="L87" s="143" t="s">
        <v>2085</v>
      </c>
      <c r="M87" s="143" t="s">
        <v>2089</v>
      </c>
      <c r="N87" s="143" t="s">
        <v>2090</v>
      </c>
      <c r="O87" s="143" t="s">
        <v>2091</v>
      </c>
      <c r="P87" s="143" t="s">
        <v>2092</v>
      </c>
      <c r="Q87" s="143" t="s">
        <v>2093</v>
      </c>
      <c r="R87" s="143" t="s">
        <v>2094</v>
      </c>
    </row>
    <row r="88" spans="2:48">
      <c r="B88" s="143" t="s">
        <v>681</v>
      </c>
      <c r="C88" s="143" t="s">
        <v>584</v>
      </c>
      <c r="D88" s="143">
        <v>3</v>
      </c>
      <c r="E88" s="143" t="s">
        <v>682</v>
      </c>
      <c r="F88" s="143" t="s">
        <v>568</v>
      </c>
      <c r="G88" s="142">
        <v>36</v>
      </c>
      <c r="J88" s="143">
        <v>87</v>
      </c>
      <c r="K88" s="143" t="s">
        <v>2095</v>
      </c>
      <c r="L88" s="143" t="s">
        <v>2096</v>
      </c>
      <c r="M88" s="143" t="s">
        <v>2097</v>
      </c>
      <c r="N88" s="143" t="s">
        <v>2098</v>
      </c>
      <c r="O88" s="143" t="s">
        <v>2099</v>
      </c>
      <c r="P88" s="143" t="s">
        <v>2100</v>
      </c>
      <c r="Q88" s="143" t="s">
        <v>2101</v>
      </c>
      <c r="R88" s="143" t="s">
        <v>2102</v>
      </c>
      <c r="S88" s="143" t="s">
        <v>2103</v>
      </c>
      <c r="T88" s="143" t="s">
        <v>2104</v>
      </c>
      <c r="U88" s="143" t="s">
        <v>2105</v>
      </c>
      <c r="V88" s="143" t="s">
        <v>2106</v>
      </c>
      <c r="W88" s="143" t="s">
        <v>2107</v>
      </c>
      <c r="X88" s="143" t="s">
        <v>2108</v>
      </c>
      <c r="Y88" s="143" t="s">
        <v>2109</v>
      </c>
      <c r="Z88" s="143" t="s">
        <v>2110</v>
      </c>
      <c r="AA88" s="143" t="s">
        <v>2111</v>
      </c>
      <c r="AB88" s="143" t="s">
        <v>2112</v>
      </c>
      <c r="AC88" s="143" t="s">
        <v>2113</v>
      </c>
      <c r="AD88" s="143" t="s">
        <v>2114</v>
      </c>
      <c r="AE88" s="143" t="s">
        <v>2115</v>
      </c>
      <c r="AF88" s="143" t="s">
        <v>2116</v>
      </c>
      <c r="AG88" s="143" t="s">
        <v>2117</v>
      </c>
      <c r="AH88" s="143" t="s">
        <v>2118</v>
      </c>
      <c r="AI88" s="143" t="s">
        <v>2119</v>
      </c>
      <c r="AJ88" s="143" t="s">
        <v>2120</v>
      </c>
      <c r="AK88" s="143" t="s">
        <v>2121</v>
      </c>
      <c r="AL88" s="143" t="s">
        <v>2122</v>
      </c>
      <c r="AM88" s="143" t="s">
        <v>2123</v>
      </c>
      <c r="AN88" s="143" t="s">
        <v>2124</v>
      </c>
      <c r="AO88" s="143" t="s">
        <v>2125</v>
      </c>
      <c r="AP88" s="143" t="s">
        <v>2126</v>
      </c>
      <c r="AQ88" s="143" t="s">
        <v>2127</v>
      </c>
      <c r="AR88" s="143" t="s">
        <v>2128</v>
      </c>
      <c r="AS88" s="143" t="s">
        <v>2129</v>
      </c>
      <c r="AT88" s="143" t="s">
        <v>2130</v>
      </c>
      <c r="AU88" s="143" t="s">
        <v>2131</v>
      </c>
      <c r="AV88" s="143" t="s">
        <v>2132</v>
      </c>
    </row>
    <row r="89" spans="2:48">
      <c r="E89" s="143" t="s">
        <v>683</v>
      </c>
      <c r="F89" s="143" t="s">
        <v>568</v>
      </c>
      <c r="G89" s="142">
        <v>36</v>
      </c>
      <c r="J89" s="143">
        <v>88</v>
      </c>
      <c r="K89" s="143" t="s">
        <v>2095</v>
      </c>
      <c r="L89" s="143" t="s">
        <v>2133</v>
      </c>
      <c r="M89" s="143" t="s">
        <v>2097</v>
      </c>
      <c r="N89" s="143" t="s">
        <v>2098</v>
      </c>
      <c r="O89" s="143" t="s">
        <v>2099</v>
      </c>
      <c r="P89" s="143" t="s">
        <v>2100</v>
      </c>
      <c r="Q89" s="143" t="s">
        <v>2101</v>
      </c>
      <c r="R89" s="143" t="s">
        <v>2102</v>
      </c>
      <c r="S89" s="143" t="s">
        <v>2103</v>
      </c>
      <c r="T89" s="143" t="s">
        <v>2104</v>
      </c>
      <c r="U89" s="143" t="s">
        <v>2105</v>
      </c>
      <c r="V89" s="143" t="s">
        <v>2106</v>
      </c>
      <c r="W89" s="143" t="s">
        <v>2107</v>
      </c>
      <c r="X89" s="143" t="s">
        <v>2108</v>
      </c>
      <c r="Y89" s="143" t="s">
        <v>2109</v>
      </c>
      <c r="Z89" s="143" t="s">
        <v>2110</v>
      </c>
      <c r="AA89" s="143" t="s">
        <v>2111</v>
      </c>
      <c r="AB89" s="143" t="s">
        <v>2112</v>
      </c>
      <c r="AC89" s="143" t="s">
        <v>2113</v>
      </c>
      <c r="AD89" s="143" t="s">
        <v>2114</v>
      </c>
      <c r="AE89" s="143" t="s">
        <v>2115</v>
      </c>
      <c r="AF89" s="143" t="s">
        <v>2116</v>
      </c>
      <c r="AG89" s="143" t="s">
        <v>2117</v>
      </c>
      <c r="AH89" s="143" t="s">
        <v>2118</v>
      </c>
      <c r="AI89" s="143" t="s">
        <v>2119</v>
      </c>
      <c r="AJ89" s="143" t="s">
        <v>2120</v>
      </c>
      <c r="AK89" s="143" t="s">
        <v>2121</v>
      </c>
      <c r="AL89" s="143" t="s">
        <v>2122</v>
      </c>
      <c r="AM89" s="143" t="s">
        <v>2123</v>
      </c>
      <c r="AN89" s="143" t="s">
        <v>2124</v>
      </c>
      <c r="AO89" s="143" t="s">
        <v>2125</v>
      </c>
      <c r="AP89" s="143" t="s">
        <v>2126</v>
      </c>
      <c r="AQ89" s="143" t="s">
        <v>2127</v>
      </c>
      <c r="AR89" s="143" t="s">
        <v>2128</v>
      </c>
      <c r="AS89" s="143" t="s">
        <v>2129</v>
      </c>
      <c r="AT89" s="143" t="s">
        <v>2130</v>
      </c>
      <c r="AU89" s="143" t="s">
        <v>2131</v>
      </c>
      <c r="AV89" s="143" t="s">
        <v>2132</v>
      </c>
    </row>
    <row r="90" spans="2:48">
      <c r="E90" s="143" t="s">
        <v>684</v>
      </c>
      <c r="F90" s="143" t="s">
        <v>568</v>
      </c>
      <c r="G90" s="142">
        <v>36</v>
      </c>
      <c r="J90" s="143">
        <v>89</v>
      </c>
      <c r="K90" s="143" t="s">
        <v>2095</v>
      </c>
      <c r="L90" s="143" t="s">
        <v>2134</v>
      </c>
      <c r="M90" s="143" t="s">
        <v>2097</v>
      </c>
      <c r="N90" s="143" t="s">
        <v>2098</v>
      </c>
      <c r="O90" s="143" t="s">
        <v>2099</v>
      </c>
      <c r="P90" s="143" t="s">
        <v>2100</v>
      </c>
      <c r="Q90" s="143" t="s">
        <v>2101</v>
      </c>
      <c r="R90" s="143" t="s">
        <v>2102</v>
      </c>
      <c r="S90" s="143" t="s">
        <v>2103</v>
      </c>
      <c r="T90" s="143" t="s">
        <v>2104</v>
      </c>
      <c r="U90" s="143" t="s">
        <v>2105</v>
      </c>
      <c r="V90" s="143" t="s">
        <v>2106</v>
      </c>
      <c r="W90" s="143" t="s">
        <v>2107</v>
      </c>
      <c r="X90" s="143" t="s">
        <v>2108</v>
      </c>
      <c r="Y90" s="143" t="s">
        <v>2109</v>
      </c>
      <c r="Z90" s="143" t="s">
        <v>2110</v>
      </c>
      <c r="AA90" s="143" t="s">
        <v>2111</v>
      </c>
      <c r="AB90" s="143" t="s">
        <v>2112</v>
      </c>
      <c r="AC90" s="143" t="s">
        <v>2113</v>
      </c>
      <c r="AD90" s="143" t="s">
        <v>2114</v>
      </c>
      <c r="AE90" s="143" t="s">
        <v>2115</v>
      </c>
      <c r="AF90" s="143" t="s">
        <v>2116</v>
      </c>
      <c r="AG90" s="143" t="s">
        <v>2117</v>
      </c>
      <c r="AH90" s="143" t="s">
        <v>2118</v>
      </c>
      <c r="AI90" s="143" t="s">
        <v>2119</v>
      </c>
      <c r="AJ90" s="143" t="s">
        <v>2120</v>
      </c>
      <c r="AK90" s="143" t="s">
        <v>2121</v>
      </c>
      <c r="AL90" s="143" t="s">
        <v>2122</v>
      </c>
      <c r="AM90" s="143" t="s">
        <v>2123</v>
      </c>
      <c r="AN90" s="143" t="s">
        <v>2124</v>
      </c>
      <c r="AO90" s="143" t="s">
        <v>2125</v>
      </c>
      <c r="AP90" s="143" t="s">
        <v>2126</v>
      </c>
      <c r="AQ90" s="143" t="s">
        <v>2127</v>
      </c>
      <c r="AR90" s="143" t="s">
        <v>2128</v>
      </c>
      <c r="AS90" s="143" t="s">
        <v>2129</v>
      </c>
      <c r="AT90" s="143" t="s">
        <v>2130</v>
      </c>
      <c r="AU90" s="143" t="s">
        <v>2131</v>
      </c>
      <c r="AV90" s="143" t="s">
        <v>2132</v>
      </c>
    </row>
    <row r="91" spans="2:48">
      <c r="B91" s="143" t="s">
        <v>685</v>
      </c>
      <c r="C91" s="143" t="s">
        <v>584</v>
      </c>
      <c r="D91" s="143">
        <v>36</v>
      </c>
      <c r="E91" s="143" t="s">
        <v>686</v>
      </c>
      <c r="F91" s="143" t="s">
        <v>568</v>
      </c>
      <c r="G91" s="142">
        <v>4</v>
      </c>
      <c r="J91" s="143">
        <v>90</v>
      </c>
      <c r="K91" s="143" t="s">
        <v>2135</v>
      </c>
      <c r="L91" s="143" t="s">
        <v>2097</v>
      </c>
      <c r="M91" s="143" t="s">
        <v>2136</v>
      </c>
      <c r="N91" s="143" t="s">
        <v>2076</v>
      </c>
      <c r="O91" s="143" t="s">
        <v>2077</v>
      </c>
      <c r="P91" s="143" t="s">
        <v>2078</v>
      </c>
    </row>
    <row r="92" spans="2:48">
      <c r="E92" s="143" t="s">
        <v>688</v>
      </c>
      <c r="F92" s="143" t="s">
        <v>568</v>
      </c>
      <c r="G92" s="142">
        <v>4</v>
      </c>
      <c r="J92" s="143">
        <v>91</v>
      </c>
      <c r="K92" s="143" t="s">
        <v>2135</v>
      </c>
      <c r="L92" s="143" t="s">
        <v>2098</v>
      </c>
      <c r="M92" s="143" t="s">
        <v>2136</v>
      </c>
      <c r="N92" s="143" t="s">
        <v>2076</v>
      </c>
      <c r="O92" s="143" t="s">
        <v>2077</v>
      </c>
      <c r="P92" s="143" t="s">
        <v>2078</v>
      </c>
    </row>
    <row r="93" spans="2:48">
      <c r="E93" s="143" t="s">
        <v>689</v>
      </c>
      <c r="F93" s="143" t="s">
        <v>568</v>
      </c>
      <c r="G93" s="142">
        <v>4</v>
      </c>
      <c r="J93" s="143">
        <v>92</v>
      </c>
      <c r="K93" s="143" t="s">
        <v>2135</v>
      </c>
      <c r="L93" s="143" t="s">
        <v>2099</v>
      </c>
      <c r="M93" s="143" t="s">
        <v>2136</v>
      </c>
      <c r="N93" s="143" t="s">
        <v>2076</v>
      </c>
      <c r="O93" s="143" t="s">
        <v>2077</v>
      </c>
      <c r="P93" s="143" t="s">
        <v>2078</v>
      </c>
    </row>
    <row r="94" spans="2:48">
      <c r="E94" s="143" t="s">
        <v>690</v>
      </c>
      <c r="F94" s="143" t="s">
        <v>568</v>
      </c>
      <c r="G94" s="142">
        <v>4</v>
      </c>
      <c r="J94" s="143">
        <v>93</v>
      </c>
      <c r="K94" s="143" t="s">
        <v>2135</v>
      </c>
      <c r="L94" s="143" t="s">
        <v>2100</v>
      </c>
      <c r="M94" s="143" t="s">
        <v>2136</v>
      </c>
      <c r="N94" s="143" t="s">
        <v>2076</v>
      </c>
      <c r="O94" s="143" t="s">
        <v>2077</v>
      </c>
      <c r="P94" s="143" t="s">
        <v>2078</v>
      </c>
    </row>
    <row r="95" spans="2:48">
      <c r="E95" s="143" t="s">
        <v>691</v>
      </c>
      <c r="F95" s="143" t="s">
        <v>568</v>
      </c>
      <c r="G95" s="142">
        <v>4</v>
      </c>
      <c r="J95" s="143">
        <v>94</v>
      </c>
      <c r="K95" s="143" t="s">
        <v>2135</v>
      </c>
      <c r="L95" s="143" t="s">
        <v>2101</v>
      </c>
      <c r="M95" s="143" t="s">
        <v>2136</v>
      </c>
      <c r="N95" s="143" t="s">
        <v>2076</v>
      </c>
      <c r="O95" s="143" t="s">
        <v>2077</v>
      </c>
      <c r="P95" s="143" t="s">
        <v>2078</v>
      </c>
    </row>
    <row r="96" spans="2:48">
      <c r="E96" s="143" t="s">
        <v>692</v>
      </c>
      <c r="F96" s="143" t="s">
        <v>568</v>
      </c>
      <c r="G96" s="142">
        <v>4</v>
      </c>
      <c r="J96" s="143">
        <v>95</v>
      </c>
      <c r="K96" s="143" t="s">
        <v>2135</v>
      </c>
      <c r="L96" s="143" t="s">
        <v>2102</v>
      </c>
      <c r="M96" s="143" t="s">
        <v>2136</v>
      </c>
      <c r="N96" s="143" t="s">
        <v>2076</v>
      </c>
      <c r="O96" s="143" t="s">
        <v>2077</v>
      </c>
      <c r="P96" s="143" t="s">
        <v>2078</v>
      </c>
    </row>
    <row r="97" spans="5:16">
      <c r="E97" s="143" t="s">
        <v>693</v>
      </c>
      <c r="F97" s="143" t="s">
        <v>568</v>
      </c>
      <c r="G97" s="142">
        <v>4</v>
      </c>
      <c r="J97" s="143">
        <v>96</v>
      </c>
      <c r="K97" s="143" t="s">
        <v>2135</v>
      </c>
      <c r="L97" s="143" t="s">
        <v>2103</v>
      </c>
      <c r="M97" s="143" t="s">
        <v>2136</v>
      </c>
      <c r="N97" s="143" t="s">
        <v>2076</v>
      </c>
      <c r="O97" s="143" t="s">
        <v>2077</v>
      </c>
      <c r="P97" s="143" t="s">
        <v>2078</v>
      </c>
    </row>
    <row r="98" spans="5:16">
      <c r="E98" s="143" t="s">
        <v>694</v>
      </c>
      <c r="F98" s="143" t="s">
        <v>568</v>
      </c>
      <c r="G98" s="142">
        <v>4</v>
      </c>
      <c r="J98" s="143">
        <v>97</v>
      </c>
      <c r="K98" s="143" t="s">
        <v>2135</v>
      </c>
      <c r="L98" s="143" t="s">
        <v>2104</v>
      </c>
      <c r="M98" s="143" t="s">
        <v>2136</v>
      </c>
      <c r="N98" s="143" t="s">
        <v>2076</v>
      </c>
      <c r="O98" s="143" t="s">
        <v>2077</v>
      </c>
      <c r="P98" s="143" t="s">
        <v>2078</v>
      </c>
    </row>
    <row r="99" spans="5:16">
      <c r="E99" s="143" t="s">
        <v>695</v>
      </c>
      <c r="F99" s="143" t="s">
        <v>568</v>
      </c>
      <c r="G99" s="142">
        <v>4</v>
      </c>
      <c r="J99" s="143">
        <v>98</v>
      </c>
      <c r="K99" s="143" t="s">
        <v>2135</v>
      </c>
      <c r="L99" s="143" t="s">
        <v>2105</v>
      </c>
      <c r="M99" s="143" t="s">
        <v>2136</v>
      </c>
      <c r="N99" s="143" t="s">
        <v>2076</v>
      </c>
      <c r="O99" s="143" t="s">
        <v>2077</v>
      </c>
      <c r="P99" s="143" t="s">
        <v>2078</v>
      </c>
    </row>
    <row r="100" spans="5:16">
      <c r="E100" s="143" t="s">
        <v>1669</v>
      </c>
      <c r="F100" s="143" t="s">
        <v>568</v>
      </c>
      <c r="G100" s="142">
        <v>4</v>
      </c>
      <c r="J100" s="143">
        <v>99</v>
      </c>
      <c r="K100" s="143" t="s">
        <v>2135</v>
      </c>
      <c r="L100" s="143" t="s">
        <v>2106</v>
      </c>
      <c r="M100" s="143" t="s">
        <v>2136</v>
      </c>
      <c r="N100" s="143" t="s">
        <v>2076</v>
      </c>
      <c r="O100" s="143" t="s">
        <v>2077</v>
      </c>
      <c r="P100" s="143" t="s">
        <v>2078</v>
      </c>
    </row>
    <row r="101" spans="5:16">
      <c r="E101" s="143" t="s">
        <v>1670</v>
      </c>
      <c r="F101" s="143" t="s">
        <v>568</v>
      </c>
      <c r="G101" s="142">
        <v>4</v>
      </c>
      <c r="J101" s="143">
        <v>100</v>
      </c>
      <c r="K101" s="143" t="s">
        <v>2135</v>
      </c>
      <c r="L101" s="143" t="s">
        <v>2107</v>
      </c>
      <c r="M101" s="143" t="s">
        <v>2136</v>
      </c>
      <c r="N101" s="143" t="s">
        <v>2076</v>
      </c>
      <c r="O101" s="143" t="s">
        <v>2077</v>
      </c>
      <c r="P101" s="143" t="s">
        <v>2078</v>
      </c>
    </row>
    <row r="102" spans="5:16">
      <c r="E102" s="143" t="s">
        <v>1671</v>
      </c>
      <c r="F102" s="143" t="s">
        <v>568</v>
      </c>
      <c r="G102" s="142">
        <v>4</v>
      </c>
      <c r="J102" s="143">
        <v>101</v>
      </c>
      <c r="K102" s="143" t="s">
        <v>2135</v>
      </c>
      <c r="L102" s="143" t="s">
        <v>2108</v>
      </c>
      <c r="M102" s="143" t="s">
        <v>2136</v>
      </c>
      <c r="N102" s="143" t="s">
        <v>2076</v>
      </c>
      <c r="O102" s="143" t="s">
        <v>2077</v>
      </c>
      <c r="P102" s="143" t="s">
        <v>2078</v>
      </c>
    </row>
    <row r="103" spans="5:16">
      <c r="E103" s="143" t="s">
        <v>1672</v>
      </c>
      <c r="F103" s="143" t="s">
        <v>568</v>
      </c>
      <c r="G103" s="142">
        <v>4</v>
      </c>
      <c r="J103" s="143">
        <v>102</v>
      </c>
      <c r="K103" s="143" t="s">
        <v>2135</v>
      </c>
      <c r="L103" s="143" t="s">
        <v>2109</v>
      </c>
      <c r="M103" s="143" t="s">
        <v>2136</v>
      </c>
      <c r="N103" s="143" t="s">
        <v>2076</v>
      </c>
      <c r="O103" s="143" t="s">
        <v>2077</v>
      </c>
      <c r="P103" s="143" t="s">
        <v>2078</v>
      </c>
    </row>
    <row r="104" spans="5:16">
      <c r="E104" s="143" t="s">
        <v>1673</v>
      </c>
      <c r="F104" s="143" t="s">
        <v>568</v>
      </c>
      <c r="G104" s="142">
        <v>4</v>
      </c>
      <c r="J104" s="143">
        <v>103</v>
      </c>
      <c r="K104" s="143" t="s">
        <v>2135</v>
      </c>
      <c r="L104" s="143" t="s">
        <v>2110</v>
      </c>
      <c r="M104" s="143" t="s">
        <v>2136</v>
      </c>
      <c r="N104" s="143" t="s">
        <v>2076</v>
      </c>
      <c r="O104" s="143" t="s">
        <v>2077</v>
      </c>
      <c r="P104" s="143" t="s">
        <v>2078</v>
      </c>
    </row>
    <row r="105" spans="5:16">
      <c r="E105" s="143" t="s">
        <v>1674</v>
      </c>
      <c r="F105" s="143" t="s">
        <v>568</v>
      </c>
      <c r="G105" s="142">
        <v>4</v>
      </c>
      <c r="J105" s="143">
        <v>104</v>
      </c>
      <c r="K105" s="143" t="s">
        <v>2135</v>
      </c>
      <c r="L105" s="143" t="s">
        <v>2111</v>
      </c>
      <c r="M105" s="143" t="s">
        <v>2136</v>
      </c>
      <c r="N105" s="143" t="s">
        <v>2076</v>
      </c>
      <c r="O105" s="143" t="s">
        <v>2077</v>
      </c>
      <c r="P105" s="143" t="s">
        <v>2078</v>
      </c>
    </row>
    <row r="106" spans="5:16">
      <c r="E106" s="143" t="s">
        <v>1675</v>
      </c>
      <c r="F106" s="143" t="s">
        <v>568</v>
      </c>
      <c r="G106" s="142">
        <v>4</v>
      </c>
      <c r="J106" s="143">
        <v>105</v>
      </c>
      <c r="K106" s="143" t="s">
        <v>2135</v>
      </c>
      <c r="L106" s="143" t="s">
        <v>2112</v>
      </c>
      <c r="M106" s="143" t="s">
        <v>2136</v>
      </c>
      <c r="N106" s="143" t="s">
        <v>2076</v>
      </c>
      <c r="O106" s="143" t="s">
        <v>2077</v>
      </c>
      <c r="P106" s="143" t="s">
        <v>2078</v>
      </c>
    </row>
    <row r="107" spans="5:16">
      <c r="E107" s="143" t="s">
        <v>1676</v>
      </c>
      <c r="F107" s="143" t="s">
        <v>568</v>
      </c>
      <c r="G107" s="142">
        <v>4</v>
      </c>
      <c r="J107" s="143">
        <v>106</v>
      </c>
      <c r="K107" s="143" t="s">
        <v>2135</v>
      </c>
      <c r="L107" s="143" t="s">
        <v>2113</v>
      </c>
      <c r="M107" s="143" t="s">
        <v>2136</v>
      </c>
      <c r="N107" s="143" t="s">
        <v>2076</v>
      </c>
      <c r="O107" s="143" t="s">
        <v>2077</v>
      </c>
      <c r="P107" s="143" t="s">
        <v>2078</v>
      </c>
    </row>
    <row r="108" spans="5:16">
      <c r="E108" s="143" t="s">
        <v>1677</v>
      </c>
      <c r="F108" s="143" t="s">
        <v>568</v>
      </c>
      <c r="G108" s="142">
        <v>4</v>
      </c>
      <c r="J108" s="143">
        <v>107</v>
      </c>
      <c r="K108" s="143" t="s">
        <v>2135</v>
      </c>
      <c r="L108" s="143" t="s">
        <v>2114</v>
      </c>
      <c r="M108" s="143" t="s">
        <v>2136</v>
      </c>
      <c r="N108" s="143" t="s">
        <v>2076</v>
      </c>
      <c r="O108" s="143" t="s">
        <v>2077</v>
      </c>
      <c r="P108" s="143" t="s">
        <v>2078</v>
      </c>
    </row>
    <row r="109" spans="5:16">
      <c r="E109" s="143" t="s">
        <v>1678</v>
      </c>
      <c r="F109" s="143" t="s">
        <v>568</v>
      </c>
      <c r="G109" s="142">
        <v>4</v>
      </c>
      <c r="J109" s="143">
        <v>108</v>
      </c>
      <c r="K109" s="143" t="s">
        <v>2135</v>
      </c>
      <c r="L109" s="143" t="s">
        <v>2115</v>
      </c>
      <c r="M109" s="143" t="s">
        <v>2136</v>
      </c>
      <c r="N109" s="143" t="s">
        <v>2076</v>
      </c>
      <c r="O109" s="143" t="s">
        <v>2077</v>
      </c>
      <c r="P109" s="143" t="s">
        <v>2078</v>
      </c>
    </row>
    <row r="110" spans="5:16">
      <c r="E110" s="143" t="s">
        <v>1679</v>
      </c>
      <c r="F110" s="143" t="s">
        <v>568</v>
      </c>
      <c r="G110" s="142">
        <v>4</v>
      </c>
      <c r="J110" s="143">
        <v>109</v>
      </c>
      <c r="K110" s="143" t="s">
        <v>2135</v>
      </c>
      <c r="L110" s="143" t="s">
        <v>2116</v>
      </c>
      <c r="M110" s="143" t="s">
        <v>2136</v>
      </c>
      <c r="N110" s="143" t="s">
        <v>2076</v>
      </c>
      <c r="O110" s="143" t="s">
        <v>2077</v>
      </c>
      <c r="P110" s="143" t="s">
        <v>2078</v>
      </c>
    </row>
    <row r="111" spans="5:16">
      <c r="E111" s="143" t="s">
        <v>1680</v>
      </c>
      <c r="F111" s="143" t="s">
        <v>568</v>
      </c>
      <c r="G111" s="142">
        <v>4</v>
      </c>
      <c r="J111" s="143">
        <v>110</v>
      </c>
      <c r="K111" s="143" t="s">
        <v>2135</v>
      </c>
      <c r="L111" s="143" t="s">
        <v>2117</v>
      </c>
      <c r="M111" s="143" t="s">
        <v>2136</v>
      </c>
      <c r="N111" s="143" t="s">
        <v>2076</v>
      </c>
      <c r="O111" s="143" t="s">
        <v>2077</v>
      </c>
      <c r="P111" s="143" t="s">
        <v>2078</v>
      </c>
    </row>
    <row r="112" spans="5:16">
      <c r="E112" s="143" t="s">
        <v>1681</v>
      </c>
      <c r="F112" s="143" t="s">
        <v>568</v>
      </c>
      <c r="G112" s="142">
        <v>4</v>
      </c>
      <c r="J112" s="143">
        <v>111</v>
      </c>
      <c r="K112" s="143" t="s">
        <v>2135</v>
      </c>
      <c r="L112" s="143" t="s">
        <v>2118</v>
      </c>
      <c r="M112" s="143" t="s">
        <v>2136</v>
      </c>
      <c r="N112" s="143" t="s">
        <v>2076</v>
      </c>
      <c r="O112" s="143" t="s">
        <v>2077</v>
      </c>
      <c r="P112" s="143" t="s">
        <v>2078</v>
      </c>
    </row>
    <row r="113" spans="1:30">
      <c r="E113" s="143" t="s">
        <v>1682</v>
      </c>
      <c r="F113" s="143" t="s">
        <v>568</v>
      </c>
      <c r="G113" s="142">
        <v>4</v>
      </c>
      <c r="J113" s="143">
        <v>112</v>
      </c>
      <c r="K113" s="143" t="s">
        <v>2135</v>
      </c>
      <c r="L113" s="143" t="s">
        <v>2119</v>
      </c>
      <c r="M113" s="143" t="s">
        <v>2136</v>
      </c>
      <c r="N113" s="143" t="s">
        <v>2076</v>
      </c>
      <c r="O113" s="143" t="s">
        <v>2077</v>
      </c>
      <c r="P113" s="143" t="s">
        <v>2078</v>
      </c>
    </row>
    <row r="114" spans="1:30">
      <c r="E114" s="143" t="s">
        <v>1683</v>
      </c>
      <c r="F114" s="143" t="s">
        <v>568</v>
      </c>
      <c r="G114" s="142">
        <v>4</v>
      </c>
      <c r="J114" s="143">
        <v>113</v>
      </c>
      <c r="K114" s="143" t="s">
        <v>2135</v>
      </c>
      <c r="L114" s="143" t="s">
        <v>2120</v>
      </c>
      <c r="M114" s="143" t="s">
        <v>2136</v>
      </c>
      <c r="N114" s="143" t="s">
        <v>2076</v>
      </c>
      <c r="O114" s="143" t="s">
        <v>2077</v>
      </c>
      <c r="P114" s="143" t="s">
        <v>2078</v>
      </c>
    </row>
    <row r="115" spans="1:30">
      <c r="E115" s="143" t="s">
        <v>1684</v>
      </c>
      <c r="F115" s="143" t="s">
        <v>568</v>
      </c>
      <c r="G115" s="142">
        <v>4</v>
      </c>
      <c r="J115" s="143">
        <v>114</v>
      </c>
      <c r="K115" s="143" t="s">
        <v>2135</v>
      </c>
      <c r="L115" s="143" t="s">
        <v>2121</v>
      </c>
      <c r="M115" s="143" t="s">
        <v>2136</v>
      </c>
      <c r="N115" s="143" t="s">
        <v>2076</v>
      </c>
      <c r="O115" s="143" t="s">
        <v>2077</v>
      </c>
      <c r="P115" s="143" t="s">
        <v>2078</v>
      </c>
    </row>
    <row r="116" spans="1:30">
      <c r="A116" s="144"/>
      <c r="B116" s="144"/>
      <c r="C116" s="144"/>
      <c r="D116" s="144"/>
      <c r="E116" s="144" t="s">
        <v>1685</v>
      </c>
      <c r="F116" s="144" t="s">
        <v>568</v>
      </c>
      <c r="G116" s="144">
        <v>4</v>
      </c>
      <c r="H116" s="144"/>
      <c r="I116" s="144"/>
      <c r="J116" s="144">
        <v>115</v>
      </c>
      <c r="K116" s="144" t="s">
        <v>2135</v>
      </c>
      <c r="L116" s="144" t="s">
        <v>2122</v>
      </c>
      <c r="M116" s="144" t="s">
        <v>2136</v>
      </c>
      <c r="N116" s="144" t="s">
        <v>2076</v>
      </c>
      <c r="O116" s="144" t="s">
        <v>2077</v>
      </c>
      <c r="P116" s="144" t="s">
        <v>2078</v>
      </c>
      <c r="Q116" s="144"/>
      <c r="R116" s="144"/>
      <c r="S116" s="144"/>
      <c r="T116" s="144"/>
      <c r="U116" s="144"/>
      <c r="V116" s="144"/>
      <c r="W116" s="144"/>
      <c r="X116" s="144"/>
      <c r="Y116" s="144"/>
      <c r="Z116" s="144"/>
      <c r="AA116" s="144"/>
      <c r="AB116" s="144"/>
      <c r="AC116" s="144"/>
      <c r="AD116" s="144"/>
    </row>
    <row r="117" spans="1:30">
      <c r="E117" s="143" t="s">
        <v>1686</v>
      </c>
      <c r="F117" s="143" t="s">
        <v>568</v>
      </c>
      <c r="G117" s="142">
        <v>4</v>
      </c>
      <c r="J117" s="143">
        <v>116</v>
      </c>
      <c r="K117" s="143" t="s">
        <v>2135</v>
      </c>
      <c r="L117" s="143" t="s">
        <v>2123</v>
      </c>
      <c r="M117" s="143" t="s">
        <v>2136</v>
      </c>
      <c r="N117" s="143" t="s">
        <v>2076</v>
      </c>
      <c r="O117" s="143" t="s">
        <v>2077</v>
      </c>
      <c r="P117" s="143" t="s">
        <v>2078</v>
      </c>
    </row>
    <row r="118" spans="1:30">
      <c r="E118" s="143" t="s">
        <v>1687</v>
      </c>
      <c r="F118" s="143" t="s">
        <v>568</v>
      </c>
      <c r="G118" s="142">
        <v>4</v>
      </c>
      <c r="J118" s="143">
        <v>117</v>
      </c>
      <c r="K118" s="143" t="s">
        <v>2135</v>
      </c>
      <c r="L118" s="143" t="s">
        <v>2124</v>
      </c>
      <c r="M118" s="143" t="s">
        <v>2136</v>
      </c>
      <c r="N118" s="143" t="s">
        <v>2076</v>
      </c>
      <c r="O118" s="143" t="s">
        <v>2077</v>
      </c>
      <c r="P118" s="143" t="s">
        <v>2078</v>
      </c>
    </row>
    <row r="119" spans="1:30">
      <c r="E119" s="143" t="s">
        <v>1688</v>
      </c>
      <c r="F119" s="143" t="s">
        <v>568</v>
      </c>
      <c r="G119" s="142">
        <v>4</v>
      </c>
      <c r="J119" s="143">
        <v>118</v>
      </c>
      <c r="K119" s="143" t="s">
        <v>2135</v>
      </c>
      <c r="L119" s="143" t="s">
        <v>2125</v>
      </c>
      <c r="M119" s="143" t="s">
        <v>2136</v>
      </c>
      <c r="N119" s="143" t="s">
        <v>2076</v>
      </c>
      <c r="O119" s="143" t="s">
        <v>2077</v>
      </c>
      <c r="P119" s="143" t="s">
        <v>2078</v>
      </c>
    </row>
    <row r="120" spans="1:30">
      <c r="E120" s="143" t="s">
        <v>1689</v>
      </c>
      <c r="F120" s="143" t="s">
        <v>568</v>
      </c>
      <c r="G120" s="142">
        <v>4</v>
      </c>
      <c r="J120" s="143">
        <v>119</v>
      </c>
      <c r="K120" s="143" t="s">
        <v>2135</v>
      </c>
      <c r="L120" s="143" t="s">
        <v>2126</v>
      </c>
      <c r="M120" s="143" t="s">
        <v>2136</v>
      </c>
      <c r="N120" s="143" t="s">
        <v>2076</v>
      </c>
      <c r="O120" s="143" t="s">
        <v>2077</v>
      </c>
      <c r="P120" s="143" t="s">
        <v>2078</v>
      </c>
    </row>
    <row r="121" spans="1:30">
      <c r="E121" s="143" t="s">
        <v>1690</v>
      </c>
      <c r="F121" s="143" t="s">
        <v>568</v>
      </c>
      <c r="G121" s="142">
        <v>4</v>
      </c>
      <c r="J121" s="143">
        <v>120</v>
      </c>
      <c r="K121" s="143" t="s">
        <v>2135</v>
      </c>
      <c r="L121" s="143" t="s">
        <v>2127</v>
      </c>
      <c r="M121" s="143" t="s">
        <v>2136</v>
      </c>
      <c r="N121" s="143" t="s">
        <v>2076</v>
      </c>
      <c r="O121" s="143" t="s">
        <v>2077</v>
      </c>
      <c r="P121" s="143" t="s">
        <v>2078</v>
      </c>
    </row>
    <row r="122" spans="1:30">
      <c r="E122" s="143" t="s">
        <v>1691</v>
      </c>
      <c r="F122" s="143" t="s">
        <v>568</v>
      </c>
      <c r="G122" s="142">
        <v>4</v>
      </c>
      <c r="J122" s="143">
        <v>121</v>
      </c>
      <c r="K122" s="143" t="s">
        <v>2135</v>
      </c>
      <c r="L122" s="143" t="s">
        <v>2128</v>
      </c>
      <c r="M122" s="143" t="s">
        <v>2136</v>
      </c>
      <c r="N122" s="143" t="s">
        <v>2076</v>
      </c>
      <c r="O122" s="143" t="s">
        <v>2077</v>
      </c>
      <c r="P122" s="143" t="s">
        <v>2078</v>
      </c>
    </row>
    <row r="123" spans="1:30">
      <c r="E123" s="143" t="s">
        <v>1692</v>
      </c>
      <c r="F123" s="143" t="s">
        <v>568</v>
      </c>
      <c r="G123" s="142">
        <v>4</v>
      </c>
      <c r="J123" s="143">
        <v>122</v>
      </c>
      <c r="K123" s="143" t="s">
        <v>2135</v>
      </c>
      <c r="L123" s="143" t="s">
        <v>2129</v>
      </c>
      <c r="M123" s="143" t="s">
        <v>2136</v>
      </c>
      <c r="N123" s="143" t="s">
        <v>2076</v>
      </c>
      <c r="O123" s="143" t="s">
        <v>2077</v>
      </c>
      <c r="P123" s="143" t="s">
        <v>2078</v>
      </c>
    </row>
    <row r="124" spans="1:30">
      <c r="E124" s="143" t="s">
        <v>1693</v>
      </c>
      <c r="F124" s="143" t="s">
        <v>568</v>
      </c>
      <c r="G124" s="142">
        <v>4</v>
      </c>
      <c r="J124" s="143">
        <v>123</v>
      </c>
      <c r="K124" s="143" t="s">
        <v>2135</v>
      </c>
      <c r="L124" s="143" t="s">
        <v>2130</v>
      </c>
      <c r="M124" s="143" t="s">
        <v>2136</v>
      </c>
      <c r="N124" s="143" t="s">
        <v>2076</v>
      </c>
      <c r="O124" s="143" t="s">
        <v>2077</v>
      </c>
      <c r="P124" s="143" t="s">
        <v>2078</v>
      </c>
    </row>
    <row r="125" spans="1:30">
      <c r="E125" s="143" t="s">
        <v>1694</v>
      </c>
      <c r="F125" s="143" t="s">
        <v>568</v>
      </c>
      <c r="G125" s="142">
        <v>4</v>
      </c>
      <c r="J125" s="143">
        <v>124</v>
      </c>
      <c r="K125" s="143" t="s">
        <v>2135</v>
      </c>
      <c r="L125" s="143" t="s">
        <v>2131</v>
      </c>
      <c r="M125" s="143" t="s">
        <v>2136</v>
      </c>
      <c r="N125" s="143" t="s">
        <v>2076</v>
      </c>
      <c r="O125" s="143" t="s">
        <v>2077</v>
      </c>
      <c r="P125" s="143" t="s">
        <v>2078</v>
      </c>
    </row>
    <row r="126" spans="1:30">
      <c r="E126" s="143" t="s">
        <v>1695</v>
      </c>
      <c r="F126" s="143" t="s">
        <v>568</v>
      </c>
      <c r="G126" s="142">
        <v>4</v>
      </c>
      <c r="J126" s="143">
        <v>125</v>
      </c>
      <c r="K126" s="143" t="s">
        <v>2135</v>
      </c>
      <c r="L126" s="143" t="s">
        <v>2132</v>
      </c>
      <c r="M126" s="143" t="s">
        <v>2136</v>
      </c>
      <c r="N126" s="143" t="s">
        <v>2076</v>
      </c>
      <c r="O126" s="143" t="s">
        <v>2077</v>
      </c>
      <c r="P126" s="143" t="s">
        <v>2078</v>
      </c>
    </row>
    <row r="127" spans="1:30">
      <c r="B127" s="143" t="s">
        <v>697</v>
      </c>
      <c r="C127" s="143" t="s">
        <v>574</v>
      </c>
      <c r="E127" s="143" t="s">
        <v>697</v>
      </c>
      <c r="F127" s="143" t="s">
        <v>568</v>
      </c>
      <c r="G127" s="142">
        <v>3</v>
      </c>
      <c r="J127" s="143">
        <v>126</v>
      </c>
      <c r="L127" s="143" t="s">
        <v>2137</v>
      </c>
      <c r="M127" s="143" t="s">
        <v>2138</v>
      </c>
      <c r="N127" s="143" t="s">
        <v>2139</v>
      </c>
      <c r="O127" s="143" t="s">
        <v>2140</v>
      </c>
    </row>
    <row r="128" spans="1:30">
      <c r="B128" s="143" t="s">
        <v>698</v>
      </c>
      <c r="C128" s="143" t="s">
        <v>574</v>
      </c>
      <c r="E128" s="143" t="s">
        <v>698</v>
      </c>
      <c r="F128" s="143" t="s">
        <v>568</v>
      </c>
      <c r="G128" s="142">
        <v>9</v>
      </c>
      <c r="J128" s="143">
        <v>127</v>
      </c>
      <c r="L128" s="143" t="s">
        <v>2141</v>
      </c>
      <c r="M128" s="143" t="s">
        <v>1701</v>
      </c>
      <c r="N128" s="143" t="s">
        <v>1702</v>
      </c>
      <c r="O128" s="143">
        <v>618</v>
      </c>
      <c r="P128" s="143" t="s">
        <v>2142</v>
      </c>
      <c r="Q128" s="143" t="s">
        <v>2143</v>
      </c>
      <c r="R128" s="143" t="s">
        <v>2144</v>
      </c>
      <c r="S128" s="143" t="s">
        <v>2145</v>
      </c>
      <c r="T128" s="143" t="s">
        <v>2146</v>
      </c>
      <c r="U128" s="143" t="s">
        <v>612</v>
      </c>
    </row>
    <row r="129" spans="2:29">
      <c r="E129" s="143" t="s">
        <v>1708</v>
      </c>
      <c r="F129" s="143" t="s">
        <v>571</v>
      </c>
      <c r="J129" s="143">
        <v>128</v>
      </c>
      <c r="L129" s="143" t="s">
        <v>2147</v>
      </c>
    </row>
    <row r="130" spans="2:29">
      <c r="B130" s="143" t="s">
        <v>699</v>
      </c>
      <c r="C130" s="143" t="s">
        <v>574</v>
      </c>
      <c r="E130" s="143" t="s">
        <v>699</v>
      </c>
      <c r="F130" s="143" t="s">
        <v>568</v>
      </c>
      <c r="G130" s="142">
        <v>9</v>
      </c>
      <c r="J130" s="143">
        <v>129</v>
      </c>
      <c r="L130" s="143" t="s">
        <v>2148</v>
      </c>
      <c r="M130" s="143" t="s">
        <v>1701</v>
      </c>
      <c r="N130" s="143" t="s">
        <v>1702</v>
      </c>
      <c r="O130" s="143">
        <v>618</v>
      </c>
      <c r="P130" s="143" t="s">
        <v>2142</v>
      </c>
      <c r="Q130" s="143" t="s">
        <v>2143</v>
      </c>
      <c r="R130" s="143" t="s">
        <v>2144</v>
      </c>
      <c r="S130" s="143" t="s">
        <v>2145</v>
      </c>
      <c r="T130" s="143" t="s">
        <v>2146</v>
      </c>
      <c r="U130" s="143" t="s">
        <v>612</v>
      </c>
    </row>
    <row r="131" spans="2:29">
      <c r="E131" s="143" t="s">
        <v>1711</v>
      </c>
      <c r="F131" s="143" t="s">
        <v>571</v>
      </c>
      <c r="J131" s="143">
        <v>130</v>
      </c>
      <c r="L131" s="143" t="s">
        <v>2149</v>
      </c>
    </row>
    <row r="132" spans="2:29">
      <c r="B132" s="143" t="s">
        <v>700</v>
      </c>
      <c r="C132" s="143" t="s">
        <v>1713</v>
      </c>
      <c r="E132" s="143" t="s">
        <v>1714</v>
      </c>
      <c r="F132" s="143" t="s">
        <v>571</v>
      </c>
      <c r="J132" s="143">
        <v>131</v>
      </c>
      <c r="L132" s="143" t="s">
        <v>2150</v>
      </c>
    </row>
    <row r="133" spans="2:29">
      <c r="B133" s="143" t="s">
        <v>704</v>
      </c>
      <c r="C133" s="143" t="s">
        <v>1713</v>
      </c>
      <c r="E133" s="143" t="s">
        <v>1716</v>
      </c>
      <c r="F133" s="143" t="s">
        <v>571</v>
      </c>
      <c r="J133" s="143">
        <v>132</v>
      </c>
      <c r="L133" s="143" t="s">
        <v>2151</v>
      </c>
    </row>
    <row r="134" spans="2:29">
      <c r="B134" s="143" t="s">
        <v>705</v>
      </c>
      <c r="C134" s="143" t="s">
        <v>574</v>
      </c>
      <c r="E134" s="143" t="s">
        <v>705</v>
      </c>
      <c r="F134" s="143" t="s">
        <v>568</v>
      </c>
      <c r="G134" s="142">
        <v>6</v>
      </c>
      <c r="J134" s="143">
        <v>133</v>
      </c>
      <c r="L134" s="143" t="s">
        <v>2152</v>
      </c>
      <c r="M134" s="143" t="s">
        <v>2153</v>
      </c>
      <c r="N134" s="143" t="s">
        <v>2154</v>
      </c>
      <c r="O134" s="143" t="s">
        <v>2155</v>
      </c>
      <c r="P134" s="143" t="s">
        <v>2156</v>
      </c>
      <c r="Q134" s="143" t="s">
        <v>2157</v>
      </c>
      <c r="R134" s="143" t="s">
        <v>2158</v>
      </c>
    </row>
    <row r="135" spans="2:29">
      <c r="B135" s="143" t="s">
        <v>706</v>
      </c>
      <c r="C135" s="143" t="s">
        <v>1713</v>
      </c>
      <c r="E135" s="143" t="s">
        <v>1725</v>
      </c>
      <c r="F135" s="143" t="s">
        <v>571</v>
      </c>
      <c r="J135" s="143">
        <v>134</v>
      </c>
      <c r="L135" s="143" t="s">
        <v>2159</v>
      </c>
    </row>
    <row r="136" spans="2:29">
      <c r="B136" s="143" t="s">
        <v>1727</v>
      </c>
      <c r="C136" s="143" t="s">
        <v>610</v>
      </c>
      <c r="E136" s="143" t="s">
        <v>1727</v>
      </c>
      <c r="F136" s="143" t="s">
        <v>611</v>
      </c>
      <c r="G136" s="142">
        <v>17</v>
      </c>
      <c r="J136" s="143">
        <v>135</v>
      </c>
      <c r="L136" s="143" t="s">
        <v>2160</v>
      </c>
      <c r="M136" s="143" t="s">
        <v>2161</v>
      </c>
      <c r="N136" s="143" t="s">
        <v>2162</v>
      </c>
      <c r="O136" s="143" t="s">
        <v>2163</v>
      </c>
      <c r="P136" s="143" t="s">
        <v>2164</v>
      </c>
      <c r="Q136" s="143" t="s">
        <v>2165</v>
      </c>
      <c r="R136" s="143" t="s">
        <v>2037</v>
      </c>
      <c r="S136" s="143" t="s">
        <v>2166</v>
      </c>
      <c r="T136" s="143" t="s">
        <v>2167</v>
      </c>
      <c r="U136" s="143" t="s">
        <v>2168</v>
      </c>
      <c r="V136" s="143" t="s">
        <v>2169</v>
      </c>
      <c r="W136" s="143" t="s">
        <v>2170</v>
      </c>
      <c r="X136" s="143" t="s">
        <v>2171</v>
      </c>
      <c r="Y136" s="143" t="s">
        <v>2172</v>
      </c>
      <c r="Z136" s="143" t="s">
        <v>2173</v>
      </c>
      <c r="AA136" s="143" t="s">
        <v>2036</v>
      </c>
      <c r="AB136" s="143" t="s">
        <v>2174</v>
      </c>
      <c r="AC136" s="143" t="s">
        <v>612</v>
      </c>
    </row>
    <row r="137" spans="2:29">
      <c r="E137" s="143" t="s">
        <v>1745</v>
      </c>
      <c r="F137" s="143" t="s">
        <v>571</v>
      </c>
      <c r="J137" s="143">
        <v>136</v>
      </c>
      <c r="L137" s="143" t="s">
        <v>2175</v>
      </c>
    </row>
    <row r="138" spans="2:29">
      <c r="B138" s="143" t="s">
        <v>1747</v>
      </c>
      <c r="C138" s="143" t="s">
        <v>610</v>
      </c>
      <c r="E138" s="143" t="s">
        <v>1747</v>
      </c>
      <c r="F138" s="143" t="s">
        <v>611</v>
      </c>
      <c r="G138" s="142">
        <v>17</v>
      </c>
      <c r="J138" s="143">
        <v>137</v>
      </c>
      <c r="L138" s="143" t="s">
        <v>2176</v>
      </c>
      <c r="M138" s="143" t="s">
        <v>2177</v>
      </c>
      <c r="N138" s="143" t="s">
        <v>2178</v>
      </c>
      <c r="O138" s="143" t="s">
        <v>2179</v>
      </c>
      <c r="P138" s="143" t="s">
        <v>2180</v>
      </c>
      <c r="Q138" s="143" t="s">
        <v>2181</v>
      </c>
      <c r="R138" s="143" t="s">
        <v>2182</v>
      </c>
      <c r="S138" s="143" t="s">
        <v>2183</v>
      </c>
      <c r="T138" s="143" t="s">
        <v>2184</v>
      </c>
      <c r="U138" s="143" t="s">
        <v>2185</v>
      </c>
      <c r="V138" s="143" t="s">
        <v>2186</v>
      </c>
      <c r="W138" s="143" t="s">
        <v>2187</v>
      </c>
      <c r="X138" s="143" t="s">
        <v>2188</v>
      </c>
      <c r="Y138" s="143" t="s">
        <v>2189</v>
      </c>
      <c r="Z138" s="143" t="s">
        <v>2190</v>
      </c>
      <c r="AA138" s="143" t="s">
        <v>2191</v>
      </c>
      <c r="AB138" s="143" t="s">
        <v>2192</v>
      </c>
      <c r="AC138" s="143" t="s">
        <v>615</v>
      </c>
    </row>
    <row r="139" spans="2:29">
      <c r="B139" s="143" t="s">
        <v>1765</v>
      </c>
      <c r="C139" s="143" t="s">
        <v>574</v>
      </c>
      <c r="E139" s="143" t="s">
        <v>1765</v>
      </c>
      <c r="F139" s="143" t="s">
        <v>568</v>
      </c>
      <c r="G139" s="142">
        <v>16</v>
      </c>
      <c r="J139" s="143">
        <v>138</v>
      </c>
      <c r="L139" s="143" t="s">
        <v>2193</v>
      </c>
      <c r="M139" s="143" t="s">
        <v>707</v>
      </c>
      <c r="N139" s="143" t="s">
        <v>708</v>
      </c>
      <c r="O139" s="143" t="s">
        <v>709</v>
      </c>
      <c r="P139" s="143" t="s">
        <v>710</v>
      </c>
      <c r="Q139" s="143" t="s">
        <v>711</v>
      </c>
      <c r="R139" s="143" t="s">
        <v>712</v>
      </c>
      <c r="S139" s="143" t="s">
        <v>713</v>
      </c>
      <c r="T139" s="143" t="s">
        <v>714</v>
      </c>
      <c r="U139" s="143" t="s">
        <v>2194</v>
      </c>
      <c r="V139" s="143" t="s">
        <v>715</v>
      </c>
      <c r="W139" s="143" t="s">
        <v>716</v>
      </c>
      <c r="X139" s="143" t="s">
        <v>717</v>
      </c>
      <c r="Y139" s="143" t="s">
        <v>718</v>
      </c>
      <c r="Z139" s="143" t="s">
        <v>719</v>
      </c>
      <c r="AA139" s="143" t="s">
        <v>720</v>
      </c>
      <c r="AB139" s="143" t="s">
        <v>2195</v>
      </c>
    </row>
    <row r="140" spans="2:29">
      <c r="E140" s="143" t="s">
        <v>1767</v>
      </c>
      <c r="F140" s="143" t="s">
        <v>571</v>
      </c>
      <c r="J140" s="143">
        <v>139</v>
      </c>
      <c r="L140" s="143" t="s">
        <v>2196</v>
      </c>
    </row>
    <row r="141" spans="2:29">
      <c r="B141" s="143" t="s">
        <v>1769</v>
      </c>
      <c r="C141" s="143" t="s">
        <v>574</v>
      </c>
      <c r="E141" s="143" t="s">
        <v>1769</v>
      </c>
      <c r="F141" s="143" t="s">
        <v>568</v>
      </c>
      <c r="G141" s="142">
        <v>5</v>
      </c>
      <c r="J141" s="143">
        <v>140</v>
      </c>
      <c r="L141" s="143" t="s">
        <v>2197</v>
      </c>
      <c r="M141" s="143" t="s">
        <v>2198</v>
      </c>
      <c r="N141" s="143" t="s">
        <v>2199</v>
      </c>
      <c r="O141" s="143" t="s">
        <v>2200</v>
      </c>
      <c r="P141" s="143" t="s">
        <v>2201</v>
      </c>
      <c r="Q141" s="143" t="s">
        <v>2195</v>
      </c>
    </row>
    <row r="142" spans="2:29">
      <c r="E142" s="143" t="s">
        <v>1775</v>
      </c>
      <c r="F142" s="143" t="s">
        <v>571</v>
      </c>
      <c r="J142" s="143">
        <v>141</v>
      </c>
      <c r="L142" s="143" t="s">
        <v>2202</v>
      </c>
    </row>
    <row r="143" spans="2:29">
      <c r="B143" s="143" t="s">
        <v>1777</v>
      </c>
      <c r="C143" s="143" t="s">
        <v>574</v>
      </c>
      <c r="E143" s="143" t="s">
        <v>1777</v>
      </c>
      <c r="F143" s="143" t="s">
        <v>568</v>
      </c>
      <c r="G143" s="142">
        <v>14</v>
      </c>
      <c r="J143" s="143">
        <v>142</v>
      </c>
      <c r="L143" s="143" t="s">
        <v>2203</v>
      </c>
      <c r="M143" s="143" t="s">
        <v>2204</v>
      </c>
      <c r="N143" s="143" t="s">
        <v>2205</v>
      </c>
      <c r="O143" s="143" t="s">
        <v>2206</v>
      </c>
      <c r="P143" s="143" t="s">
        <v>2207</v>
      </c>
      <c r="Q143" s="143" t="s">
        <v>2208</v>
      </c>
      <c r="R143" s="143" t="s">
        <v>2209</v>
      </c>
      <c r="S143" s="143" t="s">
        <v>2210</v>
      </c>
      <c r="T143" s="143" t="s">
        <v>2211</v>
      </c>
      <c r="U143" s="143" t="s">
        <v>2212</v>
      </c>
      <c r="V143" s="143" t="s">
        <v>2213</v>
      </c>
      <c r="W143" s="143" t="s">
        <v>2214</v>
      </c>
      <c r="X143" s="143" t="s">
        <v>2215</v>
      </c>
      <c r="Y143" s="143" t="s">
        <v>2216</v>
      </c>
      <c r="Z143" s="143" t="s">
        <v>2217</v>
      </c>
    </row>
    <row r="144" spans="2:29">
      <c r="B144" s="143" t="s">
        <v>1793</v>
      </c>
      <c r="C144" s="143" t="s">
        <v>574</v>
      </c>
      <c r="E144" s="143" t="s">
        <v>1793</v>
      </c>
      <c r="F144" s="143" t="s">
        <v>568</v>
      </c>
      <c r="G144" s="142">
        <v>9</v>
      </c>
      <c r="J144" s="143">
        <v>143</v>
      </c>
      <c r="L144" s="143" t="s">
        <v>2218</v>
      </c>
      <c r="M144" s="143" t="s">
        <v>2219</v>
      </c>
      <c r="N144" s="143" t="s">
        <v>2220</v>
      </c>
      <c r="O144" s="143" t="s">
        <v>2221</v>
      </c>
      <c r="P144" s="143" t="s">
        <v>2222</v>
      </c>
      <c r="Q144" s="143" t="s">
        <v>2223</v>
      </c>
      <c r="R144" s="143" t="s">
        <v>2224</v>
      </c>
      <c r="S144" s="143" t="s">
        <v>1801</v>
      </c>
      <c r="T144" s="143" t="s">
        <v>1802</v>
      </c>
      <c r="U144" s="143" t="s">
        <v>1955</v>
      </c>
    </row>
    <row r="145" spans="5:12">
      <c r="E145" s="143" t="s">
        <v>1803</v>
      </c>
      <c r="F145" s="143" t="s">
        <v>571</v>
      </c>
      <c r="J145" s="143">
        <v>144</v>
      </c>
      <c r="L145" s="143" t="s">
        <v>2225</v>
      </c>
    </row>
  </sheetData>
  <phoneticPr fontId="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C000"/>
  </sheetPr>
  <dimension ref="A1:N8"/>
  <sheetViews>
    <sheetView showGridLines="0" workbookViewId="0">
      <selection activeCell="S2" sqref="S1:S2"/>
    </sheetView>
  </sheetViews>
  <sheetFormatPr defaultRowHeight="13.8"/>
  <sheetData>
    <row r="1" spans="1:14" s="593" customFormat="1" ht="50.25" customHeight="1">
      <c r="A1" s="593">
        <v>1</v>
      </c>
      <c r="B1" s="593" t="s">
        <v>2241</v>
      </c>
    </row>
    <row r="2" spans="1:14" s="593" customFormat="1" ht="50.25" customHeight="1">
      <c r="A2" s="593">
        <v>2</v>
      </c>
      <c r="B2" s="593" t="s">
        <v>2243</v>
      </c>
    </row>
    <row r="3" spans="1:14" s="593" customFormat="1" ht="50.25" customHeight="1">
      <c r="A3" s="593">
        <v>3</v>
      </c>
      <c r="B3" s="593" t="s">
        <v>2245</v>
      </c>
    </row>
    <row r="4" spans="1:14" s="593" customFormat="1" ht="50.25" customHeight="1">
      <c r="A4" s="593">
        <v>4</v>
      </c>
      <c r="B4" s="593" t="s">
        <v>2247</v>
      </c>
      <c r="H4" s="604" t="s">
        <v>2241</v>
      </c>
      <c r="I4" s="604" t="s">
        <v>2242</v>
      </c>
      <c r="J4" s="604" t="s">
        <v>2244</v>
      </c>
      <c r="K4" s="604" t="s">
        <v>2246</v>
      </c>
      <c r="L4" s="604" t="s">
        <v>2248</v>
      </c>
      <c r="M4" s="604" t="s">
        <v>2250</v>
      </c>
      <c r="N4" s="604" t="s">
        <v>2252</v>
      </c>
    </row>
    <row r="5" spans="1:14" s="593" customFormat="1" ht="50.25" customHeight="1">
      <c r="A5" s="593">
        <v>5</v>
      </c>
      <c r="B5" s="593" t="s">
        <v>2249</v>
      </c>
    </row>
    <row r="6" spans="1:14" s="593" customFormat="1" ht="50.25" customHeight="1">
      <c r="A6" s="593">
        <v>6</v>
      </c>
      <c r="B6" s="593" t="s">
        <v>2251</v>
      </c>
    </row>
    <row r="7" spans="1:14" s="593" customFormat="1" ht="50.25" customHeight="1">
      <c r="A7" s="593">
        <v>7</v>
      </c>
      <c r="B7" s="593" t="s">
        <v>2253</v>
      </c>
    </row>
    <row r="8" spans="1:14" s="593" customFormat="1" ht="50.25" customHeight="1">
      <c r="A8" s="593">
        <v>8</v>
      </c>
      <c r="B8" s="593" t="s">
        <v>2254</v>
      </c>
    </row>
  </sheetData>
  <phoneticPr fontId="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499984740745262"/>
  </sheetPr>
  <dimension ref="A1:AE128"/>
  <sheetViews>
    <sheetView showGridLines="0" topLeftCell="A102" zoomScaleNormal="100" workbookViewId="0">
      <selection activeCell="C93" sqref="C93"/>
    </sheetView>
  </sheetViews>
  <sheetFormatPr defaultColWidth="9.109375" defaultRowHeight="13.8"/>
  <cols>
    <col min="1" max="16384" width="9.109375" style="143"/>
  </cols>
  <sheetData>
    <row r="1" spans="1:18">
      <c r="A1" s="143" t="s">
        <v>1140</v>
      </c>
    </row>
    <row r="10" spans="1:18">
      <c r="F10" s="374"/>
      <c r="G10" s="194">
        <v>1</v>
      </c>
      <c r="H10" s="194">
        <v>2</v>
      </c>
      <c r="I10" s="194">
        <v>3</v>
      </c>
      <c r="J10" s="194">
        <v>4</v>
      </c>
      <c r="K10" s="194">
        <v>5</v>
      </c>
      <c r="L10" s="194">
        <v>6</v>
      </c>
      <c r="M10" s="194">
        <v>7</v>
      </c>
      <c r="N10" s="194">
        <v>8</v>
      </c>
      <c r="O10" s="194">
        <v>9</v>
      </c>
      <c r="P10" s="194"/>
      <c r="Q10" s="194">
        <v>10</v>
      </c>
      <c r="R10" s="194">
        <v>11</v>
      </c>
    </row>
    <row r="11" spans="1:18" ht="208.2">
      <c r="F11" s="375"/>
      <c r="G11" s="376" t="s">
        <v>738</v>
      </c>
      <c r="H11" s="376" t="s">
        <v>739</v>
      </c>
      <c r="I11" s="376" t="s">
        <v>740</v>
      </c>
      <c r="J11" s="376" t="s">
        <v>741</v>
      </c>
      <c r="K11" s="376" t="s">
        <v>742</v>
      </c>
      <c r="L11" s="376" t="s">
        <v>743</v>
      </c>
      <c r="M11" s="376" t="s">
        <v>789</v>
      </c>
      <c r="N11" s="376" t="s">
        <v>744</v>
      </c>
      <c r="O11" s="376" t="s">
        <v>790</v>
      </c>
      <c r="P11" s="376"/>
      <c r="Q11" s="376" t="s">
        <v>791</v>
      </c>
      <c r="R11" s="376" t="s">
        <v>792</v>
      </c>
    </row>
    <row r="12" spans="1:18">
      <c r="F12" s="195" t="s">
        <v>1141</v>
      </c>
      <c r="G12" s="196">
        <v>83.4</v>
      </c>
      <c r="H12" s="196">
        <v>58.3</v>
      </c>
      <c r="I12" s="196">
        <v>37.200000000000003</v>
      </c>
      <c r="J12" s="197">
        <v>38.700000000000003</v>
      </c>
      <c r="K12" s="197">
        <v>4.5</v>
      </c>
      <c r="L12" s="198">
        <v>75</v>
      </c>
      <c r="M12" s="198">
        <v>69.599999999999994</v>
      </c>
      <c r="N12" s="198">
        <v>6.1</v>
      </c>
      <c r="O12" s="198">
        <v>36.6</v>
      </c>
      <c r="P12" s="197"/>
      <c r="Q12" s="197">
        <v>1091</v>
      </c>
      <c r="R12" s="197">
        <v>967</v>
      </c>
    </row>
    <row r="13" spans="1:18">
      <c r="F13" s="199" t="s">
        <v>1142</v>
      </c>
      <c r="G13" s="200">
        <v>40.299999999999997</v>
      </c>
      <c r="H13" s="200">
        <v>16.7</v>
      </c>
      <c r="I13" s="200">
        <v>5.7</v>
      </c>
      <c r="J13" s="197">
        <v>8.8000000000000007</v>
      </c>
      <c r="K13" s="197">
        <v>0.2</v>
      </c>
      <c r="L13" s="198">
        <v>22.7</v>
      </c>
      <c r="M13" s="198">
        <v>20</v>
      </c>
      <c r="N13" s="198">
        <v>0.4</v>
      </c>
      <c r="O13" s="198">
        <v>10.199999999999999</v>
      </c>
      <c r="P13" s="197"/>
      <c r="Q13" s="197">
        <v>717</v>
      </c>
      <c r="R13" s="197">
        <v>431</v>
      </c>
    </row>
    <row r="37" spans="14:16">
      <c r="O37" s="143" t="s">
        <v>1141</v>
      </c>
      <c r="P37" s="143" t="s">
        <v>1142</v>
      </c>
    </row>
    <row r="38" spans="14:16">
      <c r="N38" s="143" t="s">
        <v>738</v>
      </c>
      <c r="O38" s="143">
        <v>83.4</v>
      </c>
      <c r="P38" s="143">
        <v>40.299999999999997</v>
      </c>
    </row>
    <row r="39" spans="14:16">
      <c r="N39" s="143" t="s">
        <v>739</v>
      </c>
      <c r="O39" s="143">
        <v>58.3</v>
      </c>
      <c r="P39" s="143">
        <v>16.7</v>
      </c>
    </row>
    <row r="40" spans="14:16">
      <c r="N40" s="143" t="s">
        <v>740</v>
      </c>
      <c r="O40" s="143">
        <v>37.200000000000003</v>
      </c>
      <c r="P40" s="143">
        <v>5.7</v>
      </c>
    </row>
    <row r="41" spans="14:16">
      <c r="N41" s="143" t="s">
        <v>741</v>
      </c>
      <c r="O41" s="143">
        <v>38.700000000000003</v>
      </c>
      <c r="P41" s="143">
        <v>8.8000000000000007</v>
      </c>
    </row>
    <row r="42" spans="14:16">
      <c r="N42" s="143" t="s">
        <v>742</v>
      </c>
      <c r="O42" s="143">
        <v>4.5</v>
      </c>
      <c r="P42" s="143">
        <v>0.2</v>
      </c>
    </row>
    <row r="43" spans="14:16">
      <c r="N43" s="143" t="s">
        <v>743</v>
      </c>
      <c r="O43" s="143">
        <v>75</v>
      </c>
      <c r="P43" s="143">
        <v>22.7</v>
      </c>
    </row>
    <row r="53" spans="1:31" ht="152.4">
      <c r="A53" s="377"/>
      <c r="G53" s="378"/>
      <c r="H53" s="379" t="s">
        <v>808</v>
      </c>
      <c r="I53" s="380" t="s">
        <v>732</v>
      </c>
      <c r="J53" s="380" t="s">
        <v>731</v>
      </c>
      <c r="K53" s="380" t="s">
        <v>733</v>
      </c>
      <c r="L53" s="380" t="s">
        <v>734</v>
      </c>
      <c r="M53" s="380" t="s">
        <v>736</v>
      </c>
      <c r="N53" s="380" t="s">
        <v>735</v>
      </c>
      <c r="O53" s="380" t="s">
        <v>788</v>
      </c>
      <c r="P53" s="380" t="s">
        <v>737</v>
      </c>
    </row>
    <row r="54" spans="1:31">
      <c r="G54" s="150" t="s">
        <v>809</v>
      </c>
      <c r="H54" s="406">
        <v>1250</v>
      </c>
      <c r="I54" s="409">
        <v>83.4</v>
      </c>
      <c r="J54" s="410">
        <v>58.3</v>
      </c>
      <c r="K54" s="411">
        <v>37.200000000000003</v>
      </c>
      <c r="L54" s="412">
        <v>38.700000000000003</v>
      </c>
      <c r="M54" s="413">
        <v>4.5</v>
      </c>
      <c r="N54" s="414">
        <v>75</v>
      </c>
      <c r="O54" s="415">
        <v>53.92</v>
      </c>
      <c r="P54" s="416">
        <v>45.6</v>
      </c>
      <c r="W54" s="143">
        <v>92</v>
      </c>
      <c r="X54" s="143">
        <v>0.8</v>
      </c>
      <c r="Y54" s="143">
        <f>W54/80</f>
        <v>1.1499999999999999</v>
      </c>
    </row>
    <row r="55" spans="1:31">
      <c r="G55" s="152" t="s">
        <v>575</v>
      </c>
      <c r="H55" s="406">
        <v>20</v>
      </c>
      <c r="I55" s="423">
        <v>40.299999999999997</v>
      </c>
      <c r="J55" s="424">
        <v>16.7</v>
      </c>
      <c r="K55" s="424">
        <v>5.7</v>
      </c>
      <c r="L55" s="424">
        <v>8.8000000000000007</v>
      </c>
      <c r="M55" s="424">
        <v>0.2</v>
      </c>
      <c r="N55" s="424">
        <v>22.7</v>
      </c>
      <c r="O55" s="424">
        <v>57.599999999999994</v>
      </c>
      <c r="P55" s="425">
        <v>48.8</v>
      </c>
      <c r="W55" s="143">
        <v>12</v>
      </c>
      <c r="X55" s="143">
        <v>-0.8</v>
      </c>
      <c r="Y55" s="143">
        <f t="shared" ref="Y55" si="0">W55/80</f>
        <v>0.15</v>
      </c>
      <c r="Z55" s="143">
        <v>45</v>
      </c>
      <c r="AA55" s="143">
        <f>Z55*80/1.6</f>
        <v>2250</v>
      </c>
      <c r="AE55" s="143">
        <f>X55+(0.8+0.8)/(W54-W55)*(Z55-W55)</f>
        <v>-0.14000000000000001</v>
      </c>
    </row>
    <row r="56" spans="1:31">
      <c r="G56" s="156" t="s">
        <v>576</v>
      </c>
      <c r="H56" s="407">
        <v>20</v>
      </c>
      <c r="I56" s="423">
        <v>76.400000000000006</v>
      </c>
      <c r="J56" s="424">
        <v>65.600000000000009</v>
      </c>
      <c r="K56" s="424">
        <v>69.199999999999989</v>
      </c>
      <c r="L56" s="424">
        <v>61.6</v>
      </c>
      <c r="M56" s="424">
        <v>60.8</v>
      </c>
      <c r="N56" s="424">
        <v>64.400000000000006</v>
      </c>
      <c r="O56" s="424">
        <v>58.4</v>
      </c>
      <c r="P56" s="425">
        <v>43.6</v>
      </c>
      <c r="W56" s="143">
        <f>W54-W55</f>
        <v>80</v>
      </c>
      <c r="X56" s="143">
        <f>X54-X55</f>
        <v>1.6</v>
      </c>
      <c r="AB56" s="143">
        <v>60</v>
      </c>
    </row>
    <row r="57" spans="1:31">
      <c r="G57" s="156" t="s">
        <v>723</v>
      </c>
      <c r="H57" s="407">
        <v>250</v>
      </c>
      <c r="I57" s="423">
        <v>80.400000000000006</v>
      </c>
      <c r="J57" s="426">
        <v>75.2</v>
      </c>
      <c r="K57" s="426">
        <v>92</v>
      </c>
      <c r="L57" s="426">
        <v>65.600000000000009</v>
      </c>
      <c r="M57" s="426">
        <v>64</v>
      </c>
      <c r="N57" s="427">
        <v>60</v>
      </c>
      <c r="O57" s="424">
        <v>52.400000000000006</v>
      </c>
      <c r="P57" s="428">
        <v>51.2</v>
      </c>
      <c r="W57" s="143">
        <f>W54/W55</f>
        <v>7.666666666666667</v>
      </c>
    </row>
    <row r="58" spans="1:31">
      <c r="G58" s="156" t="s">
        <v>578</v>
      </c>
      <c r="H58" s="407">
        <v>250</v>
      </c>
      <c r="I58" s="440">
        <v>74</v>
      </c>
      <c r="J58" s="426">
        <v>70.399999999999991</v>
      </c>
      <c r="K58" s="426">
        <v>65.600000000000009</v>
      </c>
      <c r="L58" s="426">
        <v>56.8</v>
      </c>
      <c r="M58" s="426">
        <v>64.400000000000006</v>
      </c>
      <c r="N58" s="427">
        <v>51.2</v>
      </c>
      <c r="O58" s="424">
        <v>55.2</v>
      </c>
      <c r="P58" s="425">
        <v>40.799999999999997</v>
      </c>
    </row>
    <row r="59" spans="1:31">
      <c r="G59" s="164" t="s">
        <v>724</v>
      </c>
      <c r="H59" s="407">
        <v>245</v>
      </c>
      <c r="I59" s="429">
        <v>68.400000000000006</v>
      </c>
      <c r="J59" s="430">
        <v>65.2</v>
      </c>
      <c r="K59" s="426">
        <v>58.8</v>
      </c>
      <c r="L59" s="426">
        <v>58.8</v>
      </c>
      <c r="M59" s="426">
        <v>55.2</v>
      </c>
      <c r="N59" s="427">
        <v>51.6</v>
      </c>
      <c r="O59" s="441">
        <v>46</v>
      </c>
      <c r="P59" s="425">
        <v>43.6</v>
      </c>
    </row>
    <row r="60" spans="1:31">
      <c r="G60" s="156" t="s">
        <v>1143</v>
      </c>
      <c r="H60" s="407">
        <v>240</v>
      </c>
      <c r="I60" s="431">
        <v>83.4</v>
      </c>
      <c r="J60" s="432">
        <v>58.3</v>
      </c>
      <c r="K60" s="432">
        <v>37.200000000000003</v>
      </c>
      <c r="L60" s="432">
        <v>38.700000000000003</v>
      </c>
      <c r="M60" s="432">
        <v>4.5</v>
      </c>
      <c r="N60" s="433">
        <v>75</v>
      </c>
      <c r="O60" s="434">
        <v>69.599999999999994</v>
      </c>
      <c r="P60" s="435">
        <v>6.1</v>
      </c>
    </row>
    <row r="61" spans="1:31">
      <c r="G61" s="164" t="s">
        <v>1144</v>
      </c>
      <c r="H61" s="407">
        <v>235</v>
      </c>
      <c r="I61" s="436">
        <v>40.299999999999997</v>
      </c>
      <c r="J61" s="437">
        <v>16.7</v>
      </c>
      <c r="K61" s="437">
        <v>5.7</v>
      </c>
      <c r="L61" s="437">
        <v>8.8000000000000007</v>
      </c>
      <c r="M61" s="442">
        <v>0.2</v>
      </c>
      <c r="N61" s="438">
        <v>22.7</v>
      </c>
      <c r="O61" s="438">
        <v>20</v>
      </c>
      <c r="P61" s="439">
        <v>0.4</v>
      </c>
    </row>
    <row r="62" spans="1:31">
      <c r="G62" s="417"/>
      <c r="H62" s="418"/>
      <c r="I62" s="432"/>
      <c r="J62" s="432"/>
      <c r="K62" s="432"/>
      <c r="L62" s="432"/>
      <c r="M62" s="432"/>
      <c r="N62" s="433"/>
      <c r="O62" s="433"/>
      <c r="P62" s="433"/>
    </row>
    <row r="63" spans="1:31" ht="152.4">
      <c r="G63" s="378"/>
      <c r="H63" s="379" t="s">
        <v>808</v>
      </c>
      <c r="I63" s="408" t="s">
        <v>732</v>
      </c>
      <c r="J63" s="408" t="s">
        <v>731</v>
      </c>
      <c r="K63" s="408" t="s">
        <v>733</v>
      </c>
      <c r="L63" s="408" t="s">
        <v>734</v>
      </c>
      <c r="M63" s="408" t="s">
        <v>736</v>
      </c>
      <c r="N63" s="408" t="s">
        <v>735</v>
      </c>
      <c r="O63" s="408" t="s">
        <v>788</v>
      </c>
      <c r="P63" s="408" t="s">
        <v>737</v>
      </c>
      <c r="Q63" s="380" t="s">
        <v>736</v>
      </c>
      <c r="R63" s="380" t="s">
        <v>735</v>
      </c>
      <c r="S63" s="380" t="s">
        <v>788</v>
      </c>
      <c r="T63" s="380" t="s">
        <v>737</v>
      </c>
    </row>
    <row r="64" spans="1:31">
      <c r="G64" s="150" t="s">
        <v>1146</v>
      </c>
      <c r="H64" s="381" t="str">
        <f t="shared" ref="H64:H71" si="1">G54&amp;" ("&amp;H54&amp;")"</f>
        <v>Total (1250)</v>
      </c>
      <c r="I64" s="382">
        <f>I54</f>
        <v>83.4</v>
      </c>
      <c r="J64" s="382">
        <f t="shared" ref="J64:P64" si="2">J54</f>
        <v>58.3</v>
      </c>
      <c r="K64" s="383">
        <f t="shared" si="2"/>
        <v>37.200000000000003</v>
      </c>
      <c r="L64" s="382">
        <f t="shared" si="2"/>
        <v>38.700000000000003</v>
      </c>
      <c r="M64" s="382">
        <f t="shared" si="2"/>
        <v>4.5</v>
      </c>
      <c r="N64" s="382">
        <f t="shared" si="2"/>
        <v>75</v>
      </c>
      <c r="O64" s="382">
        <f t="shared" si="2"/>
        <v>53.92</v>
      </c>
      <c r="P64" s="382">
        <f t="shared" si="2"/>
        <v>45.6</v>
      </c>
      <c r="Q64" s="382">
        <f t="shared" ref="Q64:T64" si="3">Q54</f>
        <v>0</v>
      </c>
      <c r="R64" s="382">
        <f t="shared" si="3"/>
        <v>0</v>
      </c>
      <c r="S64" s="382">
        <f t="shared" si="3"/>
        <v>0</v>
      </c>
      <c r="T64" s="382">
        <f t="shared" si="3"/>
        <v>0</v>
      </c>
    </row>
    <row r="65" spans="7:20">
      <c r="G65" s="152" t="s">
        <v>1147</v>
      </c>
      <c r="H65" s="381" t="str">
        <f t="shared" si="1"/>
        <v>上海 (20)</v>
      </c>
      <c r="I65" s="384">
        <f>I55-10</f>
        <v>30.299999999999997</v>
      </c>
      <c r="J65" s="384">
        <f>J64+5</f>
        <v>63.3</v>
      </c>
      <c r="K65" s="384">
        <f t="shared" ref="K65:N65" si="4">K64+5</f>
        <v>42.2</v>
      </c>
      <c r="L65" s="384">
        <f t="shared" si="4"/>
        <v>43.7</v>
      </c>
      <c r="M65" s="384">
        <f t="shared" si="4"/>
        <v>9.5</v>
      </c>
      <c r="N65" s="384">
        <f t="shared" si="4"/>
        <v>80</v>
      </c>
      <c r="O65" s="384">
        <f t="shared" ref="O65:P65" si="5">O55-10</f>
        <v>47.599999999999994</v>
      </c>
      <c r="P65" s="384">
        <f t="shared" si="5"/>
        <v>38.799999999999997</v>
      </c>
      <c r="Q65" s="384">
        <f t="shared" ref="Q65:R65" si="6">Q64+5</f>
        <v>5</v>
      </c>
      <c r="R65" s="384">
        <f t="shared" si="6"/>
        <v>5</v>
      </c>
      <c r="S65" s="384">
        <f t="shared" ref="S65:T65" si="7">S55-10</f>
        <v>-10</v>
      </c>
      <c r="T65" s="384">
        <f t="shared" si="7"/>
        <v>-10</v>
      </c>
    </row>
    <row r="66" spans="7:20">
      <c r="G66" s="150" t="s">
        <v>1148</v>
      </c>
      <c r="H66" s="381" t="str">
        <f t="shared" si="1"/>
        <v>北京 (20)</v>
      </c>
      <c r="I66" s="384">
        <f t="shared" ref="I66:P69" si="8">I56</f>
        <v>76.400000000000006</v>
      </c>
      <c r="J66" s="384">
        <f t="shared" si="8"/>
        <v>65.600000000000009</v>
      </c>
      <c r="K66" s="384">
        <f t="shared" si="8"/>
        <v>69.199999999999989</v>
      </c>
      <c r="L66" s="384">
        <f t="shared" si="8"/>
        <v>61.6</v>
      </c>
      <c r="M66" s="384">
        <f t="shared" si="8"/>
        <v>60.8</v>
      </c>
      <c r="N66" s="384">
        <f t="shared" si="8"/>
        <v>64.400000000000006</v>
      </c>
      <c r="O66" s="384">
        <f t="shared" si="8"/>
        <v>58.4</v>
      </c>
      <c r="P66" s="391">
        <f t="shared" si="8"/>
        <v>43.6</v>
      </c>
      <c r="Q66" s="384">
        <f t="shared" ref="Q66:T66" si="9">Q56</f>
        <v>0</v>
      </c>
      <c r="R66" s="384">
        <f t="shared" si="9"/>
        <v>0</v>
      </c>
      <c r="S66" s="384">
        <f t="shared" si="9"/>
        <v>0</v>
      </c>
      <c r="T66" s="391">
        <f t="shared" si="9"/>
        <v>0</v>
      </c>
    </row>
    <row r="67" spans="7:20">
      <c r="G67" s="152" t="s">
        <v>1149</v>
      </c>
      <c r="H67" s="386" t="str">
        <f t="shared" si="1"/>
        <v>広州 (250)</v>
      </c>
      <c r="I67" s="385">
        <f t="shared" si="8"/>
        <v>80.400000000000006</v>
      </c>
      <c r="J67" s="388">
        <f t="shared" si="8"/>
        <v>75.2</v>
      </c>
      <c r="K67" s="388">
        <f t="shared" si="8"/>
        <v>92</v>
      </c>
      <c r="L67" s="385">
        <f t="shared" si="8"/>
        <v>65.600000000000009</v>
      </c>
      <c r="M67" s="385">
        <f t="shared" si="8"/>
        <v>64</v>
      </c>
      <c r="N67" s="385">
        <f t="shared" si="8"/>
        <v>60</v>
      </c>
      <c r="O67" s="385">
        <f t="shared" si="8"/>
        <v>52.400000000000006</v>
      </c>
      <c r="P67" s="392">
        <f t="shared" si="8"/>
        <v>51.2</v>
      </c>
      <c r="Q67" s="385">
        <f t="shared" ref="Q67:T67" si="10">Q57</f>
        <v>0</v>
      </c>
      <c r="R67" s="385">
        <f t="shared" si="10"/>
        <v>0</v>
      </c>
      <c r="S67" s="385">
        <f t="shared" si="10"/>
        <v>0</v>
      </c>
      <c r="T67" s="392">
        <f t="shared" si="10"/>
        <v>0</v>
      </c>
    </row>
    <row r="68" spans="7:20">
      <c r="G68" s="150" t="s">
        <v>1150</v>
      </c>
      <c r="H68" s="386" t="str">
        <f t="shared" si="1"/>
        <v>成都 (250)</v>
      </c>
      <c r="I68" s="385">
        <f t="shared" si="8"/>
        <v>74</v>
      </c>
      <c r="J68" s="385">
        <f t="shared" si="8"/>
        <v>70.399999999999991</v>
      </c>
      <c r="K68" s="385">
        <f t="shared" si="8"/>
        <v>65.600000000000009</v>
      </c>
      <c r="L68" s="385">
        <f t="shared" si="8"/>
        <v>56.8</v>
      </c>
      <c r="M68" s="385">
        <f t="shared" si="8"/>
        <v>64.400000000000006</v>
      </c>
      <c r="N68" s="389">
        <f t="shared" si="8"/>
        <v>51.2</v>
      </c>
      <c r="O68" s="385">
        <f t="shared" si="8"/>
        <v>55.2</v>
      </c>
      <c r="P68" s="391">
        <f t="shared" si="8"/>
        <v>40.799999999999997</v>
      </c>
      <c r="Q68" s="385">
        <f t="shared" ref="Q68:T68" si="11">Q58</f>
        <v>0</v>
      </c>
      <c r="R68" s="389">
        <f t="shared" si="11"/>
        <v>0</v>
      </c>
      <c r="S68" s="385">
        <f t="shared" si="11"/>
        <v>0</v>
      </c>
      <c r="T68" s="391">
        <f t="shared" si="11"/>
        <v>0</v>
      </c>
    </row>
    <row r="69" spans="7:20">
      <c r="G69" s="152" t="s">
        <v>1151</v>
      </c>
      <c r="H69" s="393" t="str">
        <f t="shared" si="1"/>
        <v>蘇州 (245)</v>
      </c>
      <c r="I69" s="390">
        <f t="shared" si="8"/>
        <v>68.400000000000006</v>
      </c>
      <c r="J69" s="387">
        <f t="shared" si="8"/>
        <v>65.2</v>
      </c>
      <c r="K69" s="390">
        <f t="shared" si="8"/>
        <v>58.8</v>
      </c>
      <c r="L69" s="387">
        <f t="shared" si="8"/>
        <v>58.8</v>
      </c>
      <c r="M69" s="390">
        <f t="shared" si="8"/>
        <v>55.2</v>
      </c>
      <c r="N69" s="390">
        <f t="shared" si="8"/>
        <v>51.6</v>
      </c>
      <c r="O69" s="390">
        <f t="shared" si="8"/>
        <v>46</v>
      </c>
      <c r="P69" s="394">
        <f t="shared" si="8"/>
        <v>43.6</v>
      </c>
      <c r="Q69" s="390">
        <f t="shared" ref="Q69:T69" si="12">Q59</f>
        <v>0</v>
      </c>
      <c r="R69" s="390">
        <f t="shared" si="12"/>
        <v>0</v>
      </c>
      <c r="S69" s="390">
        <f t="shared" si="12"/>
        <v>0</v>
      </c>
      <c r="T69" s="394">
        <f t="shared" si="12"/>
        <v>0</v>
      </c>
    </row>
    <row r="70" spans="7:20">
      <c r="G70" s="150" t="s">
        <v>1152</v>
      </c>
      <c r="H70" s="386" t="str">
        <f t="shared" si="1"/>
        <v>瀋陽 (240)</v>
      </c>
      <c r="I70" s="385">
        <f>I60</f>
        <v>83.4</v>
      </c>
      <c r="J70" s="388">
        <f>J60</f>
        <v>58.3</v>
      </c>
      <c r="K70" s="388">
        <v>49</v>
      </c>
      <c r="L70" s="385">
        <v>43</v>
      </c>
      <c r="M70" s="385">
        <v>33</v>
      </c>
      <c r="N70" s="385">
        <f>N60</f>
        <v>75</v>
      </c>
      <c r="O70" s="385">
        <f>O60</f>
        <v>69.599999999999994</v>
      </c>
      <c r="P70" s="392">
        <v>39</v>
      </c>
      <c r="Q70" s="385">
        <v>33</v>
      </c>
      <c r="R70" s="385">
        <f t="shared" ref="R70:S70" si="13">R60</f>
        <v>0</v>
      </c>
      <c r="S70" s="385">
        <f t="shared" si="13"/>
        <v>0</v>
      </c>
      <c r="T70" s="392">
        <v>39</v>
      </c>
    </row>
    <row r="71" spans="7:20">
      <c r="G71" s="152" t="s">
        <v>1153</v>
      </c>
      <c r="H71" s="386" t="str">
        <f t="shared" si="1"/>
        <v>武漢 (235)</v>
      </c>
      <c r="I71" s="385">
        <v>80.400000000000006</v>
      </c>
      <c r="J71" s="388">
        <v>45</v>
      </c>
      <c r="K71" s="388">
        <v>55</v>
      </c>
      <c r="L71" s="385">
        <v>40</v>
      </c>
      <c r="M71" s="385">
        <v>46</v>
      </c>
      <c r="N71" s="385">
        <v>60</v>
      </c>
      <c r="O71" s="385">
        <v>52.400000000000006</v>
      </c>
      <c r="P71" s="392">
        <v>54</v>
      </c>
      <c r="Q71" s="385">
        <v>46</v>
      </c>
      <c r="R71" s="385">
        <v>60</v>
      </c>
      <c r="S71" s="385">
        <v>52.400000000000006</v>
      </c>
      <c r="T71" s="392">
        <v>54</v>
      </c>
    </row>
    <row r="72" spans="7:20">
      <c r="H72" s="386" t="str">
        <f t="shared" ref="H72" si="14">G63&amp;" ("&amp;H63&amp;")"</f>
        <v xml:space="preserve"> (Base=)</v>
      </c>
      <c r="I72" s="385">
        <v>80.400000000000006</v>
      </c>
      <c r="J72" s="388">
        <v>45</v>
      </c>
      <c r="K72" s="388">
        <v>55</v>
      </c>
      <c r="L72" s="385">
        <v>40</v>
      </c>
      <c r="M72" s="385">
        <v>46</v>
      </c>
      <c r="N72" s="385">
        <v>60</v>
      </c>
      <c r="O72" s="385">
        <v>52.400000000000006</v>
      </c>
      <c r="P72" s="392">
        <v>54</v>
      </c>
      <c r="Q72" s="385">
        <v>46</v>
      </c>
      <c r="R72" s="385">
        <v>60</v>
      </c>
      <c r="S72" s="385">
        <v>52.400000000000006</v>
      </c>
      <c r="T72" s="392">
        <v>54</v>
      </c>
    </row>
    <row r="73" spans="7:20">
      <c r="H73" s="386" t="s">
        <v>1145</v>
      </c>
      <c r="I73" s="385">
        <v>14.583333333333343</v>
      </c>
      <c r="J73" s="385">
        <v>-8.0333333333333314</v>
      </c>
      <c r="K73" s="385">
        <v>-8.8333333333333357</v>
      </c>
      <c r="L73" s="385">
        <v>-11.20000000000001</v>
      </c>
      <c r="M73" s="385">
        <v>-10.06666666666667</v>
      </c>
      <c r="N73" s="385">
        <v>11.300000000000004</v>
      </c>
      <c r="O73" s="385">
        <v>17.346666666666664</v>
      </c>
      <c r="P73" s="385">
        <v>-4.9333333333333371</v>
      </c>
      <c r="Q73" s="385">
        <v>-10.06666666666667</v>
      </c>
      <c r="R73" s="385">
        <v>11.300000000000004</v>
      </c>
      <c r="S73" s="385">
        <v>17.346666666666664</v>
      </c>
      <c r="T73" s="385">
        <v>-4.9333333333333371</v>
      </c>
    </row>
    <row r="75" spans="7:20" ht="152.4">
      <c r="H75" s="379" t="s">
        <v>808</v>
      </c>
      <c r="I75" s="380" t="s">
        <v>732</v>
      </c>
      <c r="J75" s="380" t="s">
        <v>731</v>
      </c>
      <c r="K75" s="380" t="s">
        <v>733</v>
      </c>
      <c r="L75" s="380" t="s">
        <v>734</v>
      </c>
      <c r="M75" s="380" t="s">
        <v>736</v>
      </c>
      <c r="N75" s="380" t="s">
        <v>735</v>
      </c>
      <c r="O75" s="380" t="s">
        <v>788</v>
      </c>
      <c r="P75" s="380" t="s">
        <v>737</v>
      </c>
    </row>
    <row r="76" spans="7:20">
      <c r="H76" s="381" t="str">
        <f>G67&amp;" ("&amp;H67&amp;")"</f>
        <v>4 (広州 (250))</v>
      </c>
      <c r="I76" s="382">
        <f>I67</f>
        <v>80.400000000000006</v>
      </c>
      <c r="J76" s="382">
        <f t="shared" ref="J76:P76" si="15">J67</f>
        <v>75.2</v>
      </c>
      <c r="K76" s="383">
        <f t="shared" si="15"/>
        <v>92</v>
      </c>
      <c r="L76" s="382">
        <f t="shared" si="15"/>
        <v>65.600000000000009</v>
      </c>
      <c r="M76" s="382">
        <f t="shared" si="15"/>
        <v>64</v>
      </c>
      <c r="N76" s="382">
        <f t="shared" si="15"/>
        <v>60</v>
      </c>
      <c r="O76" s="382">
        <f t="shared" si="15"/>
        <v>52.400000000000006</v>
      </c>
      <c r="P76" s="382">
        <f t="shared" si="15"/>
        <v>51.2</v>
      </c>
    </row>
    <row r="77" spans="7:20">
      <c r="H77" s="381" t="str">
        <f t="shared" ref="H77:H78" si="16">G68&amp;" ("&amp;H68&amp;")"</f>
        <v>5 (成都 (250))</v>
      </c>
      <c r="I77" s="384">
        <f>I76-10</f>
        <v>70.400000000000006</v>
      </c>
      <c r="J77" s="384">
        <f t="shared" ref="J77:P78" si="17">J76-10</f>
        <v>65.2</v>
      </c>
      <c r="K77" s="384">
        <f t="shared" si="17"/>
        <v>82</v>
      </c>
      <c r="L77" s="384">
        <f t="shared" si="17"/>
        <v>55.600000000000009</v>
      </c>
      <c r="M77" s="384">
        <f t="shared" si="17"/>
        <v>54</v>
      </c>
      <c r="N77" s="384">
        <f t="shared" si="17"/>
        <v>50</v>
      </c>
      <c r="O77" s="384">
        <f t="shared" si="17"/>
        <v>42.400000000000006</v>
      </c>
      <c r="P77" s="384">
        <f t="shared" si="17"/>
        <v>41.2</v>
      </c>
    </row>
    <row r="78" spans="7:20">
      <c r="H78" s="381" t="str">
        <f t="shared" si="16"/>
        <v>6 (蘇州 (245))</v>
      </c>
      <c r="I78" s="384">
        <f>I77-10</f>
        <v>60.400000000000006</v>
      </c>
      <c r="J78" s="384">
        <f t="shared" si="17"/>
        <v>55.2</v>
      </c>
      <c r="K78" s="384">
        <f t="shared" si="17"/>
        <v>72</v>
      </c>
      <c r="L78" s="384">
        <f t="shared" si="17"/>
        <v>45.600000000000009</v>
      </c>
      <c r="M78" s="384">
        <f t="shared" si="17"/>
        <v>44</v>
      </c>
      <c r="N78" s="384">
        <f t="shared" si="17"/>
        <v>40</v>
      </c>
      <c r="O78" s="384">
        <f t="shared" si="17"/>
        <v>32.400000000000006</v>
      </c>
      <c r="P78" s="384">
        <f t="shared" si="17"/>
        <v>31.200000000000003</v>
      </c>
    </row>
    <row r="83" spans="8:17" ht="152.4">
      <c r="I83" s="380" t="s">
        <v>732</v>
      </c>
      <c r="J83" s="380" t="s">
        <v>731</v>
      </c>
      <c r="K83" s="380" t="s">
        <v>733</v>
      </c>
      <c r="L83" s="380" t="s">
        <v>734</v>
      </c>
      <c r="M83" s="380" t="s">
        <v>736</v>
      </c>
    </row>
    <row r="84" spans="8:17">
      <c r="I84" s="382">
        <v>40</v>
      </c>
      <c r="J84" s="382">
        <v>20</v>
      </c>
      <c r="K84" s="383">
        <v>15</v>
      </c>
      <c r="L84" s="382">
        <v>7</v>
      </c>
      <c r="M84" s="382">
        <f>100-SUM(I84:L84)</f>
        <v>18</v>
      </c>
    </row>
    <row r="94" spans="8:17">
      <c r="H94" s="605">
        <v>1</v>
      </c>
      <c r="I94" s="606">
        <v>2</v>
      </c>
      <c r="J94" s="607">
        <v>3</v>
      </c>
      <c r="K94" s="608">
        <v>4</v>
      </c>
      <c r="L94" s="609">
        <v>5</v>
      </c>
      <c r="M94" s="610">
        <v>6</v>
      </c>
      <c r="N94" s="611">
        <v>7</v>
      </c>
      <c r="O94" s="612">
        <v>8</v>
      </c>
      <c r="P94" s="613">
        <v>9</v>
      </c>
      <c r="Q94" s="614">
        <v>10</v>
      </c>
    </row>
    <row r="95" spans="8:17">
      <c r="H95" s="615">
        <v>11</v>
      </c>
      <c r="I95" s="616">
        <f>H95+1</f>
        <v>12</v>
      </c>
      <c r="J95" s="617">
        <f t="shared" ref="J95:Q95" si="18">I95+1</f>
        <v>13</v>
      </c>
      <c r="K95" s="618">
        <f t="shared" si="18"/>
        <v>14</v>
      </c>
      <c r="L95" s="619">
        <f t="shared" si="18"/>
        <v>15</v>
      </c>
      <c r="M95" s="620">
        <f t="shared" si="18"/>
        <v>16</v>
      </c>
      <c r="N95" s="621">
        <f t="shared" si="18"/>
        <v>17</v>
      </c>
      <c r="O95" s="622">
        <f t="shared" si="18"/>
        <v>18</v>
      </c>
      <c r="P95" s="623">
        <f t="shared" si="18"/>
        <v>19</v>
      </c>
      <c r="Q95" s="624">
        <f t="shared" si="18"/>
        <v>20</v>
      </c>
    </row>
    <row r="96" spans="8:17">
      <c r="H96" s="625">
        <v>21</v>
      </c>
      <c r="I96" s="626">
        <f t="shared" ref="I96:Q103" si="19">H96+1</f>
        <v>22</v>
      </c>
      <c r="J96" s="627">
        <f t="shared" si="19"/>
        <v>23</v>
      </c>
      <c r="K96" s="628">
        <f t="shared" si="19"/>
        <v>24</v>
      </c>
      <c r="L96" s="629">
        <f t="shared" si="19"/>
        <v>25</v>
      </c>
      <c r="M96" s="630">
        <f t="shared" si="19"/>
        <v>26</v>
      </c>
      <c r="N96" s="631">
        <f t="shared" si="19"/>
        <v>27</v>
      </c>
      <c r="O96" s="632">
        <f t="shared" si="19"/>
        <v>28</v>
      </c>
      <c r="P96" s="633">
        <f t="shared" si="19"/>
        <v>29</v>
      </c>
      <c r="Q96" s="634">
        <f t="shared" si="19"/>
        <v>30</v>
      </c>
    </row>
    <row r="97" spans="4:17">
      <c r="H97" s="635">
        <v>31</v>
      </c>
      <c r="I97" s="636">
        <f t="shared" si="19"/>
        <v>32</v>
      </c>
      <c r="J97" s="637">
        <f t="shared" si="19"/>
        <v>33</v>
      </c>
      <c r="K97" s="638">
        <f t="shared" si="19"/>
        <v>34</v>
      </c>
      <c r="L97" s="639">
        <f t="shared" si="19"/>
        <v>35</v>
      </c>
      <c r="M97" s="640">
        <f t="shared" si="19"/>
        <v>36</v>
      </c>
      <c r="N97" s="641">
        <f t="shared" si="19"/>
        <v>37</v>
      </c>
      <c r="O97" s="642">
        <f t="shared" si="19"/>
        <v>38</v>
      </c>
      <c r="P97" s="643">
        <f t="shared" si="19"/>
        <v>39</v>
      </c>
      <c r="Q97" s="644">
        <f t="shared" si="19"/>
        <v>40</v>
      </c>
    </row>
    <row r="98" spans="4:17">
      <c r="F98" s="143">
        <v>1</v>
      </c>
      <c r="G98" s="143" t="s">
        <v>2358</v>
      </c>
      <c r="H98" s="645">
        <v>41</v>
      </c>
      <c r="I98" s="646">
        <f t="shared" si="19"/>
        <v>42</v>
      </c>
      <c r="J98" s="647">
        <f t="shared" si="19"/>
        <v>43</v>
      </c>
      <c r="K98" s="648">
        <f t="shared" si="19"/>
        <v>44</v>
      </c>
      <c r="L98" s="649">
        <f t="shared" si="19"/>
        <v>45</v>
      </c>
      <c r="M98" s="650">
        <f t="shared" si="19"/>
        <v>46</v>
      </c>
      <c r="N98" s="651">
        <f t="shared" si="19"/>
        <v>47</v>
      </c>
      <c r="O98" s="652">
        <f t="shared" si="19"/>
        <v>48</v>
      </c>
      <c r="P98" s="653">
        <f t="shared" si="19"/>
        <v>49</v>
      </c>
      <c r="Q98" s="654">
        <f t="shared" si="19"/>
        <v>50</v>
      </c>
    </row>
    <row r="99" spans="4:17">
      <c r="H99" s="655">
        <v>51</v>
      </c>
      <c r="I99" s="656">
        <f t="shared" si="19"/>
        <v>52</v>
      </c>
      <c r="J99" s="657">
        <f t="shared" si="19"/>
        <v>53</v>
      </c>
      <c r="K99" s="658">
        <f t="shared" si="19"/>
        <v>54</v>
      </c>
      <c r="L99" s="659">
        <f t="shared" si="19"/>
        <v>55</v>
      </c>
      <c r="M99" s="660">
        <f t="shared" si="19"/>
        <v>56</v>
      </c>
      <c r="N99" s="661">
        <f t="shared" si="19"/>
        <v>57</v>
      </c>
      <c r="O99" s="662">
        <f t="shared" si="19"/>
        <v>58</v>
      </c>
      <c r="P99" s="663">
        <f t="shared" si="19"/>
        <v>59</v>
      </c>
      <c r="Q99" s="664">
        <f t="shared" si="19"/>
        <v>60</v>
      </c>
    </row>
    <row r="100" spans="4:17">
      <c r="H100" s="665">
        <v>61</v>
      </c>
      <c r="I100" s="666">
        <f t="shared" si="19"/>
        <v>62</v>
      </c>
      <c r="J100" s="667">
        <f t="shared" si="19"/>
        <v>63</v>
      </c>
      <c r="K100" s="668">
        <f t="shared" si="19"/>
        <v>64</v>
      </c>
      <c r="L100" s="669">
        <f t="shared" si="19"/>
        <v>65</v>
      </c>
      <c r="M100" s="670">
        <f t="shared" si="19"/>
        <v>66</v>
      </c>
      <c r="N100" s="671">
        <f t="shared" si="19"/>
        <v>67</v>
      </c>
      <c r="O100" s="672">
        <f t="shared" si="19"/>
        <v>68</v>
      </c>
      <c r="P100" s="673">
        <f t="shared" si="19"/>
        <v>69</v>
      </c>
      <c r="Q100" s="674">
        <f t="shared" si="19"/>
        <v>70</v>
      </c>
    </row>
    <row r="101" spans="4:17">
      <c r="H101" s="675">
        <v>71</v>
      </c>
      <c r="I101" s="676">
        <f t="shared" si="19"/>
        <v>72</v>
      </c>
      <c r="J101" s="677">
        <f t="shared" si="19"/>
        <v>73</v>
      </c>
      <c r="K101" s="678">
        <f t="shared" si="19"/>
        <v>74</v>
      </c>
      <c r="L101" s="679">
        <f t="shared" si="19"/>
        <v>75</v>
      </c>
      <c r="M101" s="680">
        <f t="shared" si="19"/>
        <v>76</v>
      </c>
      <c r="N101" s="681">
        <f t="shared" si="19"/>
        <v>77</v>
      </c>
      <c r="O101" s="682">
        <f t="shared" si="19"/>
        <v>78</v>
      </c>
      <c r="P101" s="683">
        <f t="shared" si="19"/>
        <v>79</v>
      </c>
      <c r="Q101" s="684">
        <f t="shared" si="19"/>
        <v>80</v>
      </c>
    </row>
    <row r="102" spans="4:17">
      <c r="H102" s="685">
        <v>81</v>
      </c>
      <c r="I102" s="686">
        <f t="shared" si="19"/>
        <v>82</v>
      </c>
      <c r="J102" s="687">
        <f t="shared" si="19"/>
        <v>83</v>
      </c>
      <c r="K102" s="688">
        <f t="shared" si="19"/>
        <v>84</v>
      </c>
      <c r="L102" s="689">
        <f t="shared" si="19"/>
        <v>85</v>
      </c>
      <c r="M102" s="690">
        <f t="shared" si="19"/>
        <v>86</v>
      </c>
      <c r="N102" s="691">
        <f t="shared" si="19"/>
        <v>87</v>
      </c>
      <c r="O102" s="692">
        <f t="shared" si="19"/>
        <v>88</v>
      </c>
      <c r="P102" s="693">
        <f t="shared" si="19"/>
        <v>89</v>
      </c>
      <c r="Q102" s="694">
        <f t="shared" si="19"/>
        <v>90</v>
      </c>
    </row>
    <row r="103" spans="4:17">
      <c r="H103" s="695">
        <v>91</v>
      </c>
      <c r="I103" s="696">
        <f t="shared" si="19"/>
        <v>92</v>
      </c>
      <c r="J103" s="697">
        <f t="shared" si="19"/>
        <v>93</v>
      </c>
      <c r="K103" s="698">
        <f t="shared" si="19"/>
        <v>94</v>
      </c>
      <c r="L103" s="699">
        <f t="shared" si="19"/>
        <v>95</v>
      </c>
      <c r="M103" s="700">
        <f t="shared" si="19"/>
        <v>96</v>
      </c>
      <c r="N103" s="701">
        <f t="shared" si="19"/>
        <v>97</v>
      </c>
      <c r="O103" s="702">
        <f t="shared" si="19"/>
        <v>98</v>
      </c>
      <c r="P103" s="703">
        <f t="shared" si="19"/>
        <v>99</v>
      </c>
      <c r="Q103" s="704">
        <f t="shared" si="19"/>
        <v>100</v>
      </c>
    </row>
    <row r="104" spans="4:17">
      <c r="D104" s="422"/>
      <c r="E104" s="422"/>
      <c r="H104" s="420"/>
      <c r="I104" s="420"/>
      <c r="J104" s="420"/>
      <c r="K104" s="420"/>
      <c r="L104" s="420"/>
      <c r="M104" s="420"/>
      <c r="N104" s="420"/>
      <c r="O104" s="420"/>
      <c r="P104" s="420"/>
      <c r="Q104" s="420"/>
    </row>
    <row r="105" spans="4:17">
      <c r="D105" s="422"/>
      <c r="E105" s="422"/>
      <c r="H105" s="420"/>
      <c r="I105" s="420"/>
      <c r="J105" s="420"/>
      <c r="K105" s="420"/>
      <c r="L105" s="420"/>
      <c r="M105" s="420"/>
      <c r="N105" s="420"/>
      <c r="O105" s="420"/>
      <c r="P105" s="420"/>
      <c r="Q105" s="420"/>
    </row>
    <row r="106" spans="4:17">
      <c r="D106" s="422"/>
      <c r="E106" s="422"/>
      <c r="H106" s="420"/>
      <c r="I106" s="420"/>
      <c r="J106" s="420"/>
      <c r="K106" s="420"/>
      <c r="L106" s="420"/>
      <c r="M106" s="420"/>
      <c r="N106" s="420"/>
      <c r="O106" s="420"/>
      <c r="P106" s="420"/>
      <c r="Q106" s="420"/>
    </row>
    <row r="107" spans="4:17">
      <c r="G107" s="419">
        <f ca="1">RANDBETWEEN(1,100)</f>
        <v>90</v>
      </c>
      <c r="H107" s="534">
        <v>60</v>
      </c>
      <c r="I107" s="421">
        <v>97</v>
      </c>
      <c r="J107" s="535">
        <v>27</v>
      </c>
      <c r="K107" s="536">
        <v>44</v>
      </c>
      <c r="L107" s="537">
        <v>62</v>
      </c>
      <c r="M107" s="538">
        <v>64</v>
      </c>
      <c r="N107" s="539">
        <v>83</v>
      </c>
      <c r="O107" s="540">
        <v>81</v>
      </c>
      <c r="P107" s="535">
        <v>27</v>
      </c>
      <c r="Q107" s="541"/>
    </row>
    <row r="108" spans="4:17">
      <c r="H108" s="542">
        <v>90</v>
      </c>
      <c r="I108" s="543">
        <v>84</v>
      </c>
      <c r="J108" s="544">
        <v>56</v>
      </c>
      <c r="K108" s="545">
        <v>21</v>
      </c>
      <c r="L108" s="546">
        <v>72</v>
      </c>
      <c r="M108" s="536">
        <v>44</v>
      </c>
      <c r="N108" s="547">
        <v>7</v>
      </c>
      <c r="O108" s="548">
        <v>1</v>
      </c>
      <c r="P108" s="549">
        <v>49</v>
      </c>
      <c r="Q108" s="535">
        <v>27</v>
      </c>
    </row>
    <row r="109" spans="4:17">
      <c r="H109" s="550">
        <v>43</v>
      </c>
      <c r="I109" s="551">
        <v>28</v>
      </c>
      <c r="J109" s="552">
        <v>55</v>
      </c>
      <c r="K109" s="553">
        <v>77</v>
      </c>
      <c r="L109" s="554">
        <v>4</v>
      </c>
      <c r="M109" s="555">
        <v>17</v>
      </c>
      <c r="N109" s="556">
        <v>16</v>
      </c>
      <c r="O109" s="557">
        <v>19</v>
      </c>
      <c r="P109" s="558">
        <v>3</v>
      </c>
      <c r="Q109" s="559">
        <v>95</v>
      </c>
    </row>
    <row r="110" spans="4:17">
      <c r="H110" s="560">
        <v>69</v>
      </c>
      <c r="I110" s="561">
        <v>24</v>
      </c>
      <c r="J110" s="562">
        <v>93</v>
      </c>
      <c r="K110" s="563">
        <v>5</v>
      </c>
      <c r="L110" s="564">
        <v>68</v>
      </c>
      <c r="M110" s="565">
        <v>11</v>
      </c>
      <c r="N110" s="538">
        <v>64</v>
      </c>
      <c r="O110" s="566">
        <v>29</v>
      </c>
      <c r="P110" s="567">
        <v>33</v>
      </c>
      <c r="Q110" s="568">
        <v>46</v>
      </c>
    </row>
    <row r="111" spans="4:17">
      <c r="H111" s="569">
        <v>71</v>
      </c>
      <c r="I111" s="570">
        <v>65</v>
      </c>
      <c r="J111" s="571">
        <v>40</v>
      </c>
      <c r="K111" s="538">
        <v>64</v>
      </c>
      <c r="L111" s="572">
        <v>26</v>
      </c>
      <c r="M111" s="573">
        <v>12</v>
      </c>
      <c r="N111" s="545">
        <v>21</v>
      </c>
      <c r="O111" s="539">
        <v>83</v>
      </c>
      <c r="P111" s="574">
        <v>89</v>
      </c>
      <c r="Q111" s="575">
        <v>42</v>
      </c>
    </row>
    <row r="112" spans="4:17">
      <c r="H112" s="552">
        <v>55</v>
      </c>
      <c r="I112" s="556">
        <v>16</v>
      </c>
      <c r="J112" s="576">
        <v>38</v>
      </c>
      <c r="K112" s="535">
        <v>27</v>
      </c>
      <c r="L112" s="577">
        <v>2</v>
      </c>
      <c r="M112" s="578">
        <v>66</v>
      </c>
      <c r="N112" s="579">
        <v>70</v>
      </c>
      <c r="O112" s="580">
        <v>14</v>
      </c>
      <c r="P112" s="574">
        <v>89</v>
      </c>
      <c r="Q112" s="547">
        <v>7</v>
      </c>
    </row>
    <row r="113" spans="3:17">
      <c r="H113" s="555">
        <v>17</v>
      </c>
      <c r="I113" s="581">
        <v>91</v>
      </c>
      <c r="J113" s="581">
        <v>91</v>
      </c>
      <c r="K113" s="551">
        <v>28</v>
      </c>
      <c r="L113" s="580">
        <v>14</v>
      </c>
      <c r="M113" s="582">
        <v>80</v>
      </c>
      <c r="N113" s="421">
        <v>97</v>
      </c>
      <c r="O113" s="583">
        <v>85</v>
      </c>
      <c r="P113" s="543">
        <v>84</v>
      </c>
      <c r="Q113" s="573">
        <v>12</v>
      </c>
    </row>
    <row r="114" spans="3:17">
      <c r="H114" s="583">
        <v>85</v>
      </c>
      <c r="I114" s="584">
        <v>47</v>
      </c>
      <c r="J114" s="539">
        <v>83</v>
      </c>
      <c r="K114" s="585">
        <v>63</v>
      </c>
      <c r="L114" s="586">
        <v>78</v>
      </c>
      <c r="M114" s="578">
        <v>66</v>
      </c>
      <c r="N114" s="572">
        <v>26</v>
      </c>
      <c r="O114" s="587">
        <v>35</v>
      </c>
      <c r="P114" s="566">
        <v>29</v>
      </c>
      <c r="Q114" s="588">
        <v>59</v>
      </c>
    </row>
    <row r="115" spans="3:17">
      <c r="H115" s="560">
        <v>69</v>
      </c>
      <c r="I115" s="589">
        <v>32</v>
      </c>
      <c r="J115" s="590">
        <v>41</v>
      </c>
      <c r="K115" s="574">
        <v>89</v>
      </c>
      <c r="L115" s="591">
        <v>6</v>
      </c>
      <c r="M115" s="579">
        <v>70</v>
      </c>
      <c r="N115" s="575">
        <v>42</v>
      </c>
      <c r="O115" s="421">
        <v>97</v>
      </c>
      <c r="P115" s="592">
        <v>30</v>
      </c>
      <c r="Q115" s="547">
        <v>7</v>
      </c>
    </row>
    <row r="116" spans="3:17">
      <c r="H116" s="529">
        <v>59</v>
      </c>
      <c r="I116" s="528">
        <v>26</v>
      </c>
      <c r="J116" s="530">
        <v>48</v>
      </c>
      <c r="K116" s="531">
        <v>82</v>
      </c>
      <c r="L116" s="527">
        <v>29</v>
      </c>
      <c r="M116" s="525">
        <v>64</v>
      </c>
      <c r="N116" s="532">
        <v>45</v>
      </c>
      <c r="O116" s="524">
        <v>62</v>
      </c>
      <c r="P116" s="533">
        <v>51</v>
      </c>
      <c r="Q116" s="526">
        <v>24</v>
      </c>
    </row>
    <row r="117" spans="3:17">
      <c r="H117" s="420"/>
      <c r="I117" s="420"/>
      <c r="J117" s="420"/>
      <c r="K117" s="420"/>
      <c r="L117" s="420"/>
      <c r="M117" s="420"/>
      <c r="N117" s="420"/>
      <c r="O117" s="420"/>
      <c r="P117" s="420"/>
      <c r="Q117" s="420"/>
    </row>
    <row r="118" spans="3:17">
      <c r="H118" s="420"/>
      <c r="I118" s="420"/>
      <c r="J118" s="420"/>
      <c r="K118" s="420"/>
      <c r="L118" s="420"/>
      <c r="M118" s="420"/>
      <c r="N118" s="420"/>
      <c r="O118" s="420"/>
      <c r="P118" s="420"/>
      <c r="Q118" s="420"/>
    </row>
    <row r="119" spans="3:17">
      <c r="H119" s="420"/>
      <c r="I119" s="420"/>
      <c r="J119" s="420"/>
      <c r="K119" s="420"/>
      <c r="L119" s="420"/>
      <c r="M119" s="420"/>
      <c r="N119" s="420"/>
      <c r="O119" s="420"/>
      <c r="P119" s="420"/>
      <c r="Q119" s="420"/>
    </row>
    <row r="120" spans="3:17">
      <c r="H120" s="420"/>
      <c r="I120" s="420"/>
      <c r="J120" s="420"/>
      <c r="K120" s="420"/>
      <c r="L120" s="420"/>
      <c r="M120" s="420"/>
      <c r="N120" s="420"/>
      <c r="O120" s="420"/>
      <c r="P120" s="420"/>
      <c r="Q120" s="420"/>
    </row>
    <row r="126" spans="3:17">
      <c r="C126" s="143">
        <v>30</v>
      </c>
      <c r="D126" s="143" t="s">
        <v>2359</v>
      </c>
    </row>
    <row r="127" spans="3:17">
      <c r="C127" s="143">
        <v>31</v>
      </c>
      <c r="D127" s="143" t="s">
        <v>2360</v>
      </c>
    </row>
    <row r="128" spans="3:17">
      <c r="C128" s="143">
        <v>32</v>
      </c>
      <c r="D128" s="143" t="s">
        <v>2361</v>
      </c>
    </row>
  </sheetData>
  <phoneticPr fontId="4"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151"/>
  <sheetViews>
    <sheetView topLeftCell="A6" workbookViewId="0">
      <selection activeCell="I19" sqref="I19"/>
    </sheetView>
  </sheetViews>
  <sheetFormatPr defaultColWidth="9.109375" defaultRowHeight="15"/>
  <cols>
    <col min="1" max="1" width="10.21875" style="594" customWidth="1"/>
    <col min="2" max="3" width="9.109375" style="598"/>
    <col min="4" max="16384" width="9.109375" style="594"/>
  </cols>
  <sheetData>
    <row r="1" spans="1:10">
      <c r="A1" s="594" t="s">
        <v>2256</v>
      </c>
      <c r="B1" s="595" t="s">
        <v>618</v>
      </c>
      <c r="C1" s="595" t="s">
        <v>618</v>
      </c>
      <c r="D1" s="594" t="s">
        <v>618</v>
      </c>
    </row>
    <row r="2" spans="1:10">
      <c r="A2" s="594">
        <v>1</v>
      </c>
      <c r="B2" s="596"/>
      <c r="C2" s="596" t="s">
        <v>2257</v>
      </c>
      <c r="D2" s="594" t="s">
        <v>39</v>
      </c>
    </row>
    <row r="3" spans="1:10">
      <c r="A3" s="594">
        <v>2</v>
      </c>
      <c r="B3" s="597" t="s">
        <v>2258</v>
      </c>
      <c r="C3" s="597" t="s">
        <v>2259</v>
      </c>
      <c r="D3" s="594" t="s">
        <v>30</v>
      </c>
    </row>
    <row r="4" spans="1:10">
      <c r="A4" s="594">
        <v>3</v>
      </c>
      <c r="B4" s="597"/>
      <c r="C4" s="597" t="s">
        <v>2260</v>
      </c>
      <c r="D4" s="594" t="s">
        <v>2261</v>
      </c>
    </row>
    <row r="5" spans="1:10">
      <c r="A5" s="594">
        <v>4</v>
      </c>
      <c r="B5" s="597" t="s">
        <v>2262</v>
      </c>
      <c r="C5" s="597" t="s">
        <v>2263</v>
      </c>
      <c r="D5" s="594" t="s">
        <v>2264</v>
      </c>
    </row>
    <row r="6" spans="1:10">
      <c r="A6" s="594">
        <v>5</v>
      </c>
      <c r="B6" s="597"/>
      <c r="C6" s="597" t="s">
        <v>2260</v>
      </c>
      <c r="D6" s="594" t="s">
        <v>2264</v>
      </c>
    </row>
    <row r="7" spans="1:10">
      <c r="A7" s="594">
        <v>6</v>
      </c>
      <c r="B7" s="597" t="s">
        <v>2262</v>
      </c>
      <c r="C7" s="597" t="s">
        <v>2263</v>
      </c>
      <c r="D7" s="594" t="s">
        <v>2265</v>
      </c>
    </row>
    <row r="8" spans="1:10">
      <c r="A8" s="594">
        <v>7</v>
      </c>
      <c r="B8" s="597" t="s">
        <v>2262</v>
      </c>
      <c r="C8" s="597" t="s">
        <v>2266</v>
      </c>
      <c r="D8" s="594" t="s">
        <v>2264</v>
      </c>
    </row>
    <row r="9" spans="1:10">
      <c r="A9" s="594">
        <v>8</v>
      </c>
      <c r="B9" s="597" t="s">
        <v>39</v>
      </c>
      <c r="C9" s="597" t="s">
        <v>39</v>
      </c>
      <c r="D9" s="594" t="s">
        <v>2264</v>
      </c>
    </row>
    <row r="10" spans="1:10">
      <c r="A10" s="594">
        <v>9</v>
      </c>
      <c r="B10" s="597" t="s">
        <v>2262</v>
      </c>
      <c r="C10" s="597" t="s">
        <v>2267</v>
      </c>
      <c r="D10" s="594" t="s">
        <v>2264</v>
      </c>
    </row>
    <row r="11" spans="1:10">
      <c r="A11" s="594">
        <v>10</v>
      </c>
      <c r="B11" s="597" t="s">
        <v>30</v>
      </c>
      <c r="C11" s="597" t="s">
        <v>30</v>
      </c>
      <c r="D11" s="594" t="s">
        <v>2268</v>
      </c>
      <c r="J11" s="594" t="e">
        <f ca="1">wsname()</f>
        <v>#NAME?</v>
      </c>
    </row>
    <row r="12" spans="1:10">
      <c r="A12" s="594">
        <v>11</v>
      </c>
      <c r="B12" s="597" t="s">
        <v>2262</v>
      </c>
      <c r="C12" s="597" t="s">
        <v>2269</v>
      </c>
      <c r="D12" s="594" t="s">
        <v>2264</v>
      </c>
    </row>
    <row r="13" spans="1:10">
      <c r="A13" s="594">
        <v>12</v>
      </c>
      <c r="B13" s="597" t="s">
        <v>2261</v>
      </c>
      <c r="C13" s="597" t="s">
        <v>2261</v>
      </c>
      <c r="D13" s="594" t="s">
        <v>2270</v>
      </c>
    </row>
    <row r="14" spans="1:10">
      <c r="A14" s="594">
        <v>13</v>
      </c>
      <c r="B14" s="597" t="s">
        <v>2264</v>
      </c>
      <c r="C14" s="597" t="s">
        <v>2264</v>
      </c>
      <c r="D14" s="594" t="s">
        <v>2264</v>
      </c>
      <c r="H14" s="594" t="e">
        <f ca="1">wbname()</f>
        <v>#NAME?</v>
      </c>
    </row>
    <row r="15" spans="1:10">
      <c r="A15" s="594">
        <v>14</v>
      </c>
      <c r="B15" s="597" t="s">
        <v>2264</v>
      </c>
      <c r="C15" s="597" t="s">
        <v>2264</v>
      </c>
      <c r="D15" s="594" t="s">
        <v>2271</v>
      </c>
    </row>
    <row r="16" spans="1:10">
      <c r="A16" s="594">
        <v>15</v>
      </c>
      <c r="B16" s="597" t="s">
        <v>2265</v>
      </c>
      <c r="C16" s="597" t="s">
        <v>2265</v>
      </c>
      <c r="D16" s="594" t="s">
        <v>2272</v>
      </c>
    </row>
    <row r="17" spans="1:4">
      <c r="A17" s="594">
        <v>16</v>
      </c>
      <c r="B17" s="597"/>
      <c r="C17" s="597" t="s">
        <v>2260</v>
      </c>
      <c r="D17" s="594" t="s">
        <v>2264</v>
      </c>
    </row>
    <row r="18" spans="1:4">
      <c r="A18" s="594">
        <v>17</v>
      </c>
      <c r="B18" s="597" t="s">
        <v>2262</v>
      </c>
      <c r="C18" s="597" t="s">
        <v>2273</v>
      </c>
      <c r="D18" s="594" t="s">
        <v>2274</v>
      </c>
    </row>
    <row r="19" spans="1:4">
      <c r="A19" s="594">
        <v>18</v>
      </c>
      <c r="B19" s="597"/>
      <c r="C19" s="597" t="s">
        <v>2260</v>
      </c>
      <c r="D19" s="594" t="s">
        <v>958</v>
      </c>
    </row>
    <row r="20" spans="1:4">
      <c r="A20" s="594">
        <v>19</v>
      </c>
      <c r="B20" s="597"/>
      <c r="C20" s="597" t="s">
        <v>2260</v>
      </c>
      <c r="D20" s="594" t="s">
        <v>2275</v>
      </c>
    </row>
    <row r="21" spans="1:4">
      <c r="A21" s="594">
        <v>20</v>
      </c>
      <c r="B21" s="597"/>
      <c r="C21" s="597" t="s">
        <v>2260</v>
      </c>
      <c r="D21" s="594" t="s">
        <v>2276</v>
      </c>
    </row>
    <row r="22" spans="1:4">
      <c r="A22" s="594">
        <v>21</v>
      </c>
      <c r="B22" s="597" t="s">
        <v>2262</v>
      </c>
      <c r="C22" s="597" t="s">
        <v>2277</v>
      </c>
      <c r="D22" s="594" t="s">
        <v>983</v>
      </c>
    </row>
    <row r="23" spans="1:4">
      <c r="A23" s="594">
        <v>22</v>
      </c>
      <c r="B23" s="597" t="s">
        <v>2264</v>
      </c>
      <c r="C23" s="597" t="s">
        <v>2264</v>
      </c>
      <c r="D23" s="594" t="s">
        <v>2278</v>
      </c>
    </row>
    <row r="24" spans="1:4">
      <c r="A24" s="594">
        <v>23</v>
      </c>
      <c r="B24" s="597"/>
      <c r="C24" s="597" t="s">
        <v>2260</v>
      </c>
      <c r="D24" s="594" t="s">
        <v>2279</v>
      </c>
    </row>
    <row r="25" spans="1:4">
      <c r="A25" s="594">
        <v>24</v>
      </c>
      <c r="B25" s="597" t="s">
        <v>2264</v>
      </c>
      <c r="C25" s="597" t="s">
        <v>2264</v>
      </c>
      <c r="D25" s="594" t="s">
        <v>904</v>
      </c>
    </row>
    <row r="26" spans="1:4">
      <c r="A26" s="594">
        <v>25</v>
      </c>
      <c r="B26" s="597" t="s">
        <v>2262</v>
      </c>
      <c r="C26" s="597" t="s">
        <v>2280</v>
      </c>
      <c r="D26" s="594" t="s">
        <v>2274</v>
      </c>
    </row>
    <row r="27" spans="1:4">
      <c r="A27" s="594">
        <v>26</v>
      </c>
      <c r="B27" s="597"/>
      <c r="C27" s="597" t="s">
        <v>2260</v>
      </c>
      <c r="D27" s="594" t="s">
        <v>2281</v>
      </c>
    </row>
    <row r="28" spans="1:4">
      <c r="A28" s="594">
        <v>27</v>
      </c>
      <c r="B28" s="597" t="s">
        <v>2262</v>
      </c>
      <c r="C28" s="597" t="s">
        <v>2282</v>
      </c>
      <c r="D28" s="594" t="s">
        <v>2283</v>
      </c>
    </row>
    <row r="29" spans="1:4">
      <c r="A29" s="594">
        <v>28</v>
      </c>
      <c r="B29" s="597" t="s">
        <v>2262</v>
      </c>
      <c r="C29" s="597" t="s">
        <v>2263</v>
      </c>
      <c r="D29" s="594" t="s">
        <v>2284</v>
      </c>
    </row>
    <row r="30" spans="1:4">
      <c r="A30" s="594">
        <v>29</v>
      </c>
      <c r="B30" s="597" t="s">
        <v>2262</v>
      </c>
      <c r="C30" s="597" t="s">
        <v>2285</v>
      </c>
      <c r="D30" s="594" t="s">
        <v>2286</v>
      </c>
    </row>
    <row r="31" spans="1:4">
      <c r="A31" s="594">
        <v>30</v>
      </c>
      <c r="B31" s="597" t="s">
        <v>2264</v>
      </c>
      <c r="C31" s="597" t="s">
        <v>2264</v>
      </c>
      <c r="D31" s="594" t="s">
        <v>2287</v>
      </c>
    </row>
    <row r="32" spans="1:4">
      <c r="A32" s="594">
        <v>31</v>
      </c>
      <c r="B32" s="597" t="s">
        <v>2262</v>
      </c>
      <c r="C32" s="597" t="s">
        <v>2288</v>
      </c>
      <c r="D32" s="594" t="s">
        <v>954</v>
      </c>
    </row>
    <row r="33" spans="1:4">
      <c r="A33" s="594">
        <v>32</v>
      </c>
      <c r="B33" s="597"/>
      <c r="C33" s="597" t="s">
        <v>2260</v>
      </c>
      <c r="D33" s="594" t="s">
        <v>2264</v>
      </c>
    </row>
    <row r="34" spans="1:4">
      <c r="A34" s="594">
        <v>33</v>
      </c>
      <c r="B34" s="597" t="s">
        <v>2262</v>
      </c>
      <c r="C34" s="597" t="s">
        <v>2289</v>
      </c>
      <c r="D34" s="594" t="s">
        <v>2286</v>
      </c>
    </row>
    <row r="35" spans="1:4">
      <c r="A35" s="594">
        <v>34</v>
      </c>
      <c r="B35" s="597" t="s">
        <v>2262</v>
      </c>
      <c r="C35" s="597" t="s">
        <v>2263</v>
      </c>
      <c r="D35" s="594" t="s">
        <v>2290</v>
      </c>
    </row>
    <row r="36" spans="1:4">
      <c r="A36" s="594">
        <v>35</v>
      </c>
      <c r="B36" s="597"/>
      <c r="C36" s="597" t="s">
        <v>2260</v>
      </c>
      <c r="D36" s="594" t="s">
        <v>2291</v>
      </c>
    </row>
    <row r="37" spans="1:4">
      <c r="A37" s="594">
        <v>36</v>
      </c>
      <c r="B37" s="597" t="s">
        <v>2262</v>
      </c>
      <c r="C37" s="597" t="s">
        <v>2292</v>
      </c>
      <c r="D37" s="594" t="s">
        <v>2283</v>
      </c>
    </row>
    <row r="38" spans="1:4">
      <c r="A38" s="594">
        <v>37</v>
      </c>
      <c r="B38" s="597" t="s">
        <v>2268</v>
      </c>
      <c r="C38" s="597" t="s">
        <v>2268</v>
      </c>
      <c r="D38" s="594" t="s">
        <v>2293</v>
      </c>
    </row>
    <row r="39" spans="1:4">
      <c r="A39" s="594">
        <v>38</v>
      </c>
      <c r="B39" s="597" t="s">
        <v>2264</v>
      </c>
      <c r="C39" s="597" t="s">
        <v>2264</v>
      </c>
      <c r="D39" s="594" t="s">
        <v>2287</v>
      </c>
    </row>
    <row r="40" spans="1:4">
      <c r="A40" s="594">
        <v>39</v>
      </c>
      <c r="B40" s="597"/>
      <c r="C40" s="597" t="s">
        <v>2260</v>
      </c>
      <c r="D40" s="594" t="s">
        <v>2264</v>
      </c>
    </row>
    <row r="41" spans="1:4">
      <c r="A41" s="594">
        <v>40</v>
      </c>
      <c r="B41" s="597" t="s">
        <v>2262</v>
      </c>
      <c r="C41" s="597" t="s">
        <v>2294</v>
      </c>
      <c r="D41" s="594" t="s">
        <v>921</v>
      </c>
    </row>
    <row r="42" spans="1:4">
      <c r="A42" s="594">
        <v>41</v>
      </c>
      <c r="B42" s="597" t="s">
        <v>2262</v>
      </c>
      <c r="C42" s="597" t="s">
        <v>2285</v>
      </c>
      <c r="D42" s="594" t="s">
        <v>2295</v>
      </c>
    </row>
    <row r="43" spans="1:4">
      <c r="A43" s="594">
        <v>42</v>
      </c>
      <c r="B43" s="597"/>
      <c r="C43" s="597" t="s">
        <v>2260</v>
      </c>
      <c r="D43" s="594" t="s">
        <v>2296</v>
      </c>
    </row>
    <row r="44" spans="1:4">
      <c r="A44" s="594">
        <v>43</v>
      </c>
      <c r="B44" s="597" t="s">
        <v>2270</v>
      </c>
      <c r="C44" s="597" t="s">
        <v>2270</v>
      </c>
      <c r="D44" s="594" t="s">
        <v>2264</v>
      </c>
    </row>
    <row r="45" spans="1:4">
      <c r="A45" s="594">
        <v>44</v>
      </c>
      <c r="B45" s="597" t="s">
        <v>2262</v>
      </c>
      <c r="C45" s="597" t="s">
        <v>2297</v>
      </c>
      <c r="D45" s="594" t="s">
        <v>2298</v>
      </c>
    </row>
    <row r="46" spans="1:4">
      <c r="A46" s="594">
        <v>45</v>
      </c>
      <c r="B46" s="597"/>
      <c r="C46" s="597" t="s">
        <v>2260</v>
      </c>
      <c r="D46" s="594" t="s">
        <v>2264</v>
      </c>
    </row>
    <row r="47" spans="1:4">
      <c r="A47" s="594">
        <v>46</v>
      </c>
      <c r="B47" s="597" t="s">
        <v>2262</v>
      </c>
      <c r="C47" s="597" t="s">
        <v>2299</v>
      </c>
      <c r="D47" s="594" t="s">
        <v>2287</v>
      </c>
    </row>
    <row r="48" spans="1:4">
      <c r="A48" s="594">
        <v>47</v>
      </c>
      <c r="B48" s="597" t="s">
        <v>2262</v>
      </c>
      <c r="C48" s="597" t="s">
        <v>2300</v>
      </c>
      <c r="D48" s="594" t="s">
        <v>2301</v>
      </c>
    </row>
    <row r="49" spans="1:4">
      <c r="A49" s="594">
        <v>48</v>
      </c>
      <c r="B49" s="597" t="s">
        <v>2264</v>
      </c>
      <c r="C49" s="597" t="s">
        <v>2264</v>
      </c>
      <c r="D49" s="594" t="s">
        <v>2287</v>
      </c>
    </row>
    <row r="50" spans="1:4">
      <c r="A50" s="594">
        <v>49</v>
      </c>
      <c r="B50" s="597" t="s">
        <v>2271</v>
      </c>
      <c r="C50" s="597" t="s">
        <v>2271</v>
      </c>
      <c r="D50" s="594" t="s">
        <v>2279</v>
      </c>
    </row>
    <row r="51" spans="1:4">
      <c r="A51" s="594">
        <v>50</v>
      </c>
      <c r="B51" s="597" t="s">
        <v>2262</v>
      </c>
      <c r="C51" s="597" t="s">
        <v>2266</v>
      </c>
      <c r="D51" s="594" t="s">
        <v>2302</v>
      </c>
    </row>
    <row r="52" spans="1:4">
      <c r="A52" s="594">
        <v>51</v>
      </c>
      <c r="B52" s="597" t="s">
        <v>2272</v>
      </c>
      <c r="C52" s="597" t="s">
        <v>2272</v>
      </c>
      <c r="D52" s="594" t="s">
        <v>2291</v>
      </c>
    </row>
    <row r="53" spans="1:4">
      <c r="A53" s="594">
        <v>52</v>
      </c>
      <c r="B53" s="597" t="s">
        <v>2264</v>
      </c>
      <c r="C53" s="597" t="s">
        <v>2264</v>
      </c>
      <c r="D53" s="594" t="s">
        <v>904</v>
      </c>
    </row>
    <row r="54" spans="1:4">
      <c r="A54" s="594">
        <v>53</v>
      </c>
      <c r="B54" s="597"/>
      <c r="C54" s="597" t="s">
        <v>2260</v>
      </c>
      <c r="D54" s="594" t="s">
        <v>2264</v>
      </c>
    </row>
    <row r="55" spans="1:4">
      <c r="A55" s="594">
        <v>54</v>
      </c>
      <c r="B55" s="597" t="s">
        <v>2274</v>
      </c>
      <c r="C55" s="597" t="s">
        <v>2274</v>
      </c>
      <c r="D55" s="594" t="s">
        <v>35</v>
      </c>
    </row>
    <row r="56" spans="1:4">
      <c r="A56" s="594">
        <v>55</v>
      </c>
      <c r="B56" s="597"/>
      <c r="C56" s="597" t="s">
        <v>2260</v>
      </c>
      <c r="D56" s="594" t="s">
        <v>2270</v>
      </c>
    </row>
    <row r="57" spans="1:4">
      <c r="A57" s="594">
        <v>56</v>
      </c>
      <c r="B57" s="597" t="s">
        <v>2262</v>
      </c>
      <c r="C57" s="597" t="s">
        <v>2303</v>
      </c>
      <c r="D57" s="594" t="s">
        <v>26</v>
      </c>
    </row>
    <row r="58" spans="1:4">
      <c r="A58" s="594">
        <v>57</v>
      </c>
      <c r="B58" s="597" t="s">
        <v>958</v>
      </c>
      <c r="C58" s="597" t="s">
        <v>958</v>
      </c>
      <c r="D58" s="594" t="s">
        <v>2304</v>
      </c>
    </row>
    <row r="59" spans="1:4">
      <c r="A59" s="594">
        <v>58</v>
      </c>
      <c r="B59" s="597"/>
      <c r="C59" s="597" t="s">
        <v>2260</v>
      </c>
      <c r="D59" s="594" t="s">
        <v>893</v>
      </c>
    </row>
    <row r="60" spans="1:4">
      <c r="A60" s="594">
        <v>59</v>
      </c>
      <c r="B60" s="597" t="s">
        <v>2275</v>
      </c>
      <c r="C60" s="597" t="s">
        <v>2275</v>
      </c>
      <c r="D60" s="594" t="s">
        <v>2264</v>
      </c>
    </row>
    <row r="61" spans="1:4">
      <c r="A61" s="594">
        <v>60</v>
      </c>
      <c r="B61" s="597" t="s">
        <v>2262</v>
      </c>
      <c r="C61" s="597" t="s">
        <v>2305</v>
      </c>
      <c r="D61" s="594" t="s">
        <v>2306</v>
      </c>
    </row>
    <row r="62" spans="1:4">
      <c r="A62" s="594">
        <v>61</v>
      </c>
      <c r="B62" s="597" t="s">
        <v>2262</v>
      </c>
      <c r="C62" s="597" t="s">
        <v>2292</v>
      </c>
      <c r="D62" s="594" t="s">
        <v>26</v>
      </c>
    </row>
    <row r="63" spans="1:4">
      <c r="A63" s="594">
        <v>62</v>
      </c>
      <c r="B63" s="597"/>
      <c r="C63" s="597" t="s">
        <v>2260</v>
      </c>
      <c r="D63" s="594" t="s">
        <v>54</v>
      </c>
    </row>
    <row r="64" spans="1:4">
      <c r="A64" s="594">
        <v>63</v>
      </c>
      <c r="B64" s="597" t="s">
        <v>2262</v>
      </c>
      <c r="C64" s="597" t="s">
        <v>2307</v>
      </c>
      <c r="D64" s="594" t="s">
        <v>2264</v>
      </c>
    </row>
    <row r="65" spans="1:4">
      <c r="A65" s="594">
        <v>64</v>
      </c>
      <c r="B65" s="597" t="s">
        <v>2262</v>
      </c>
      <c r="C65" s="597" t="s">
        <v>2308</v>
      </c>
      <c r="D65" s="594" t="s">
        <v>2309</v>
      </c>
    </row>
    <row r="66" spans="1:4">
      <c r="A66" s="594">
        <v>65</v>
      </c>
      <c r="B66" s="597"/>
      <c r="C66" s="597" t="s">
        <v>2260</v>
      </c>
      <c r="D66" s="594" t="s">
        <v>2264</v>
      </c>
    </row>
    <row r="67" spans="1:4">
      <c r="A67" s="594">
        <v>66</v>
      </c>
      <c r="B67" s="597" t="s">
        <v>2262</v>
      </c>
      <c r="C67" s="597" t="s">
        <v>2297</v>
      </c>
      <c r="D67" s="594" t="s">
        <v>952</v>
      </c>
    </row>
    <row r="68" spans="1:4">
      <c r="A68" s="594">
        <v>67</v>
      </c>
      <c r="B68" s="597"/>
      <c r="C68" s="597" t="s">
        <v>2260</v>
      </c>
      <c r="D68" s="594" t="s">
        <v>2264</v>
      </c>
    </row>
    <row r="69" spans="1:4">
      <c r="A69" s="594">
        <v>68</v>
      </c>
      <c r="B69" s="597" t="s">
        <v>2262</v>
      </c>
      <c r="C69" s="597" t="s">
        <v>2307</v>
      </c>
      <c r="D69" s="594" t="s">
        <v>2310</v>
      </c>
    </row>
    <row r="70" spans="1:4">
      <c r="A70" s="594">
        <v>69</v>
      </c>
      <c r="B70" s="597" t="s">
        <v>2276</v>
      </c>
      <c r="C70" s="597" t="s">
        <v>2276</v>
      </c>
      <c r="D70" s="594" t="s">
        <v>2311</v>
      </c>
    </row>
    <row r="71" spans="1:4">
      <c r="A71" s="594">
        <v>70</v>
      </c>
      <c r="B71" s="597"/>
      <c r="C71" s="597" t="s">
        <v>2260</v>
      </c>
      <c r="D71" s="594" t="s">
        <v>950</v>
      </c>
    </row>
    <row r="72" spans="1:4">
      <c r="A72" s="594">
        <v>71</v>
      </c>
      <c r="B72" s="597" t="s">
        <v>983</v>
      </c>
      <c r="C72" s="597" t="s">
        <v>983</v>
      </c>
      <c r="D72" s="594" t="s">
        <v>939</v>
      </c>
    </row>
    <row r="73" spans="1:4">
      <c r="A73" s="594">
        <v>72</v>
      </c>
      <c r="B73" s="597"/>
      <c r="C73" s="597" t="s">
        <v>2260</v>
      </c>
      <c r="D73" s="594" t="s">
        <v>2312</v>
      </c>
    </row>
    <row r="74" spans="1:4">
      <c r="A74" s="594">
        <v>73</v>
      </c>
      <c r="B74" s="597"/>
      <c r="C74" s="597" t="s">
        <v>2260</v>
      </c>
      <c r="D74" s="594" t="s">
        <v>2313</v>
      </c>
    </row>
    <row r="75" spans="1:4">
      <c r="A75" s="594">
        <v>74</v>
      </c>
      <c r="B75" s="597" t="s">
        <v>2278</v>
      </c>
      <c r="C75" s="597" t="s">
        <v>2278</v>
      </c>
      <c r="D75" s="594" t="s">
        <v>2314</v>
      </c>
    </row>
    <row r="76" spans="1:4">
      <c r="A76" s="594">
        <v>75</v>
      </c>
      <c r="B76" s="597" t="s">
        <v>2262</v>
      </c>
      <c r="C76" s="597" t="s">
        <v>2297</v>
      </c>
      <c r="D76" s="594" t="s">
        <v>2306</v>
      </c>
    </row>
    <row r="77" spans="1:4">
      <c r="A77" s="594">
        <v>76</v>
      </c>
      <c r="B77" s="597" t="s">
        <v>2279</v>
      </c>
      <c r="C77" s="597" t="s">
        <v>2279</v>
      </c>
      <c r="D77" s="594" t="s">
        <v>37</v>
      </c>
    </row>
    <row r="78" spans="1:4">
      <c r="A78" s="594">
        <v>77</v>
      </c>
      <c r="B78" s="597" t="s">
        <v>904</v>
      </c>
      <c r="C78" s="597" t="s">
        <v>904</v>
      </c>
      <c r="D78" s="594" t="s">
        <v>35</v>
      </c>
    </row>
    <row r="79" spans="1:4">
      <c r="A79" s="594">
        <v>78</v>
      </c>
      <c r="B79" s="597" t="s">
        <v>2262</v>
      </c>
      <c r="C79" s="597" t="s">
        <v>2315</v>
      </c>
      <c r="D79" s="594" t="s">
        <v>954</v>
      </c>
    </row>
    <row r="80" spans="1:4">
      <c r="A80" s="594">
        <v>79</v>
      </c>
      <c r="B80" s="597" t="s">
        <v>2274</v>
      </c>
      <c r="C80" s="597" t="s">
        <v>2274</v>
      </c>
      <c r="D80" s="594" t="s">
        <v>2306</v>
      </c>
    </row>
    <row r="81" spans="1:4">
      <c r="A81" s="594">
        <v>80</v>
      </c>
      <c r="B81" s="597" t="s">
        <v>2262</v>
      </c>
      <c r="C81" s="597" t="s">
        <v>2316</v>
      </c>
      <c r="D81" s="594" t="s">
        <v>983</v>
      </c>
    </row>
    <row r="82" spans="1:4">
      <c r="A82" s="594">
        <v>81</v>
      </c>
      <c r="B82" s="597" t="s">
        <v>2281</v>
      </c>
      <c r="C82" s="597" t="s">
        <v>2281</v>
      </c>
      <c r="D82" s="594" t="s">
        <v>2276</v>
      </c>
    </row>
    <row r="83" spans="1:4">
      <c r="A83" s="594">
        <v>82</v>
      </c>
      <c r="B83" s="597"/>
      <c r="C83" s="597" t="s">
        <v>2260</v>
      </c>
      <c r="D83" s="594" t="s">
        <v>2287</v>
      </c>
    </row>
    <row r="84" spans="1:4">
      <c r="A84" s="594">
        <v>83</v>
      </c>
      <c r="B84" s="597"/>
      <c r="C84" s="597" t="s">
        <v>2260</v>
      </c>
      <c r="D84" s="594" t="s">
        <v>2264</v>
      </c>
    </row>
    <row r="85" spans="1:4">
      <c r="A85" s="594">
        <v>84</v>
      </c>
      <c r="B85" s="597" t="s">
        <v>2262</v>
      </c>
      <c r="C85" s="597" t="s">
        <v>2285</v>
      </c>
      <c r="D85" s="594" t="s">
        <v>2264</v>
      </c>
    </row>
    <row r="86" spans="1:4">
      <c r="A86" s="594">
        <v>85</v>
      </c>
      <c r="B86" s="597" t="s">
        <v>2262</v>
      </c>
      <c r="C86" s="597" t="s">
        <v>2285</v>
      </c>
      <c r="D86" s="594" t="s">
        <v>2306</v>
      </c>
    </row>
    <row r="87" spans="1:4">
      <c r="A87" s="594">
        <v>86</v>
      </c>
      <c r="B87" s="597" t="s">
        <v>2283</v>
      </c>
      <c r="C87" s="597" t="s">
        <v>2283</v>
      </c>
      <c r="D87" s="594" t="s">
        <v>2314</v>
      </c>
    </row>
    <row r="88" spans="1:4">
      <c r="A88" s="594">
        <v>87</v>
      </c>
      <c r="B88" s="597" t="s">
        <v>2284</v>
      </c>
      <c r="C88" s="597" t="s">
        <v>2284</v>
      </c>
      <c r="D88" s="594" t="s">
        <v>2317</v>
      </c>
    </row>
    <row r="89" spans="1:4">
      <c r="A89" s="594">
        <v>88</v>
      </c>
      <c r="B89" s="597" t="s">
        <v>2286</v>
      </c>
      <c r="C89" s="597" t="s">
        <v>2286</v>
      </c>
      <c r="D89" s="594" t="s">
        <v>2310</v>
      </c>
    </row>
    <row r="90" spans="1:4">
      <c r="A90" s="594">
        <v>89</v>
      </c>
      <c r="B90" s="597" t="s">
        <v>2287</v>
      </c>
      <c r="C90" s="597" t="s">
        <v>2287</v>
      </c>
      <c r="D90" s="594" t="s">
        <v>2272</v>
      </c>
    </row>
    <row r="91" spans="1:4">
      <c r="A91" s="594">
        <v>90</v>
      </c>
      <c r="B91" s="597" t="s">
        <v>954</v>
      </c>
      <c r="C91" s="597" t="s">
        <v>954</v>
      </c>
      <c r="D91" s="594" t="s">
        <v>2270</v>
      </c>
    </row>
    <row r="92" spans="1:4">
      <c r="A92" s="594">
        <v>91</v>
      </c>
      <c r="B92" s="597"/>
      <c r="C92" s="597" t="s">
        <v>2260</v>
      </c>
      <c r="D92" s="594" t="s">
        <v>2318</v>
      </c>
    </row>
    <row r="93" spans="1:4">
      <c r="A93" s="594">
        <v>92</v>
      </c>
      <c r="B93" s="597"/>
      <c r="C93" s="597" t="s">
        <v>2260</v>
      </c>
      <c r="D93" s="594" t="s">
        <v>893</v>
      </c>
    </row>
    <row r="94" spans="1:4">
      <c r="A94" s="594">
        <v>93</v>
      </c>
      <c r="B94" s="597" t="s">
        <v>2264</v>
      </c>
      <c r="C94" s="597" t="s">
        <v>2264</v>
      </c>
      <c r="D94" s="594" t="s">
        <v>2319</v>
      </c>
    </row>
    <row r="95" spans="1:4">
      <c r="A95" s="594">
        <v>94</v>
      </c>
      <c r="B95" s="597"/>
      <c r="C95" s="597" t="s">
        <v>2260</v>
      </c>
      <c r="D95" s="594" t="s">
        <v>2264</v>
      </c>
    </row>
    <row r="96" spans="1:4">
      <c r="A96" s="594">
        <v>95</v>
      </c>
      <c r="B96" s="597" t="s">
        <v>2286</v>
      </c>
      <c r="C96" s="597" t="s">
        <v>2286</v>
      </c>
      <c r="D96" s="594" t="s">
        <v>2264</v>
      </c>
    </row>
    <row r="97" spans="1:4">
      <c r="A97" s="594">
        <v>96</v>
      </c>
      <c r="B97" s="597" t="s">
        <v>2290</v>
      </c>
      <c r="C97" s="597" t="s">
        <v>2290</v>
      </c>
      <c r="D97" s="594" t="s">
        <v>961</v>
      </c>
    </row>
    <row r="98" spans="1:4">
      <c r="A98" s="594">
        <v>97</v>
      </c>
      <c r="B98" s="597" t="s">
        <v>2291</v>
      </c>
      <c r="C98" s="597" t="s">
        <v>2291</v>
      </c>
      <c r="D98" s="594" t="s">
        <v>2264</v>
      </c>
    </row>
    <row r="99" spans="1:4">
      <c r="A99" s="594">
        <v>98</v>
      </c>
      <c r="B99" s="597" t="s">
        <v>2262</v>
      </c>
      <c r="C99" s="597" t="s">
        <v>2267</v>
      </c>
      <c r="D99" s="594" t="s">
        <v>893</v>
      </c>
    </row>
    <row r="100" spans="1:4">
      <c r="A100" s="594">
        <v>99</v>
      </c>
      <c r="B100" s="597" t="s">
        <v>2283</v>
      </c>
      <c r="C100" s="597" t="s">
        <v>2283</v>
      </c>
      <c r="D100" s="594" t="s">
        <v>2272</v>
      </c>
    </row>
    <row r="101" spans="1:4">
      <c r="A101" s="594">
        <v>100</v>
      </c>
      <c r="B101" s="597"/>
      <c r="C101" s="597" t="s">
        <v>2260</v>
      </c>
      <c r="D101" s="594" t="s">
        <v>2320</v>
      </c>
    </row>
    <row r="102" spans="1:4">
      <c r="A102" s="594">
        <v>101</v>
      </c>
      <c r="B102" s="597" t="s">
        <v>2293</v>
      </c>
      <c r="C102" s="597" t="s">
        <v>2293</v>
      </c>
      <c r="D102" s="594" t="s">
        <v>2306</v>
      </c>
    </row>
    <row r="103" spans="1:4">
      <c r="A103" s="594">
        <v>102</v>
      </c>
      <c r="B103" s="597" t="s">
        <v>2287</v>
      </c>
      <c r="C103" s="597" t="s">
        <v>2287</v>
      </c>
      <c r="D103" s="594" t="s">
        <v>2320</v>
      </c>
    </row>
    <row r="104" spans="1:4">
      <c r="A104" s="594">
        <v>103</v>
      </c>
      <c r="B104" s="597" t="s">
        <v>2262</v>
      </c>
      <c r="C104" s="597" t="s">
        <v>2321</v>
      </c>
      <c r="D104" s="594" t="s">
        <v>27</v>
      </c>
    </row>
    <row r="105" spans="1:4">
      <c r="A105" s="594">
        <v>104</v>
      </c>
      <c r="B105" s="597" t="s">
        <v>2264</v>
      </c>
      <c r="C105" s="597" t="s">
        <v>2264</v>
      </c>
      <c r="D105" s="594" t="s">
        <v>2306</v>
      </c>
    </row>
    <row r="106" spans="1:4">
      <c r="A106" s="594">
        <v>105</v>
      </c>
      <c r="B106" s="597"/>
      <c r="C106" s="597" t="s">
        <v>2260</v>
      </c>
      <c r="D106" s="594" t="s">
        <v>2313</v>
      </c>
    </row>
    <row r="107" spans="1:4">
      <c r="A107" s="594">
        <v>106</v>
      </c>
      <c r="B107" s="597" t="s">
        <v>2262</v>
      </c>
      <c r="C107" s="597" t="s">
        <v>2322</v>
      </c>
      <c r="D107" s="594" t="s">
        <v>2323</v>
      </c>
    </row>
    <row r="108" spans="1:4">
      <c r="A108" s="594">
        <v>107</v>
      </c>
      <c r="B108" s="597" t="s">
        <v>2262</v>
      </c>
      <c r="C108" s="597" t="s">
        <v>2285</v>
      </c>
      <c r="D108" s="594" t="s">
        <v>2324</v>
      </c>
    </row>
    <row r="109" spans="1:4">
      <c r="A109" s="594">
        <v>108</v>
      </c>
      <c r="B109" s="597" t="s">
        <v>2262</v>
      </c>
      <c r="C109" s="597" t="s">
        <v>2289</v>
      </c>
      <c r="D109" s="594" t="s">
        <v>983</v>
      </c>
    </row>
    <row r="110" spans="1:4">
      <c r="A110" s="594">
        <v>109</v>
      </c>
      <c r="B110" s="597" t="s">
        <v>2262</v>
      </c>
      <c r="C110" s="597" t="s">
        <v>2325</v>
      </c>
      <c r="D110" s="594" t="s">
        <v>2296</v>
      </c>
    </row>
    <row r="111" spans="1:4">
      <c r="A111" s="594">
        <v>110</v>
      </c>
      <c r="B111" s="597"/>
      <c r="C111" s="597" t="s">
        <v>2260</v>
      </c>
      <c r="D111" s="594" t="s">
        <v>2264</v>
      </c>
    </row>
    <row r="112" spans="1:4">
      <c r="A112" s="594">
        <v>111</v>
      </c>
      <c r="B112" s="597"/>
      <c r="C112" s="597" t="s">
        <v>2260</v>
      </c>
      <c r="D112" s="594" t="s">
        <v>2281</v>
      </c>
    </row>
    <row r="113" spans="1:4">
      <c r="A113" s="594">
        <v>112</v>
      </c>
      <c r="B113" s="597" t="s">
        <v>2262</v>
      </c>
      <c r="C113" s="597" t="s">
        <v>2269</v>
      </c>
      <c r="D113" s="594" t="s">
        <v>2314</v>
      </c>
    </row>
    <row r="114" spans="1:4">
      <c r="A114" s="594">
        <v>113</v>
      </c>
      <c r="B114" s="597" t="s">
        <v>921</v>
      </c>
      <c r="C114" s="597" t="s">
        <v>921</v>
      </c>
      <c r="D114" s="594" t="s">
        <v>2314</v>
      </c>
    </row>
    <row r="115" spans="1:4">
      <c r="A115" s="594">
        <v>114</v>
      </c>
      <c r="B115" s="597" t="s">
        <v>2262</v>
      </c>
      <c r="C115" s="597" t="s">
        <v>2267</v>
      </c>
      <c r="D115" s="594" t="s">
        <v>2270</v>
      </c>
    </row>
    <row r="116" spans="1:4">
      <c r="A116" s="594">
        <v>115</v>
      </c>
      <c r="B116" s="597" t="s">
        <v>2262</v>
      </c>
      <c r="C116" s="597" t="s">
        <v>2285</v>
      </c>
      <c r="D116" s="594" t="s">
        <v>950</v>
      </c>
    </row>
    <row r="117" spans="1:4">
      <c r="A117" s="594">
        <v>116</v>
      </c>
      <c r="B117" s="597"/>
      <c r="C117" s="597" t="s">
        <v>2260</v>
      </c>
      <c r="D117" s="594" t="s">
        <v>2320</v>
      </c>
    </row>
    <row r="118" spans="1:4">
      <c r="A118" s="594">
        <v>117</v>
      </c>
      <c r="B118" s="597" t="s">
        <v>2295</v>
      </c>
      <c r="C118" s="597" t="s">
        <v>2295</v>
      </c>
      <c r="D118" s="594" t="s">
        <v>35</v>
      </c>
    </row>
    <row r="119" spans="1:4">
      <c r="A119" s="594">
        <v>118</v>
      </c>
      <c r="B119" s="597" t="s">
        <v>2296</v>
      </c>
      <c r="C119" s="597" t="s">
        <v>2296</v>
      </c>
      <c r="D119" s="594" t="s">
        <v>2326</v>
      </c>
    </row>
    <row r="120" spans="1:4">
      <c r="A120" s="594">
        <v>119</v>
      </c>
      <c r="B120" s="597" t="s">
        <v>2262</v>
      </c>
      <c r="C120" s="597" t="s">
        <v>2266</v>
      </c>
      <c r="D120" s="594" t="s">
        <v>2317</v>
      </c>
    </row>
    <row r="121" spans="1:4">
      <c r="A121" s="594">
        <v>120</v>
      </c>
      <c r="B121" s="597" t="s">
        <v>2262</v>
      </c>
      <c r="C121" s="597" t="s">
        <v>2297</v>
      </c>
      <c r="D121" s="594" t="s">
        <v>2320</v>
      </c>
    </row>
    <row r="122" spans="1:4">
      <c r="A122" s="594">
        <v>121</v>
      </c>
      <c r="B122" s="597" t="s">
        <v>2264</v>
      </c>
      <c r="C122" s="597" t="s">
        <v>2264</v>
      </c>
      <c r="D122" s="594" t="s">
        <v>2276</v>
      </c>
    </row>
    <row r="123" spans="1:4">
      <c r="A123" s="594">
        <v>122</v>
      </c>
      <c r="B123" s="597" t="s">
        <v>2298</v>
      </c>
      <c r="C123" s="597" t="s">
        <v>2298</v>
      </c>
      <c r="D123" s="594" t="s">
        <v>904</v>
      </c>
    </row>
    <row r="124" spans="1:4">
      <c r="A124" s="594">
        <v>123</v>
      </c>
      <c r="B124" s="597" t="s">
        <v>2264</v>
      </c>
      <c r="C124" s="597" t="s">
        <v>2264</v>
      </c>
      <c r="D124" s="594" t="s">
        <v>2306</v>
      </c>
    </row>
    <row r="125" spans="1:4">
      <c r="A125" s="594">
        <v>124</v>
      </c>
      <c r="B125" s="597" t="s">
        <v>2287</v>
      </c>
      <c r="C125" s="597" t="s">
        <v>2287</v>
      </c>
      <c r="D125" s="594" t="s">
        <v>2309</v>
      </c>
    </row>
    <row r="126" spans="1:4">
      <c r="A126" s="594">
        <v>125</v>
      </c>
      <c r="B126" s="597" t="s">
        <v>2301</v>
      </c>
      <c r="C126" s="597" t="s">
        <v>2301</v>
      </c>
      <c r="D126" s="594" t="s">
        <v>954</v>
      </c>
    </row>
    <row r="127" spans="1:4">
      <c r="A127" s="594">
        <v>126</v>
      </c>
      <c r="B127" s="597" t="s">
        <v>2262</v>
      </c>
      <c r="C127" s="597" t="s">
        <v>2300</v>
      </c>
      <c r="D127" s="594" t="s">
        <v>2324</v>
      </c>
    </row>
    <row r="128" spans="1:4">
      <c r="A128" s="594">
        <v>127</v>
      </c>
      <c r="B128" s="597" t="s">
        <v>2262</v>
      </c>
      <c r="C128" s="597" t="s">
        <v>2327</v>
      </c>
      <c r="D128" s="594" t="s">
        <v>2276</v>
      </c>
    </row>
    <row r="129" spans="1:4">
      <c r="A129" s="594">
        <v>128</v>
      </c>
      <c r="B129" s="597" t="s">
        <v>2287</v>
      </c>
      <c r="C129" s="597" t="s">
        <v>2287</v>
      </c>
      <c r="D129" s="594" t="s">
        <v>2287</v>
      </c>
    </row>
    <row r="130" spans="1:4">
      <c r="A130" s="594">
        <v>129</v>
      </c>
      <c r="B130" s="597" t="s">
        <v>2262</v>
      </c>
      <c r="C130" s="597" t="s">
        <v>2300</v>
      </c>
      <c r="D130" s="594" t="s">
        <v>2319</v>
      </c>
    </row>
    <row r="131" spans="1:4">
      <c r="A131" s="594">
        <v>130</v>
      </c>
      <c r="B131" s="597"/>
      <c r="C131" s="597" t="s">
        <v>2260</v>
      </c>
      <c r="D131" s="594" t="s">
        <v>2328</v>
      </c>
    </row>
    <row r="132" spans="1:4">
      <c r="A132" s="594">
        <v>131</v>
      </c>
      <c r="B132" s="597" t="s">
        <v>2262</v>
      </c>
      <c r="C132" s="597" t="s">
        <v>2285</v>
      </c>
      <c r="D132" s="594" t="s">
        <v>2270</v>
      </c>
    </row>
    <row r="133" spans="1:4">
      <c r="A133" s="594">
        <v>132</v>
      </c>
      <c r="B133" s="597" t="s">
        <v>2262</v>
      </c>
      <c r="C133" s="597" t="s">
        <v>2329</v>
      </c>
      <c r="D133" s="594" t="s">
        <v>983</v>
      </c>
    </row>
    <row r="134" spans="1:4">
      <c r="A134" s="594">
        <v>133</v>
      </c>
      <c r="B134" s="597"/>
      <c r="C134" s="597" t="s">
        <v>2260</v>
      </c>
      <c r="D134" s="594" t="s">
        <v>2320</v>
      </c>
    </row>
    <row r="135" spans="1:4">
      <c r="A135" s="594">
        <v>134</v>
      </c>
      <c r="B135" s="597"/>
      <c r="C135" s="597" t="s">
        <v>2260</v>
      </c>
      <c r="D135" s="594" t="s">
        <v>2330</v>
      </c>
    </row>
    <row r="136" spans="1:4">
      <c r="A136" s="594">
        <v>135</v>
      </c>
      <c r="B136" s="597"/>
      <c r="C136" s="597" t="s">
        <v>2260</v>
      </c>
      <c r="D136" s="594" t="s">
        <v>893</v>
      </c>
    </row>
    <row r="137" spans="1:4">
      <c r="A137" s="594">
        <v>136</v>
      </c>
      <c r="B137" s="597"/>
      <c r="C137" s="597" t="s">
        <v>2260</v>
      </c>
      <c r="D137" s="594" t="s">
        <v>954</v>
      </c>
    </row>
    <row r="138" spans="1:4">
      <c r="A138" s="594">
        <v>137</v>
      </c>
      <c r="B138" s="597" t="s">
        <v>2279</v>
      </c>
      <c r="C138" s="597" t="s">
        <v>2279</v>
      </c>
      <c r="D138" s="594" t="s">
        <v>2330</v>
      </c>
    </row>
    <row r="139" spans="1:4">
      <c r="A139" s="594">
        <v>138</v>
      </c>
      <c r="B139" s="597"/>
      <c r="C139" s="597" t="s">
        <v>2260</v>
      </c>
      <c r="D139" s="594" t="s">
        <v>2323</v>
      </c>
    </row>
    <row r="140" spans="1:4">
      <c r="A140" s="594">
        <v>139</v>
      </c>
      <c r="B140" s="597" t="s">
        <v>2262</v>
      </c>
      <c r="C140" s="597" t="s">
        <v>2331</v>
      </c>
    </row>
    <row r="141" spans="1:4">
      <c r="A141" s="594">
        <v>140</v>
      </c>
      <c r="B141" s="597"/>
      <c r="C141" s="597" t="s">
        <v>2260</v>
      </c>
    </row>
    <row r="142" spans="1:4">
      <c r="A142" s="594">
        <v>141</v>
      </c>
      <c r="B142" s="597" t="s">
        <v>2302</v>
      </c>
      <c r="C142" s="597" t="s">
        <v>2302</v>
      </c>
    </row>
    <row r="143" spans="1:4">
      <c r="A143" s="594">
        <v>142</v>
      </c>
      <c r="B143" s="597" t="s">
        <v>2262</v>
      </c>
      <c r="C143" s="597" t="s">
        <v>2332</v>
      </c>
    </row>
    <row r="144" spans="1:4">
      <c r="A144" s="594">
        <v>143</v>
      </c>
      <c r="B144" s="597" t="s">
        <v>2262</v>
      </c>
      <c r="C144" s="597" t="s">
        <v>2288</v>
      </c>
    </row>
    <row r="145" spans="1:3">
      <c r="A145" s="594">
        <v>144</v>
      </c>
      <c r="B145" s="597" t="s">
        <v>2262</v>
      </c>
      <c r="C145" s="597" t="s">
        <v>2333</v>
      </c>
    </row>
    <row r="146" spans="1:3">
      <c r="A146" s="594">
        <v>145</v>
      </c>
      <c r="B146" s="597" t="s">
        <v>2262</v>
      </c>
      <c r="C146" s="597" t="s">
        <v>2292</v>
      </c>
    </row>
    <row r="147" spans="1:3">
      <c r="A147" s="594">
        <v>146</v>
      </c>
      <c r="B147" s="597"/>
      <c r="C147" s="597" t="s">
        <v>2260</v>
      </c>
    </row>
    <row r="148" spans="1:3">
      <c r="A148" s="594">
        <v>147</v>
      </c>
      <c r="B148" s="597" t="s">
        <v>2262</v>
      </c>
      <c r="C148" s="597" t="s">
        <v>2292</v>
      </c>
    </row>
    <row r="149" spans="1:3">
      <c r="A149" s="594">
        <v>148</v>
      </c>
      <c r="B149" s="597"/>
      <c r="C149" s="597" t="s">
        <v>2260</v>
      </c>
    </row>
    <row r="150" spans="1:3">
      <c r="A150" s="594">
        <v>149</v>
      </c>
      <c r="B150" s="597" t="s">
        <v>2291</v>
      </c>
      <c r="C150" s="597" t="s">
        <v>2291</v>
      </c>
    </row>
    <row r="151" spans="1:3">
      <c r="A151" s="594">
        <v>150</v>
      </c>
      <c r="B151" s="597" t="s">
        <v>904</v>
      </c>
      <c r="C151" s="597" t="s">
        <v>904</v>
      </c>
    </row>
  </sheetData>
  <phoneticPr fontId="4" type="noConversion"/>
  <conditionalFormatting sqref="B1:C1">
    <cfRule type="containsText" dxfId="2" priority="2" stopIfTrue="1" operator="containsText" text="oth">
      <formula>NOT(ISERROR(SEARCH("oth",B1)))</formula>
    </cfRule>
  </conditionalFormatting>
  <conditionalFormatting sqref="A1:XFD1048576">
    <cfRule type="cellIs" dxfId="1" priority="1" operator="equal">
      <formula>"miss"</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95"/>
  <sheetViews>
    <sheetView showGridLines="0" topLeftCell="E57" workbookViewId="0">
      <selection activeCell="AD76" sqref="AD76"/>
    </sheetView>
  </sheetViews>
  <sheetFormatPr defaultColWidth="5.21875" defaultRowHeight="13.8"/>
  <cols>
    <col min="1" max="36" width="4.77734375" style="143" customWidth="1"/>
    <col min="37" max="16384" width="5.21875" style="143"/>
  </cols>
  <sheetData>
    <row r="1" spans="1:36" s="146" customFormat="1" ht="129" customHeight="1" thickBot="1">
      <c r="A1" s="335" t="s">
        <v>1169</v>
      </c>
      <c r="B1" s="336" t="s">
        <v>1170</v>
      </c>
      <c r="C1" s="337" t="s">
        <v>1171</v>
      </c>
      <c r="D1" s="337" t="s">
        <v>1172</v>
      </c>
      <c r="E1" s="337" t="s">
        <v>1173</v>
      </c>
      <c r="F1" s="338" t="s">
        <v>1174</v>
      </c>
      <c r="G1" s="336" t="s">
        <v>1175</v>
      </c>
      <c r="H1" s="337" t="s">
        <v>1176</v>
      </c>
      <c r="I1" s="337" t="s">
        <v>1177</v>
      </c>
      <c r="J1" s="337" t="s">
        <v>1178</v>
      </c>
      <c r="K1" s="338" t="s">
        <v>1179</v>
      </c>
      <c r="L1" s="336" t="s">
        <v>1180</v>
      </c>
      <c r="M1" s="337" t="s">
        <v>1181</v>
      </c>
      <c r="N1" s="337" t="s">
        <v>1182</v>
      </c>
      <c r="O1" s="337" t="s">
        <v>1183</v>
      </c>
      <c r="P1" s="338" t="s">
        <v>1184</v>
      </c>
      <c r="Q1" s="336" t="s">
        <v>1185</v>
      </c>
      <c r="R1" s="337" t="s">
        <v>1186</v>
      </c>
      <c r="S1" s="337" t="s">
        <v>1187</v>
      </c>
      <c r="T1" s="337" t="s">
        <v>1188</v>
      </c>
      <c r="U1" s="338" t="s">
        <v>1189</v>
      </c>
      <c r="V1" s="336" t="s">
        <v>1190</v>
      </c>
      <c r="W1" s="337" t="s">
        <v>1191</v>
      </c>
      <c r="X1" s="337" t="s">
        <v>1192</v>
      </c>
      <c r="Y1" s="337" t="s">
        <v>1193</v>
      </c>
      <c r="Z1" s="338" t="s">
        <v>1194</v>
      </c>
      <c r="AA1" s="336" t="s">
        <v>1223</v>
      </c>
      <c r="AB1" s="337" t="s">
        <v>1215</v>
      </c>
      <c r="AC1" s="337" t="s">
        <v>1216</v>
      </c>
      <c r="AD1" s="337" t="s">
        <v>1217</v>
      </c>
      <c r="AE1" s="338" t="s">
        <v>1218</v>
      </c>
      <c r="AF1" s="336" t="s">
        <v>1224</v>
      </c>
      <c r="AG1" s="337" t="s">
        <v>1219</v>
      </c>
      <c r="AH1" s="337" t="s">
        <v>1220</v>
      </c>
      <c r="AI1" s="337" t="s">
        <v>1221</v>
      </c>
      <c r="AJ1" s="338" t="s">
        <v>1222</v>
      </c>
    </row>
    <row r="2" spans="1:36">
      <c r="A2" s="339">
        <v>5</v>
      </c>
      <c r="B2" s="340">
        <v>110</v>
      </c>
      <c r="C2" s="341">
        <v>95</v>
      </c>
      <c r="D2" s="341">
        <v>80</v>
      </c>
      <c r="E2" s="341">
        <v>100</v>
      </c>
      <c r="F2" s="342">
        <v>75</v>
      </c>
      <c r="G2" s="343">
        <f>B2/SUM(B$2:B$6)</f>
        <v>0.55000000000000004</v>
      </c>
      <c r="H2" s="344">
        <f t="shared" ref="H2:K6" si="0">C2/SUM(C$2:C$6)</f>
        <v>0.47499999999999998</v>
      </c>
      <c r="I2" s="344">
        <f t="shared" si="0"/>
        <v>0.4</v>
      </c>
      <c r="J2" s="344">
        <f t="shared" si="0"/>
        <v>0.5</v>
      </c>
      <c r="K2" s="345">
        <f t="shared" si="0"/>
        <v>0.375</v>
      </c>
      <c r="L2" s="343">
        <f>($A2-B$7)^2</f>
        <v>0.48302500000000037</v>
      </c>
      <c r="M2" s="344">
        <f t="shared" ref="M2:P6" si="1">($A2-C$7)^2</f>
        <v>1.177225</v>
      </c>
      <c r="N2" s="344">
        <f t="shared" si="1"/>
        <v>1.0506249999999999</v>
      </c>
      <c r="O2" s="344">
        <f t="shared" si="1"/>
        <v>0.72249999999999936</v>
      </c>
      <c r="P2" s="345">
        <f t="shared" si="1"/>
        <v>1.4641</v>
      </c>
      <c r="Q2" s="964">
        <f>SQRT(SUMPRODUCT(G2:G6,L2:L6))</f>
        <v>0.96019529263582626</v>
      </c>
      <c r="R2" s="966">
        <f>SQRT(SUMPRODUCT(H2:H6,M2:M6))</f>
        <v>1.3144485535767461</v>
      </c>
      <c r="S2" s="966">
        <f>SQRT(SUMPRODUCT(I2:I6,N2:N6))</f>
        <v>1.1508149286483904</v>
      </c>
      <c r="T2" s="966">
        <f>SQRT(SUMPRODUCT(J2:J6,O2:O6))</f>
        <v>1.0851267207105353</v>
      </c>
      <c r="U2" s="968">
        <f>SQRT(SUMPRODUCT(K2:K6,P2:P6))</f>
        <v>1.2107435731813736</v>
      </c>
      <c r="V2" s="970">
        <f>Q2/B7</f>
        <v>0.2230418798224916</v>
      </c>
      <c r="W2" s="962">
        <f>R2/C7</f>
        <v>0.33574675698001177</v>
      </c>
      <c r="X2" s="962">
        <f t="shared" ref="X2:Z2" si="2">S2/D7</f>
        <v>0.28951318959707933</v>
      </c>
      <c r="Y2" s="962">
        <f t="shared" si="2"/>
        <v>0.26147631824350248</v>
      </c>
      <c r="Z2" s="972">
        <f t="shared" si="2"/>
        <v>0.31945740717186638</v>
      </c>
      <c r="AA2" s="974">
        <f>V2/SUM($V$2:$Z$6)</f>
        <v>0.15605676722724685</v>
      </c>
      <c r="AB2" s="962">
        <f t="shared" ref="AB2:AE2" si="3">W2/SUM($V$2:$Z$6)</f>
        <v>0.23491352181496963</v>
      </c>
      <c r="AC2" s="962">
        <f t="shared" si="3"/>
        <v>0.20256506300129012</v>
      </c>
      <c r="AD2" s="962">
        <f t="shared" si="3"/>
        <v>0.1829483725838334</v>
      </c>
      <c r="AE2" s="972">
        <f t="shared" si="3"/>
        <v>0.22351627537266</v>
      </c>
      <c r="AF2" s="980">
        <f>AA2*B7</f>
        <v>0.6718243829132976</v>
      </c>
      <c r="AG2" s="976">
        <f t="shared" ref="AG2:AJ2" si="4">AB2*C7</f>
        <v>0.91968643790560611</v>
      </c>
      <c r="AH2" s="976">
        <f t="shared" si="4"/>
        <v>0.80519612543012831</v>
      </c>
      <c r="AI2" s="976">
        <f t="shared" si="4"/>
        <v>0.75923574622290868</v>
      </c>
      <c r="AJ2" s="978">
        <f t="shared" si="4"/>
        <v>0.84712668366238142</v>
      </c>
    </row>
    <row r="3" spans="1:36">
      <c r="A3" s="346">
        <v>4</v>
      </c>
      <c r="B3" s="340">
        <v>58</v>
      </c>
      <c r="C3" s="341">
        <v>43</v>
      </c>
      <c r="D3" s="341">
        <v>70</v>
      </c>
      <c r="E3" s="341">
        <v>55</v>
      </c>
      <c r="F3" s="342">
        <v>48</v>
      </c>
      <c r="G3" s="343">
        <f t="shared" ref="G3:G6" si="5">B3/SUM(B$2:B$6)</f>
        <v>0.28999999999999998</v>
      </c>
      <c r="H3" s="344">
        <f t="shared" si="0"/>
        <v>0.215</v>
      </c>
      <c r="I3" s="344">
        <f t="shared" si="0"/>
        <v>0.35</v>
      </c>
      <c r="J3" s="344">
        <f t="shared" si="0"/>
        <v>0.27500000000000002</v>
      </c>
      <c r="K3" s="345">
        <f t="shared" si="0"/>
        <v>0.24</v>
      </c>
      <c r="L3" s="343">
        <f>($A3-B$7)^2</f>
        <v>9.302499999999983E-2</v>
      </c>
      <c r="M3" s="344">
        <f t="shared" si="1"/>
        <v>7.2249999999999936E-3</v>
      </c>
      <c r="N3" s="344">
        <f t="shared" si="1"/>
        <v>6.2499999999999557E-4</v>
      </c>
      <c r="O3" s="344">
        <f t="shared" si="1"/>
        <v>2.2500000000000107E-2</v>
      </c>
      <c r="P3" s="345">
        <f t="shared" si="1"/>
        <v>4.4099999999999986E-2</v>
      </c>
      <c r="Q3" s="964"/>
      <c r="R3" s="966"/>
      <c r="S3" s="966"/>
      <c r="T3" s="966"/>
      <c r="U3" s="968"/>
      <c r="V3" s="970"/>
      <c r="W3" s="962"/>
      <c r="X3" s="962"/>
      <c r="Y3" s="962"/>
      <c r="Z3" s="972"/>
      <c r="AA3" s="974"/>
      <c r="AB3" s="962"/>
      <c r="AC3" s="962"/>
      <c r="AD3" s="962"/>
      <c r="AE3" s="972"/>
      <c r="AF3" s="980"/>
      <c r="AG3" s="976"/>
      <c r="AH3" s="976"/>
      <c r="AI3" s="976"/>
      <c r="AJ3" s="978"/>
    </row>
    <row r="4" spans="1:36">
      <c r="A4" s="346">
        <v>3</v>
      </c>
      <c r="B4" s="340">
        <v>20</v>
      </c>
      <c r="C4" s="341">
        <v>32</v>
      </c>
      <c r="D4" s="341">
        <v>30</v>
      </c>
      <c r="E4" s="341">
        <v>30</v>
      </c>
      <c r="F4" s="342">
        <v>52</v>
      </c>
      <c r="G4" s="343">
        <f t="shared" si="5"/>
        <v>0.1</v>
      </c>
      <c r="H4" s="344">
        <f t="shared" si="0"/>
        <v>0.16</v>
      </c>
      <c r="I4" s="344">
        <f t="shared" si="0"/>
        <v>0.15</v>
      </c>
      <c r="J4" s="344">
        <f t="shared" si="0"/>
        <v>0.15</v>
      </c>
      <c r="K4" s="345">
        <f t="shared" si="0"/>
        <v>0.26</v>
      </c>
      <c r="L4" s="343">
        <f>($A4-B$7)^2</f>
        <v>1.7030249999999993</v>
      </c>
      <c r="M4" s="344">
        <f t="shared" si="1"/>
        <v>0.83722500000000011</v>
      </c>
      <c r="N4" s="344">
        <f t="shared" si="1"/>
        <v>0.95062500000000016</v>
      </c>
      <c r="O4" s="344">
        <f t="shared" si="1"/>
        <v>1.3225000000000009</v>
      </c>
      <c r="P4" s="345">
        <f t="shared" si="1"/>
        <v>0.6241000000000001</v>
      </c>
      <c r="Q4" s="964"/>
      <c r="R4" s="966"/>
      <c r="S4" s="966"/>
      <c r="T4" s="966"/>
      <c r="U4" s="968"/>
      <c r="V4" s="970"/>
      <c r="W4" s="962"/>
      <c r="X4" s="962"/>
      <c r="Y4" s="962"/>
      <c r="Z4" s="972"/>
      <c r="AA4" s="974"/>
      <c r="AB4" s="962"/>
      <c r="AC4" s="962"/>
      <c r="AD4" s="962"/>
      <c r="AE4" s="972"/>
      <c r="AF4" s="980"/>
      <c r="AG4" s="976"/>
      <c r="AH4" s="976"/>
      <c r="AI4" s="976"/>
      <c r="AJ4" s="978"/>
    </row>
    <row r="5" spans="1:36">
      <c r="A5" s="346">
        <v>2</v>
      </c>
      <c r="B5" s="340">
        <v>7</v>
      </c>
      <c r="C5" s="341">
        <v>10</v>
      </c>
      <c r="D5" s="341">
        <v>5</v>
      </c>
      <c r="E5" s="341">
        <v>5</v>
      </c>
      <c r="F5" s="342">
        <v>10</v>
      </c>
      <c r="G5" s="343">
        <f t="shared" si="5"/>
        <v>3.5000000000000003E-2</v>
      </c>
      <c r="H5" s="344">
        <f t="shared" si="0"/>
        <v>0.05</v>
      </c>
      <c r="I5" s="344">
        <f t="shared" si="0"/>
        <v>2.5000000000000001E-2</v>
      </c>
      <c r="J5" s="344">
        <f t="shared" si="0"/>
        <v>2.5000000000000001E-2</v>
      </c>
      <c r="K5" s="345">
        <f t="shared" si="0"/>
        <v>0.05</v>
      </c>
      <c r="L5" s="343">
        <f>($A5-B$7)^2</f>
        <v>5.3130249999999988</v>
      </c>
      <c r="M5" s="344">
        <f t="shared" si="1"/>
        <v>3.6672250000000002</v>
      </c>
      <c r="N5" s="344">
        <f t="shared" si="1"/>
        <v>3.9006250000000002</v>
      </c>
      <c r="O5" s="344">
        <f t="shared" si="1"/>
        <v>4.6225000000000014</v>
      </c>
      <c r="P5" s="345">
        <f t="shared" si="1"/>
        <v>3.2040999999999999</v>
      </c>
      <c r="Q5" s="964"/>
      <c r="R5" s="966"/>
      <c r="S5" s="966"/>
      <c r="T5" s="966"/>
      <c r="U5" s="968"/>
      <c r="V5" s="970"/>
      <c r="W5" s="962"/>
      <c r="X5" s="962"/>
      <c r="Y5" s="962"/>
      <c r="Z5" s="972"/>
      <c r="AA5" s="974"/>
      <c r="AB5" s="962"/>
      <c r="AC5" s="962"/>
      <c r="AD5" s="962"/>
      <c r="AE5" s="972"/>
      <c r="AF5" s="980"/>
      <c r="AG5" s="976"/>
      <c r="AH5" s="976"/>
      <c r="AI5" s="976"/>
      <c r="AJ5" s="978"/>
    </row>
    <row r="6" spans="1:36" ht="14.4" thickBot="1">
      <c r="A6" s="347">
        <v>1</v>
      </c>
      <c r="B6" s="348">
        <v>5</v>
      </c>
      <c r="C6" s="349">
        <v>20</v>
      </c>
      <c r="D6" s="349">
        <v>15</v>
      </c>
      <c r="E6" s="349">
        <v>10</v>
      </c>
      <c r="F6" s="350">
        <v>15</v>
      </c>
      <c r="G6" s="351">
        <f t="shared" si="5"/>
        <v>2.5000000000000001E-2</v>
      </c>
      <c r="H6" s="352">
        <f t="shared" si="0"/>
        <v>0.1</v>
      </c>
      <c r="I6" s="352">
        <f t="shared" si="0"/>
        <v>7.4999999999999997E-2</v>
      </c>
      <c r="J6" s="352">
        <f t="shared" si="0"/>
        <v>0.05</v>
      </c>
      <c r="K6" s="353">
        <f t="shared" si="0"/>
        <v>7.4999999999999997E-2</v>
      </c>
      <c r="L6" s="351">
        <f>($A6-B$7)^2</f>
        <v>10.923024999999997</v>
      </c>
      <c r="M6" s="352">
        <f t="shared" si="1"/>
        <v>8.4972250000000003</v>
      </c>
      <c r="N6" s="352">
        <f t="shared" si="1"/>
        <v>8.8506250000000009</v>
      </c>
      <c r="O6" s="352">
        <f t="shared" si="1"/>
        <v>9.922500000000003</v>
      </c>
      <c r="P6" s="353">
        <f t="shared" si="1"/>
        <v>7.7841000000000005</v>
      </c>
      <c r="Q6" s="965"/>
      <c r="R6" s="967"/>
      <c r="S6" s="967"/>
      <c r="T6" s="967"/>
      <c r="U6" s="969"/>
      <c r="V6" s="971"/>
      <c r="W6" s="963"/>
      <c r="X6" s="963"/>
      <c r="Y6" s="963"/>
      <c r="Z6" s="973"/>
      <c r="AA6" s="975"/>
      <c r="AB6" s="963"/>
      <c r="AC6" s="963"/>
      <c r="AD6" s="963"/>
      <c r="AE6" s="973"/>
      <c r="AF6" s="981"/>
      <c r="AG6" s="977"/>
      <c r="AH6" s="977"/>
      <c r="AI6" s="977"/>
      <c r="AJ6" s="979"/>
    </row>
    <row r="7" spans="1:36" ht="14.4" thickBot="1">
      <c r="A7" s="354"/>
      <c r="B7" s="355">
        <f>SUMPRODUCT($A$2:$A$6,B2:B6)/SUM(B2:B6)</f>
        <v>4.3049999999999997</v>
      </c>
      <c r="C7" s="355">
        <f t="shared" ref="C7:F7" si="6">SUMPRODUCT($A$2:$A$6,C2:C6)/SUM(C2:C6)</f>
        <v>3.915</v>
      </c>
      <c r="D7" s="355">
        <f t="shared" si="6"/>
        <v>3.9750000000000001</v>
      </c>
      <c r="E7" s="355">
        <f t="shared" si="6"/>
        <v>4.1500000000000004</v>
      </c>
      <c r="F7" s="355">
        <f t="shared" si="6"/>
        <v>3.79</v>
      </c>
      <c r="G7" s="354"/>
      <c r="H7" s="354"/>
      <c r="I7" s="354"/>
      <c r="J7" s="354"/>
      <c r="K7" s="354"/>
      <c r="L7" s="354"/>
      <c r="M7" s="354"/>
      <c r="N7" s="354"/>
      <c r="O7" s="354"/>
      <c r="P7" s="354"/>
      <c r="Q7" s="354"/>
      <c r="R7" s="354"/>
      <c r="S7" s="354"/>
      <c r="T7" s="354"/>
      <c r="U7" s="354"/>
      <c r="V7" s="356">
        <f>SUM(V2:Z6)</f>
        <v>1.4292355518149515</v>
      </c>
      <c r="W7" s="357"/>
      <c r="X7" s="357"/>
      <c r="Y7" s="357"/>
      <c r="Z7" s="358"/>
      <c r="AA7" s="356">
        <f>SUM(AA2:AE6)</f>
        <v>1</v>
      </c>
      <c r="AB7" s="357"/>
      <c r="AC7" s="357"/>
      <c r="AD7" s="357"/>
      <c r="AE7" s="358"/>
      <c r="AF7" s="359">
        <f>SUM(AF2:AJ6)</f>
        <v>4.0030693761343219</v>
      </c>
      <c r="AG7" s="360"/>
      <c r="AH7" s="360"/>
      <c r="AI7" s="360"/>
      <c r="AJ7" s="361"/>
    </row>
    <row r="9" spans="1:36">
      <c r="B9" s="143">
        <f>B2*A2</f>
        <v>550</v>
      </c>
      <c r="L9" s="143" t="s">
        <v>1195</v>
      </c>
    </row>
    <row r="10" spans="1:36">
      <c r="B10" s="143">
        <f t="shared" ref="B10:B14" si="7">B3*A3</f>
        <v>232</v>
      </c>
      <c r="Q10" s="362" t="s">
        <v>1196</v>
      </c>
    </row>
    <row r="11" spans="1:36">
      <c r="B11" s="143">
        <f t="shared" si="7"/>
        <v>60</v>
      </c>
      <c r="V11" s="362" t="s">
        <v>1197</v>
      </c>
      <c r="AA11" s="362" t="s">
        <v>1198</v>
      </c>
      <c r="AF11" s="362" t="s">
        <v>1199</v>
      </c>
    </row>
    <row r="12" spans="1:36">
      <c r="B12" s="143">
        <f t="shared" si="7"/>
        <v>14</v>
      </c>
      <c r="V12" s="362"/>
      <c r="AA12" s="362"/>
      <c r="AF12" s="362"/>
    </row>
    <row r="13" spans="1:36">
      <c r="B13" s="143">
        <f t="shared" si="7"/>
        <v>5</v>
      </c>
    </row>
    <row r="14" spans="1:36">
      <c r="B14" s="143">
        <f t="shared" si="7"/>
        <v>0</v>
      </c>
    </row>
    <row r="15" spans="1:36">
      <c r="B15" s="143">
        <f>SUM(B9:B13)/SUM(B2:B6)</f>
        <v>4.3049999999999997</v>
      </c>
    </row>
    <row r="16" spans="1:36">
      <c r="C16" s="143">
        <f>SUM(B9:B13)/200</f>
        <v>4.3049999999999997</v>
      </c>
    </row>
    <row r="17" spans="1:41">
      <c r="A17" s="363" t="s">
        <v>1200</v>
      </c>
      <c r="G17" s="143">
        <f>G2*L2</f>
        <v>0.2656637500000002</v>
      </c>
      <c r="H17" s="143">
        <f t="shared" ref="H17:K20" si="8">H2*M2</f>
        <v>0.55918187499999994</v>
      </c>
      <c r="I17" s="143">
        <f t="shared" si="8"/>
        <v>0.42025000000000001</v>
      </c>
      <c r="J17" s="143">
        <f t="shared" si="8"/>
        <v>0.36124999999999968</v>
      </c>
      <c r="K17" s="143">
        <f t="shared" si="8"/>
        <v>0.54903749999999996</v>
      </c>
    </row>
    <row r="18" spans="1:41">
      <c r="G18" s="143">
        <f>G3*L3</f>
        <v>2.6977249999999949E-2</v>
      </c>
      <c r="H18" s="143">
        <f t="shared" si="8"/>
        <v>1.5533749999999986E-3</v>
      </c>
      <c r="I18" s="143">
        <f t="shared" si="8"/>
        <v>2.1874999999999843E-4</v>
      </c>
      <c r="J18" s="143">
        <f t="shared" si="8"/>
        <v>6.1875000000000298E-3</v>
      </c>
      <c r="K18" s="143">
        <f t="shared" si="8"/>
        <v>1.0583999999999996E-2</v>
      </c>
    </row>
    <row r="19" spans="1:41">
      <c r="G19" s="143">
        <f>G4*L4</f>
        <v>0.17030249999999994</v>
      </c>
      <c r="H19" s="143">
        <f t="shared" si="8"/>
        <v>0.13395600000000002</v>
      </c>
      <c r="I19" s="143">
        <f t="shared" si="8"/>
        <v>0.14259375000000002</v>
      </c>
      <c r="J19" s="143">
        <f t="shared" si="8"/>
        <v>0.19837500000000013</v>
      </c>
      <c r="K19" s="143">
        <f t="shared" si="8"/>
        <v>0.16226600000000002</v>
      </c>
    </row>
    <row r="20" spans="1:41">
      <c r="G20" s="143">
        <f>G5*L5</f>
        <v>0.18595587499999996</v>
      </c>
      <c r="H20" s="143">
        <f t="shared" si="8"/>
        <v>0.18336125000000003</v>
      </c>
      <c r="I20" s="143">
        <f t="shared" si="8"/>
        <v>9.7515625000000009E-2</v>
      </c>
      <c r="J20" s="143">
        <f t="shared" si="8"/>
        <v>0.11556250000000004</v>
      </c>
      <c r="K20" s="143">
        <f t="shared" si="8"/>
        <v>0.16020500000000001</v>
      </c>
    </row>
    <row r="21" spans="1:41">
      <c r="G21" s="143">
        <f>G6*L6</f>
        <v>0.27307562499999993</v>
      </c>
      <c r="H21" s="143">
        <f t="shared" ref="H21:K21" si="9">H6*M6</f>
        <v>0.84972250000000005</v>
      </c>
      <c r="I21" s="143">
        <f t="shared" si="9"/>
        <v>0.66379687500000006</v>
      </c>
      <c r="J21" s="143">
        <f t="shared" si="9"/>
        <v>0.49612500000000015</v>
      </c>
      <c r="K21" s="143">
        <f t="shared" si="9"/>
        <v>0.58380750000000003</v>
      </c>
    </row>
    <row r="23" spans="1:41">
      <c r="G23" s="143">
        <f>SQRT(SUM(G17:G21))</f>
        <v>0.96019529263582626</v>
      </c>
      <c r="H23" s="143">
        <f t="shared" ref="H23:K23" si="10">SQRT(SUM(H17:H21))</f>
        <v>1.3144485535767461</v>
      </c>
      <c r="I23" s="143">
        <f t="shared" si="10"/>
        <v>1.1508149286483904</v>
      </c>
      <c r="J23" s="143">
        <f t="shared" si="10"/>
        <v>1.0851267207105353</v>
      </c>
      <c r="K23" s="143">
        <f t="shared" si="10"/>
        <v>1.2107435731813736</v>
      </c>
    </row>
    <row r="26" spans="1:41" ht="14.4" thickBot="1"/>
    <row r="27" spans="1:41" ht="110.4">
      <c r="A27" s="364" t="s">
        <v>1169</v>
      </c>
      <c r="B27" s="365" t="s">
        <v>1170</v>
      </c>
      <c r="C27" s="365" t="s">
        <v>1171</v>
      </c>
      <c r="D27" s="365" t="s">
        <v>1172</v>
      </c>
      <c r="E27" s="365" t="s">
        <v>1173</v>
      </c>
      <c r="F27" s="366" t="s">
        <v>1174</v>
      </c>
      <c r="G27" s="367"/>
      <c r="H27" s="364" t="s">
        <v>1201</v>
      </c>
      <c r="I27" s="365" t="s">
        <v>1202</v>
      </c>
      <c r="J27" s="365" t="s">
        <v>1203</v>
      </c>
      <c r="K27" s="366" t="s">
        <v>1204</v>
      </c>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row>
    <row r="28" spans="1:41">
      <c r="A28" s="368">
        <v>5</v>
      </c>
      <c r="B28" s="369">
        <v>110</v>
      </c>
      <c r="C28" s="369">
        <v>95</v>
      </c>
      <c r="D28" s="369">
        <v>80</v>
      </c>
      <c r="E28" s="369">
        <v>100</v>
      </c>
      <c r="F28" s="370">
        <v>75</v>
      </c>
      <c r="G28" s="367"/>
      <c r="H28" s="368">
        <v>5</v>
      </c>
      <c r="I28" s="369">
        <v>41</v>
      </c>
      <c r="J28" s="369">
        <v>20</v>
      </c>
      <c r="K28" s="370">
        <v>40</v>
      </c>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row>
    <row r="29" spans="1:41">
      <c r="A29" s="368">
        <v>4</v>
      </c>
      <c r="B29" s="369">
        <v>58</v>
      </c>
      <c r="C29" s="369">
        <v>43</v>
      </c>
      <c r="D29" s="369">
        <v>70</v>
      </c>
      <c r="E29" s="369">
        <v>55</v>
      </c>
      <c r="F29" s="370">
        <v>48</v>
      </c>
      <c r="G29" s="367"/>
      <c r="H29" s="368">
        <v>4</v>
      </c>
      <c r="I29" s="369">
        <v>45</v>
      </c>
      <c r="J29" s="369">
        <v>30</v>
      </c>
      <c r="K29" s="370">
        <v>20</v>
      </c>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row>
    <row r="30" spans="1:41">
      <c r="A30" s="368">
        <v>3</v>
      </c>
      <c r="B30" s="369">
        <v>20</v>
      </c>
      <c r="C30" s="369">
        <v>32</v>
      </c>
      <c r="D30" s="369">
        <v>30</v>
      </c>
      <c r="E30" s="369">
        <v>30</v>
      </c>
      <c r="F30" s="370">
        <v>52</v>
      </c>
      <c r="G30" s="367"/>
      <c r="H30" s="368">
        <v>3</v>
      </c>
      <c r="I30" s="369">
        <v>30</v>
      </c>
      <c r="J30" s="369">
        <v>50</v>
      </c>
      <c r="K30" s="370">
        <v>35</v>
      </c>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row>
    <row r="31" spans="1:41">
      <c r="A31" s="368">
        <v>2</v>
      </c>
      <c r="B31" s="369">
        <v>7</v>
      </c>
      <c r="C31" s="369">
        <v>10</v>
      </c>
      <c r="D31" s="369">
        <v>5</v>
      </c>
      <c r="E31" s="369">
        <v>5</v>
      </c>
      <c r="F31" s="370">
        <v>10</v>
      </c>
      <c r="G31" s="367"/>
      <c r="H31" s="368">
        <v>2</v>
      </c>
      <c r="I31" s="369">
        <v>50</v>
      </c>
      <c r="J31" s="369">
        <v>40</v>
      </c>
      <c r="K31" s="370">
        <v>60</v>
      </c>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row>
    <row r="32" spans="1:41" ht="14.4" thickBot="1">
      <c r="A32" s="371">
        <v>1</v>
      </c>
      <c r="B32" s="372">
        <v>5</v>
      </c>
      <c r="C32" s="372">
        <v>20</v>
      </c>
      <c r="D32" s="372">
        <v>15</v>
      </c>
      <c r="E32" s="372">
        <v>10</v>
      </c>
      <c r="F32" s="373">
        <v>15</v>
      </c>
      <c r="G32" s="367"/>
      <c r="H32" s="371">
        <v>1</v>
      </c>
      <c r="I32" s="372">
        <v>34</v>
      </c>
      <c r="J32" s="372">
        <v>60</v>
      </c>
      <c r="K32" s="373">
        <v>45</v>
      </c>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row>
    <row r="33" spans="1:41">
      <c r="A33" s="146"/>
      <c r="B33" s="367">
        <f>SUMPRODUCT($A$2:$A$6,B28:B32)/SUM(B28:B32)</f>
        <v>4.3049999999999997</v>
      </c>
      <c r="C33" s="367">
        <f t="shared" ref="C33:F33" si="11">SUMPRODUCT($A$2:$A$6,C28:C32)/SUM(C28:C32)</f>
        <v>3.915</v>
      </c>
      <c r="D33" s="367">
        <f t="shared" si="11"/>
        <v>3.9750000000000001</v>
      </c>
      <c r="E33" s="367">
        <f t="shared" si="11"/>
        <v>4.1500000000000004</v>
      </c>
      <c r="F33" s="367">
        <f t="shared" si="11"/>
        <v>3.79</v>
      </c>
      <c r="G33" s="146"/>
      <c r="H33" s="146"/>
      <c r="I33" s="367">
        <f>SUMPRODUCT($H$2:$H$6,I28:I32)/200</f>
        <v>0.19924999999999998</v>
      </c>
      <c r="J33" s="367">
        <f t="shared" ref="J33:K33" si="12">SUMPRODUCT($H$2:$H$6,J28:J32)/200</f>
        <v>0.15975</v>
      </c>
      <c r="K33" s="367">
        <f t="shared" si="12"/>
        <v>0.18200000000000002</v>
      </c>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row>
    <row r="34" spans="1:4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row>
    <row r="35" spans="1:41" ht="14.4" thickBot="1">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row>
    <row r="36" spans="1:41" ht="110.4">
      <c r="A36" s="364" t="s">
        <v>1205</v>
      </c>
      <c r="B36" s="365" t="s">
        <v>1206</v>
      </c>
      <c r="C36" s="365" t="s">
        <v>1207</v>
      </c>
      <c r="D36" s="365" t="s">
        <v>1208</v>
      </c>
      <c r="E36" s="366" t="s">
        <v>1209</v>
      </c>
      <c r="F36"/>
      <c r="G36" s="146"/>
      <c r="H36" s="364" t="s">
        <v>1210</v>
      </c>
      <c r="I36" s="365" t="s">
        <v>1211</v>
      </c>
      <c r="J36" s="365" t="s">
        <v>1212</v>
      </c>
      <c r="K36" s="365" t="s">
        <v>1213</v>
      </c>
      <c r="L36" s="366" t="s">
        <v>1214</v>
      </c>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row>
    <row r="37" spans="1:41">
      <c r="A37" s="368">
        <v>5</v>
      </c>
      <c r="B37" s="369">
        <v>1000</v>
      </c>
      <c r="C37" s="369">
        <v>600</v>
      </c>
      <c r="D37" s="369">
        <v>300</v>
      </c>
      <c r="E37" s="370">
        <v>700</v>
      </c>
      <c r="F37"/>
      <c r="G37" s="146"/>
      <c r="H37" s="368">
        <v>5</v>
      </c>
      <c r="I37" s="369">
        <v>850</v>
      </c>
      <c r="J37" s="369">
        <v>200</v>
      </c>
      <c r="K37" s="369">
        <v>200</v>
      </c>
      <c r="L37" s="370">
        <v>180</v>
      </c>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row>
    <row r="38" spans="1:41">
      <c r="A38" s="368">
        <v>4</v>
      </c>
      <c r="B38" s="369">
        <v>600</v>
      </c>
      <c r="C38" s="369">
        <v>800</v>
      </c>
      <c r="D38" s="369">
        <v>1200</v>
      </c>
      <c r="E38" s="370">
        <v>400</v>
      </c>
      <c r="F38"/>
      <c r="G38" s="146"/>
      <c r="H38" s="368">
        <v>4</v>
      </c>
      <c r="I38" s="369">
        <v>640</v>
      </c>
      <c r="J38" s="369">
        <v>150</v>
      </c>
      <c r="K38" s="369">
        <v>300</v>
      </c>
      <c r="L38" s="370">
        <v>500</v>
      </c>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row>
    <row r="39" spans="1:41">
      <c r="A39" s="368">
        <v>3</v>
      </c>
      <c r="B39" s="369">
        <v>200</v>
      </c>
      <c r="C39" s="369">
        <v>300</v>
      </c>
      <c r="D39" s="369">
        <v>200</v>
      </c>
      <c r="E39" s="370">
        <v>330</v>
      </c>
      <c r="F39"/>
      <c r="G39" s="146"/>
      <c r="H39" s="368">
        <v>3</v>
      </c>
      <c r="I39" s="369">
        <v>310</v>
      </c>
      <c r="J39" s="369">
        <v>200</v>
      </c>
      <c r="K39" s="369">
        <v>200</v>
      </c>
      <c r="L39" s="370">
        <v>320</v>
      </c>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row>
    <row r="40" spans="1:41">
      <c r="A40" s="368">
        <v>2</v>
      </c>
      <c r="B40" s="369">
        <v>140</v>
      </c>
      <c r="C40" s="369">
        <v>200</v>
      </c>
      <c r="D40" s="369">
        <v>100</v>
      </c>
      <c r="E40" s="370">
        <v>70</v>
      </c>
      <c r="F40"/>
      <c r="G40" s="146"/>
      <c r="H40" s="368">
        <v>2</v>
      </c>
      <c r="I40" s="369">
        <v>120</v>
      </c>
      <c r="J40" s="369">
        <v>650</v>
      </c>
      <c r="K40" s="369">
        <v>600</v>
      </c>
      <c r="L40" s="370">
        <v>400</v>
      </c>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row>
    <row r="41" spans="1:41" ht="14.4" thickBot="1">
      <c r="A41" s="371">
        <v>1</v>
      </c>
      <c r="B41" s="372">
        <v>60</v>
      </c>
      <c r="C41" s="372">
        <v>100</v>
      </c>
      <c r="D41" s="372">
        <v>200</v>
      </c>
      <c r="E41" s="373">
        <v>500</v>
      </c>
      <c r="F41" s="367"/>
      <c r="G41" s="146"/>
      <c r="H41" s="371">
        <v>1</v>
      </c>
      <c r="I41" s="372">
        <v>80</v>
      </c>
      <c r="J41" s="372">
        <v>800</v>
      </c>
      <c r="K41" s="372">
        <v>700</v>
      </c>
      <c r="L41" s="373">
        <v>600</v>
      </c>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row>
    <row r="42" spans="1:41">
      <c r="A42" s="146"/>
      <c r="B42" s="367">
        <f>SUMPRODUCT($A$11:$A$15,B37:B41)/SUM(B37:B41)</f>
        <v>0</v>
      </c>
      <c r="C42" s="367">
        <f t="shared" ref="C42:E42" si="13">SUMPRODUCT($A$11:$A$15,C37:C41)/SUM(C37:C41)</f>
        <v>0</v>
      </c>
      <c r="D42" s="367">
        <f t="shared" si="13"/>
        <v>0</v>
      </c>
      <c r="E42" s="367">
        <f t="shared" si="13"/>
        <v>0</v>
      </c>
      <c r="F42" s="146"/>
      <c r="G42" s="146"/>
      <c r="H42" s="146"/>
      <c r="I42" s="367">
        <f>SUMPRODUCT($H$11:$H$15,I37:I41)/SUM(I37:I41)</f>
        <v>0</v>
      </c>
      <c r="J42" s="367">
        <f t="shared" ref="J42:L42" si="14">SUMPRODUCT($H$11:$H$15,J37:J41)/SUM(J37:J41)</f>
        <v>0</v>
      </c>
      <c r="K42" s="367">
        <f t="shared" si="14"/>
        <v>0</v>
      </c>
      <c r="L42" s="367">
        <f t="shared" si="14"/>
        <v>0</v>
      </c>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row>
    <row r="43" spans="1:41">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row>
    <row r="44" spans="1:41">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row>
    <row r="45" spans="1:41">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row>
    <row r="46" spans="1:41" ht="14.4" thickBot="1">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row>
    <row r="47" spans="1:41" ht="110.4">
      <c r="A47" s="146"/>
      <c r="B47" s="146"/>
      <c r="C47" s="146"/>
      <c r="D47" s="146"/>
      <c r="E47" s="146"/>
      <c r="F47" s="364" t="s">
        <v>1169</v>
      </c>
      <c r="G47" s="365" t="s">
        <v>1170</v>
      </c>
      <c r="H47" s="365" t="s">
        <v>1171</v>
      </c>
      <c r="I47" s="365" t="s">
        <v>1172</v>
      </c>
      <c r="J47" s="365" t="s">
        <v>1173</v>
      </c>
      <c r="K47" s="366" t="s">
        <v>1174</v>
      </c>
      <c r="L47" s="146" t="s">
        <v>1225</v>
      </c>
      <c r="M47" s="146" t="s">
        <v>1227</v>
      </c>
      <c r="N47" s="146" t="s">
        <v>1229</v>
      </c>
      <c r="O47" s="146" t="s">
        <v>1231</v>
      </c>
      <c r="P47" s="146" t="s">
        <v>1233</v>
      </c>
      <c r="Q47" s="146" t="s">
        <v>1226</v>
      </c>
      <c r="R47" s="146" t="s">
        <v>1228</v>
      </c>
      <c r="S47" s="146" t="s">
        <v>1230</v>
      </c>
      <c r="T47" s="146" t="s">
        <v>1232</v>
      </c>
      <c r="U47" s="146" t="s">
        <v>1234</v>
      </c>
      <c r="V47" s="146" t="s">
        <v>1235</v>
      </c>
      <c r="W47" s="146" t="s">
        <v>1236</v>
      </c>
      <c r="X47" s="146" t="s">
        <v>1237</v>
      </c>
      <c r="Y47" s="146" t="s">
        <v>1254</v>
      </c>
      <c r="Z47" s="146" t="s">
        <v>1255</v>
      </c>
      <c r="AA47" s="146" t="s">
        <v>1240</v>
      </c>
      <c r="AB47" s="146" t="s">
        <v>1241</v>
      </c>
      <c r="AC47" s="146" t="s">
        <v>1242</v>
      </c>
      <c r="AD47" s="146" t="s">
        <v>1243</v>
      </c>
      <c r="AE47" s="146" t="s">
        <v>1244</v>
      </c>
      <c r="AF47" s="146" t="s">
        <v>1245</v>
      </c>
      <c r="AG47" s="146" t="s">
        <v>1246</v>
      </c>
      <c r="AH47" s="146" t="s">
        <v>1247</v>
      </c>
      <c r="AI47" s="146" t="s">
        <v>1248</v>
      </c>
      <c r="AJ47" s="146" t="s">
        <v>1249</v>
      </c>
      <c r="AK47" s="146" t="s">
        <v>1250</v>
      </c>
      <c r="AL47" s="146" t="s">
        <v>1251</v>
      </c>
      <c r="AM47" s="146" t="s">
        <v>1252</v>
      </c>
      <c r="AN47" s="146"/>
      <c r="AO47" s="146" t="s">
        <v>1253</v>
      </c>
    </row>
    <row r="48" spans="1:41">
      <c r="A48" s="146"/>
      <c r="B48" s="146"/>
      <c r="C48" s="146"/>
      <c r="D48" s="146"/>
      <c r="E48" s="146"/>
      <c r="F48" s="368">
        <v>5</v>
      </c>
      <c r="G48" s="369">
        <v>110</v>
      </c>
      <c r="H48" s="369">
        <v>95</v>
      </c>
      <c r="I48" s="369">
        <v>80</v>
      </c>
      <c r="J48" s="369">
        <v>100</v>
      </c>
      <c r="K48" s="370">
        <v>75</v>
      </c>
      <c r="L48" s="146">
        <v>0.55000000000000004</v>
      </c>
      <c r="M48" s="146">
        <v>0.47499999999999998</v>
      </c>
      <c r="N48" s="146">
        <v>0.4</v>
      </c>
      <c r="O48" s="146">
        <v>0.5</v>
      </c>
      <c r="P48" s="146">
        <v>0.375</v>
      </c>
      <c r="Q48" s="146">
        <v>0.48302500000000037</v>
      </c>
      <c r="R48" s="146">
        <v>1.177225</v>
      </c>
      <c r="S48" s="146">
        <v>1.0506249999999999</v>
      </c>
      <c r="T48" s="146">
        <v>0.72249999999999936</v>
      </c>
      <c r="U48" s="146">
        <v>1.4641</v>
      </c>
      <c r="V48" s="146"/>
      <c r="W48" s="146"/>
      <c r="X48" s="146"/>
      <c r="Y48" s="146"/>
      <c r="Z48" s="146"/>
      <c r="AA48" s="146"/>
      <c r="AB48" s="146"/>
      <c r="AC48" s="146"/>
      <c r="AD48" s="146"/>
      <c r="AE48" s="146"/>
      <c r="AF48" s="146"/>
      <c r="AG48" s="146"/>
      <c r="AH48" s="146"/>
      <c r="AI48" s="146"/>
      <c r="AJ48" s="146"/>
      <c r="AK48" s="146"/>
      <c r="AL48" s="146"/>
      <c r="AM48" s="146"/>
      <c r="AN48" s="146"/>
      <c r="AO48" s="146"/>
    </row>
    <row r="49" spans="1:41">
      <c r="A49" s="146"/>
      <c r="B49" s="146"/>
      <c r="C49" s="146"/>
      <c r="D49" s="146"/>
      <c r="E49" s="146"/>
      <c r="F49" s="368">
        <v>4</v>
      </c>
      <c r="G49" s="369">
        <v>58</v>
      </c>
      <c r="H49" s="369">
        <v>43</v>
      </c>
      <c r="I49" s="369">
        <v>70</v>
      </c>
      <c r="J49" s="369">
        <v>55</v>
      </c>
      <c r="K49" s="370">
        <v>48</v>
      </c>
      <c r="L49" s="146">
        <v>0.28999999999999998</v>
      </c>
      <c r="M49" s="146">
        <v>0.215</v>
      </c>
      <c r="N49" s="146">
        <v>0.35</v>
      </c>
      <c r="O49" s="146">
        <v>0.27500000000000002</v>
      </c>
      <c r="P49" s="146">
        <v>0.24</v>
      </c>
      <c r="Q49" s="146">
        <v>9.302499999999983E-2</v>
      </c>
      <c r="R49" s="146">
        <v>7.2249999999999936E-3</v>
      </c>
      <c r="S49" s="146">
        <v>6.2499999999999557E-4</v>
      </c>
      <c r="T49" s="146">
        <v>2.2500000000000107E-2</v>
      </c>
      <c r="U49" s="146">
        <v>4.4099999999999986E-2</v>
      </c>
      <c r="V49" s="146"/>
      <c r="W49" s="146"/>
      <c r="X49" s="146"/>
      <c r="Y49" s="146"/>
      <c r="Z49" s="146"/>
      <c r="AA49" s="146"/>
      <c r="AB49" s="146"/>
      <c r="AC49" s="146"/>
      <c r="AD49" s="146"/>
      <c r="AE49" s="146"/>
      <c r="AF49" s="146"/>
      <c r="AG49" s="146"/>
      <c r="AH49" s="146"/>
      <c r="AI49" s="146"/>
      <c r="AJ49" s="146"/>
      <c r="AK49" s="146"/>
      <c r="AL49" s="146"/>
      <c r="AM49" s="146"/>
      <c r="AN49" s="146"/>
      <c r="AO49" s="146"/>
    </row>
    <row r="50" spans="1:41">
      <c r="A50" s="146"/>
      <c r="B50" s="146"/>
      <c r="C50" s="146"/>
      <c r="D50" s="146"/>
      <c r="E50" s="146"/>
      <c r="F50" s="368">
        <v>3</v>
      </c>
      <c r="G50" s="369">
        <v>20</v>
      </c>
      <c r="H50" s="369">
        <v>32</v>
      </c>
      <c r="I50" s="369">
        <v>30</v>
      </c>
      <c r="J50" s="369">
        <v>30</v>
      </c>
      <c r="K50" s="370">
        <v>52</v>
      </c>
      <c r="L50" s="146">
        <v>0.1</v>
      </c>
      <c r="M50" s="146">
        <v>0.16</v>
      </c>
      <c r="N50" s="146">
        <v>0.15</v>
      </c>
      <c r="O50" s="146">
        <v>0.15</v>
      </c>
      <c r="P50" s="146">
        <v>0.26</v>
      </c>
      <c r="Q50" s="146">
        <v>1.7030249999999993</v>
      </c>
      <c r="R50" s="146">
        <v>0.83722500000000011</v>
      </c>
      <c r="S50" s="146">
        <v>0.95062500000000016</v>
      </c>
      <c r="T50" s="146">
        <v>1.3225000000000009</v>
      </c>
      <c r="U50" s="146">
        <v>0.6241000000000001</v>
      </c>
      <c r="V50" s="146"/>
      <c r="W50" s="146"/>
      <c r="X50" s="146"/>
      <c r="Y50" s="146"/>
      <c r="Z50" s="146"/>
      <c r="AA50" s="146"/>
      <c r="AB50" s="146"/>
      <c r="AC50" s="146"/>
      <c r="AD50" s="146"/>
      <c r="AE50" s="146"/>
      <c r="AF50" s="146"/>
      <c r="AG50" s="146"/>
      <c r="AH50" s="146"/>
      <c r="AI50" s="146"/>
      <c r="AJ50" s="146"/>
      <c r="AK50" s="146"/>
      <c r="AL50" s="146"/>
      <c r="AM50" s="146"/>
      <c r="AN50" s="146"/>
      <c r="AO50" s="146"/>
    </row>
    <row r="51" spans="1:41">
      <c r="A51" s="146"/>
      <c r="B51" s="146"/>
      <c r="C51" s="146"/>
      <c r="D51" s="146"/>
      <c r="E51" s="146"/>
      <c r="F51" s="368">
        <v>2</v>
      </c>
      <c r="G51" s="369">
        <v>7</v>
      </c>
      <c r="H51" s="369">
        <v>10</v>
      </c>
      <c r="I51" s="369">
        <v>5</v>
      </c>
      <c r="J51" s="369">
        <v>5</v>
      </c>
      <c r="K51" s="370">
        <v>10</v>
      </c>
      <c r="L51" s="146">
        <v>3.5000000000000003E-2</v>
      </c>
      <c r="M51" s="146">
        <v>0.05</v>
      </c>
      <c r="N51" s="146">
        <v>2.5000000000000001E-2</v>
      </c>
      <c r="O51" s="146">
        <v>2.5000000000000001E-2</v>
      </c>
      <c r="P51" s="146">
        <v>0.05</v>
      </c>
      <c r="Q51" s="146">
        <v>5.3130249999999988</v>
      </c>
      <c r="R51" s="146">
        <v>3.6672250000000002</v>
      </c>
      <c r="S51" s="146">
        <v>3.9006250000000002</v>
      </c>
      <c r="T51" s="146">
        <v>4.6225000000000014</v>
      </c>
      <c r="U51" s="146">
        <v>3.2040999999999999</v>
      </c>
      <c r="V51" s="146"/>
      <c r="W51" s="146"/>
      <c r="X51" s="146"/>
      <c r="Y51" s="146"/>
      <c r="Z51" s="146"/>
      <c r="AA51" s="146"/>
      <c r="AB51" s="146"/>
      <c r="AC51" s="146"/>
      <c r="AD51" s="146"/>
      <c r="AE51" s="146"/>
      <c r="AF51" s="146"/>
      <c r="AG51" s="146"/>
      <c r="AH51" s="146"/>
      <c r="AI51" s="146"/>
      <c r="AJ51" s="146"/>
      <c r="AK51" s="146"/>
      <c r="AL51" s="146"/>
      <c r="AM51" s="146"/>
      <c r="AN51" s="146"/>
      <c r="AO51" s="146"/>
    </row>
    <row r="52" spans="1:41" ht="14.4" thickBot="1">
      <c r="A52" s="146"/>
      <c r="B52" s="146"/>
      <c r="C52" s="146"/>
      <c r="D52" s="146"/>
      <c r="E52" s="146"/>
      <c r="F52" s="371">
        <v>1</v>
      </c>
      <c r="G52" s="372">
        <v>5</v>
      </c>
      <c r="H52" s="372">
        <v>20</v>
      </c>
      <c r="I52" s="372">
        <v>15</v>
      </c>
      <c r="J52" s="372">
        <v>10</v>
      </c>
      <c r="K52" s="373">
        <v>15</v>
      </c>
      <c r="L52" s="146">
        <v>2.5000000000000001E-2</v>
      </c>
      <c r="M52" s="146">
        <v>0.1</v>
      </c>
      <c r="N52" s="146">
        <v>7.4999999999999997E-2</v>
      </c>
      <c r="O52" s="146">
        <v>0.05</v>
      </c>
      <c r="P52" s="146">
        <v>7.4999999999999997E-2</v>
      </c>
      <c r="Q52" s="146">
        <v>10.923024999999997</v>
      </c>
      <c r="R52" s="146">
        <v>8.4972250000000003</v>
      </c>
      <c r="S52" s="146">
        <v>8.8506250000000009</v>
      </c>
      <c r="T52" s="146">
        <v>9.922500000000003</v>
      </c>
      <c r="U52" s="146">
        <v>7.7841000000000005</v>
      </c>
      <c r="V52" s="146"/>
      <c r="W52" s="146"/>
      <c r="X52" s="146"/>
      <c r="Y52" s="146"/>
      <c r="Z52" s="146"/>
      <c r="AA52" s="146"/>
      <c r="AB52" s="146"/>
      <c r="AC52" s="146"/>
      <c r="AD52" s="146"/>
      <c r="AE52" s="146"/>
      <c r="AF52" s="146"/>
      <c r="AG52" s="146"/>
      <c r="AH52" s="146"/>
      <c r="AI52" s="146"/>
      <c r="AJ52" s="146"/>
      <c r="AK52" s="146"/>
      <c r="AL52" s="146"/>
      <c r="AM52" s="146"/>
      <c r="AN52" s="146"/>
      <c r="AO52" s="146"/>
    </row>
    <row r="53" spans="1:41">
      <c r="A53" s="146"/>
      <c r="B53" s="146"/>
      <c r="C53" s="146"/>
      <c r="D53" s="146"/>
      <c r="E53" s="146"/>
      <c r="F53" s="146"/>
      <c r="G53" s="146">
        <v>4.3049999999999997</v>
      </c>
      <c r="H53" s="146">
        <v>3.915</v>
      </c>
      <c r="I53" s="146">
        <v>3.9750000000000001</v>
      </c>
      <c r="J53" s="146">
        <v>4.1500000000000004</v>
      </c>
      <c r="K53" s="146">
        <v>3.79</v>
      </c>
      <c r="L53" s="146"/>
      <c r="M53" s="146"/>
      <c r="N53" s="146"/>
      <c r="O53" s="146"/>
      <c r="P53" s="146"/>
      <c r="Q53" s="146"/>
      <c r="R53" s="146"/>
      <c r="S53" s="146"/>
      <c r="T53" s="146"/>
      <c r="U53" s="146"/>
      <c r="V53" s="146">
        <v>0.96019529263582626</v>
      </c>
      <c r="W53" s="146">
        <v>1.3144485535767461</v>
      </c>
      <c r="X53" s="146">
        <v>1.1508149286483904</v>
      </c>
      <c r="Y53" s="146">
        <v>0.2230418798224916</v>
      </c>
      <c r="Z53" s="146">
        <v>0.33574675698001177</v>
      </c>
      <c r="AA53" s="146">
        <v>0.28951318959707933</v>
      </c>
      <c r="AB53" s="146">
        <v>0.26147631824350248</v>
      </c>
      <c r="AC53" s="146">
        <v>0.31945740717186638</v>
      </c>
      <c r="AD53" s="146">
        <v>0.15605676722724685</v>
      </c>
      <c r="AE53" s="146">
        <v>0.23491352181496963</v>
      </c>
      <c r="AF53" s="146">
        <v>0.20256506300129012</v>
      </c>
      <c r="AG53" s="146">
        <v>0.1829483725838334</v>
      </c>
      <c r="AH53" s="146">
        <v>0.22351627537266</v>
      </c>
      <c r="AI53" s="146">
        <v>0.6718243829132976</v>
      </c>
      <c r="AJ53" s="146">
        <v>0.91968643790560611</v>
      </c>
      <c r="AK53" s="146">
        <v>0.80519612543012831</v>
      </c>
      <c r="AL53" s="146">
        <v>0.75923574622290868</v>
      </c>
      <c r="AM53" s="146">
        <v>0.84712668366238142</v>
      </c>
      <c r="AN53" s="146"/>
      <c r="AO53" s="146">
        <v>4.0030693761343219</v>
      </c>
    </row>
    <row r="54" spans="1:41" ht="14.4" thickBot="1">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row>
    <row r="55" spans="1:41" ht="110.4">
      <c r="A55" s="146"/>
      <c r="B55" s="146"/>
      <c r="C55" s="146"/>
      <c r="D55" s="146"/>
      <c r="E55" s="146"/>
      <c r="F55" s="364" t="s">
        <v>1201</v>
      </c>
      <c r="G55" s="365" t="s">
        <v>1202</v>
      </c>
      <c r="H55" s="365" t="s">
        <v>1203</v>
      </c>
      <c r="I55" s="366" t="s">
        <v>1204</v>
      </c>
      <c r="J55" s="146" t="s">
        <v>1225</v>
      </c>
      <c r="K55" s="146" t="s">
        <v>1227</v>
      </c>
      <c r="L55" s="146" t="s">
        <v>1229</v>
      </c>
      <c r="M55" s="146" t="s">
        <v>1226</v>
      </c>
      <c r="N55" s="146" t="s">
        <v>1228</v>
      </c>
      <c r="O55" s="146" t="s">
        <v>1230</v>
      </c>
      <c r="P55" s="146" t="s">
        <v>1235</v>
      </c>
      <c r="Q55" s="146" t="s">
        <v>1238</v>
      </c>
      <c r="R55" s="146" t="s">
        <v>1239</v>
      </c>
      <c r="S55" s="146" t="s">
        <v>1240</v>
      </c>
      <c r="T55" s="146" t="s">
        <v>1243</v>
      </c>
      <c r="U55" s="146" t="s">
        <v>1244</v>
      </c>
      <c r="V55" s="146" t="s">
        <v>1245</v>
      </c>
      <c r="W55" s="146" t="s">
        <v>1248</v>
      </c>
      <c r="X55" s="146" t="s">
        <v>1249</v>
      </c>
      <c r="Y55" s="146" t="s">
        <v>1250</v>
      </c>
      <c r="Z55" s="146"/>
      <c r="AA55" s="146" t="s">
        <v>1253</v>
      </c>
      <c r="AB55" s="146"/>
      <c r="AC55" s="146"/>
      <c r="AD55" s="146"/>
      <c r="AE55" s="146"/>
      <c r="AF55" s="146"/>
      <c r="AG55" s="146"/>
      <c r="AH55" s="146"/>
      <c r="AI55" s="146"/>
      <c r="AJ55" s="146"/>
      <c r="AK55" s="146"/>
      <c r="AL55" s="146"/>
      <c r="AM55" s="146"/>
      <c r="AN55" s="146"/>
      <c r="AO55" s="146"/>
    </row>
    <row r="56" spans="1:41">
      <c r="A56" s="146"/>
      <c r="B56" s="146"/>
      <c r="C56" s="146"/>
      <c r="D56" s="146"/>
      <c r="E56" s="146"/>
      <c r="F56" s="368">
        <v>5</v>
      </c>
      <c r="G56" s="369">
        <v>41</v>
      </c>
      <c r="H56" s="369">
        <v>20</v>
      </c>
      <c r="I56" s="370">
        <v>40</v>
      </c>
      <c r="J56" s="146">
        <v>0.20499999999999999</v>
      </c>
      <c r="K56" s="146">
        <v>0.1</v>
      </c>
      <c r="L56" s="146">
        <v>0.2</v>
      </c>
      <c r="M56" s="146">
        <v>3.8220250000000004</v>
      </c>
      <c r="N56" s="146">
        <v>6.0025000000000013</v>
      </c>
      <c r="O56" s="146">
        <v>5.0625</v>
      </c>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row>
    <row r="57" spans="1:41">
      <c r="A57" s="146"/>
      <c r="B57" s="146"/>
      <c r="C57" s="146"/>
      <c r="D57" s="146"/>
      <c r="E57" s="146"/>
      <c r="F57" s="368">
        <v>4</v>
      </c>
      <c r="G57" s="369">
        <v>45</v>
      </c>
      <c r="H57" s="369">
        <v>30</v>
      </c>
      <c r="I57" s="370">
        <v>20</v>
      </c>
      <c r="J57" s="146">
        <v>0.22500000000000001</v>
      </c>
      <c r="K57" s="146">
        <v>0.15</v>
      </c>
      <c r="L57" s="146">
        <v>0.1</v>
      </c>
      <c r="M57" s="146">
        <v>0.91202500000000009</v>
      </c>
      <c r="N57" s="146">
        <v>2.1025000000000005</v>
      </c>
      <c r="O57" s="146">
        <v>1.5625</v>
      </c>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row>
    <row r="58" spans="1:41">
      <c r="A58" s="146"/>
      <c r="B58" s="146"/>
      <c r="C58" s="146"/>
      <c r="D58" s="146"/>
      <c r="E58" s="146"/>
      <c r="F58" s="368">
        <v>3</v>
      </c>
      <c r="G58" s="369">
        <v>30</v>
      </c>
      <c r="H58" s="369">
        <v>50</v>
      </c>
      <c r="I58" s="370">
        <v>35</v>
      </c>
      <c r="J58" s="146">
        <v>0.15</v>
      </c>
      <c r="K58" s="146">
        <v>0.25</v>
      </c>
      <c r="L58" s="146">
        <v>0.17499999999999999</v>
      </c>
      <c r="M58" s="146">
        <v>2.0249999999999938E-3</v>
      </c>
      <c r="N58" s="146">
        <v>0.20250000000000015</v>
      </c>
      <c r="O58" s="146">
        <v>6.25E-2</v>
      </c>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row>
    <row r="59" spans="1:41">
      <c r="A59" s="146"/>
      <c r="B59" s="146"/>
      <c r="C59" s="146"/>
      <c r="D59" s="146"/>
      <c r="E59" s="146"/>
      <c r="F59" s="368">
        <v>2</v>
      </c>
      <c r="G59" s="369">
        <v>50</v>
      </c>
      <c r="H59" s="369">
        <v>40</v>
      </c>
      <c r="I59" s="370">
        <v>60</v>
      </c>
      <c r="J59" s="146">
        <v>0.25</v>
      </c>
      <c r="K59" s="146">
        <v>0.2</v>
      </c>
      <c r="L59" s="146">
        <v>0.3</v>
      </c>
      <c r="M59" s="146">
        <v>1.0920249999999998</v>
      </c>
      <c r="N59" s="146">
        <v>0.30249999999999982</v>
      </c>
      <c r="O59" s="146">
        <v>0.5625</v>
      </c>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row>
    <row r="60" spans="1:41" ht="14.4" thickBot="1">
      <c r="A60" s="146"/>
      <c r="B60" s="146"/>
      <c r="C60" s="146"/>
      <c r="D60" s="146"/>
      <c r="E60" s="146"/>
      <c r="F60" s="371">
        <v>1</v>
      </c>
      <c r="G60" s="372">
        <v>34</v>
      </c>
      <c r="H60" s="372">
        <v>60</v>
      </c>
      <c r="I60" s="373">
        <v>45</v>
      </c>
      <c r="J60" s="146">
        <v>0.17</v>
      </c>
      <c r="K60" s="146">
        <v>0.3</v>
      </c>
      <c r="L60" s="146">
        <v>0.22500000000000001</v>
      </c>
      <c r="M60" s="146">
        <v>4.1820249999999994</v>
      </c>
      <c r="N60" s="146">
        <v>2.4024999999999994</v>
      </c>
      <c r="O60" s="146">
        <v>3.0625</v>
      </c>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row>
    <row r="61" spans="1:41">
      <c r="A61" s="146"/>
      <c r="B61" s="146"/>
      <c r="C61" s="146"/>
      <c r="D61" s="146"/>
      <c r="E61" s="146"/>
      <c r="F61" s="146"/>
      <c r="G61" s="146">
        <v>3.0449999999999999</v>
      </c>
      <c r="H61" s="146">
        <v>2.5499999999999998</v>
      </c>
      <c r="I61" s="146">
        <v>2.75</v>
      </c>
      <c r="J61" s="146"/>
      <c r="K61" s="146"/>
      <c r="L61" s="146"/>
      <c r="M61" s="146"/>
      <c r="N61" s="146"/>
      <c r="O61" s="146"/>
      <c r="P61" s="146">
        <v>1.4046262848174242</v>
      </c>
      <c r="Q61" s="146">
        <v>0.46128942030128878</v>
      </c>
      <c r="R61" s="146">
        <v>0.51840408103538382</v>
      </c>
      <c r="S61" s="146">
        <v>0.5190582699498254</v>
      </c>
      <c r="T61" s="146">
        <v>0.30778240208872437</v>
      </c>
      <c r="U61" s="146">
        <v>0.34589055437138622</v>
      </c>
      <c r="V61" s="146">
        <v>0.34632704353988947</v>
      </c>
      <c r="W61" s="146">
        <v>0.93719741436016568</v>
      </c>
      <c r="X61" s="146">
        <v>0.88202091364703483</v>
      </c>
      <c r="Y61" s="146">
        <v>0.95239936973469608</v>
      </c>
      <c r="Z61" s="146"/>
      <c r="AA61" s="146">
        <v>2.7716176977418967</v>
      </c>
      <c r="AB61" s="146"/>
      <c r="AC61" s="146"/>
      <c r="AD61" s="146"/>
      <c r="AE61" s="146"/>
      <c r="AF61" s="146"/>
      <c r="AG61" s="146"/>
      <c r="AH61" s="146"/>
      <c r="AI61" s="146"/>
      <c r="AJ61" s="146"/>
      <c r="AK61" s="146"/>
      <c r="AL61" s="146"/>
      <c r="AM61" s="146"/>
      <c r="AN61" s="146"/>
      <c r="AO61" s="146"/>
    </row>
    <row r="62" spans="1:41" ht="14.4" thickBo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row>
    <row r="63" spans="1:41" ht="110.4">
      <c r="A63" s="146"/>
      <c r="B63" s="146"/>
      <c r="C63" s="146"/>
      <c r="D63" s="146"/>
      <c r="E63" s="146"/>
      <c r="F63" s="364" t="s">
        <v>1205</v>
      </c>
      <c r="G63" s="365" t="s">
        <v>1206</v>
      </c>
      <c r="H63" s="365" t="s">
        <v>1207</v>
      </c>
      <c r="I63" s="365" t="s">
        <v>1208</v>
      </c>
      <c r="J63" s="366" t="s">
        <v>1209</v>
      </c>
      <c r="K63" s="146" t="s">
        <v>1225</v>
      </c>
      <c r="L63" s="146" t="s">
        <v>1227</v>
      </c>
      <c r="M63" s="146" t="s">
        <v>1229</v>
      </c>
      <c r="N63" s="146" t="s">
        <v>1231</v>
      </c>
      <c r="O63" s="146" t="s">
        <v>1226</v>
      </c>
      <c r="P63" s="146" t="s">
        <v>1228</v>
      </c>
      <c r="Q63" s="146" t="s">
        <v>1230</v>
      </c>
      <c r="R63" s="146" t="s">
        <v>1232</v>
      </c>
      <c r="S63" s="146" t="s">
        <v>1235</v>
      </c>
      <c r="T63" s="146" t="s">
        <v>1236</v>
      </c>
      <c r="U63" s="146" t="s">
        <v>1238</v>
      </c>
      <c r="V63" s="146" t="s">
        <v>1239</v>
      </c>
      <c r="W63" s="146" t="s">
        <v>1240</v>
      </c>
      <c r="X63" s="146" t="s">
        <v>1241</v>
      </c>
      <c r="Y63" s="146" t="s">
        <v>1243</v>
      </c>
      <c r="Z63" s="146" t="s">
        <v>1244</v>
      </c>
      <c r="AA63" s="146" t="s">
        <v>1245</v>
      </c>
      <c r="AB63" s="146" t="s">
        <v>1246</v>
      </c>
      <c r="AC63" s="146" t="s">
        <v>1248</v>
      </c>
      <c r="AD63" s="146" t="s">
        <v>1249</v>
      </c>
      <c r="AE63" s="146" t="s">
        <v>1250</v>
      </c>
      <c r="AF63" s="146" t="s">
        <v>1251</v>
      </c>
      <c r="AG63" s="146"/>
      <c r="AH63" s="146" t="s">
        <v>1253</v>
      </c>
      <c r="AI63" s="146"/>
      <c r="AJ63" s="146"/>
      <c r="AK63" s="146"/>
      <c r="AL63" s="146"/>
      <c r="AM63" s="146"/>
      <c r="AN63" s="146"/>
      <c r="AO63" s="146"/>
    </row>
    <row r="64" spans="1:41">
      <c r="A64" s="146"/>
      <c r="B64" s="146"/>
      <c r="C64" s="146"/>
      <c r="D64" s="146"/>
      <c r="E64" s="146"/>
      <c r="F64" s="368">
        <v>5</v>
      </c>
      <c r="G64" s="369">
        <v>1000</v>
      </c>
      <c r="H64" s="369">
        <v>600</v>
      </c>
      <c r="I64" s="369">
        <v>300</v>
      </c>
      <c r="J64" s="370">
        <v>700</v>
      </c>
      <c r="K64" s="146">
        <v>0.5</v>
      </c>
      <c r="L64" s="146">
        <v>0.3</v>
      </c>
      <c r="M64" s="146">
        <v>0.15</v>
      </c>
      <c r="N64" s="146">
        <v>0.35</v>
      </c>
      <c r="O64" s="146">
        <v>0.68890000000000007</v>
      </c>
      <c r="P64" s="146">
        <v>1.4400000000000004</v>
      </c>
      <c r="Q64" s="146">
        <v>1.8225000000000002</v>
      </c>
      <c r="R64" s="146">
        <v>2.6732249999999995</v>
      </c>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row>
    <row r="65" spans="1:41">
      <c r="A65" s="146"/>
      <c r="B65" s="146"/>
      <c r="C65" s="146"/>
      <c r="D65" s="146"/>
      <c r="E65" s="146"/>
      <c r="F65" s="368">
        <v>4</v>
      </c>
      <c r="G65" s="369">
        <v>600</v>
      </c>
      <c r="H65" s="369">
        <v>800</v>
      </c>
      <c r="I65" s="369">
        <v>1200</v>
      </c>
      <c r="J65" s="370">
        <v>400</v>
      </c>
      <c r="K65" s="146">
        <v>0.3</v>
      </c>
      <c r="L65" s="146">
        <v>0.4</v>
      </c>
      <c r="M65" s="146">
        <v>0.6</v>
      </c>
      <c r="N65" s="146">
        <v>0.2</v>
      </c>
      <c r="O65" s="146">
        <v>2.8899999999999974E-2</v>
      </c>
      <c r="P65" s="146">
        <v>4.000000000000007E-2</v>
      </c>
      <c r="Q65" s="146">
        <v>0.12250000000000007</v>
      </c>
      <c r="R65" s="146">
        <v>0.40322499999999972</v>
      </c>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row>
    <row r="66" spans="1:41">
      <c r="A66" s="146"/>
      <c r="B66" s="146"/>
      <c r="C66" s="146"/>
      <c r="D66" s="146"/>
      <c r="E66" s="146"/>
      <c r="F66" s="368">
        <v>3</v>
      </c>
      <c r="G66" s="369">
        <v>200</v>
      </c>
      <c r="H66" s="369">
        <v>300</v>
      </c>
      <c r="I66" s="369">
        <v>200</v>
      </c>
      <c r="J66" s="370">
        <v>330</v>
      </c>
      <c r="K66" s="146">
        <v>0.1</v>
      </c>
      <c r="L66" s="146">
        <v>0.15</v>
      </c>
      <c r="M66" s="146">
        <v>0.1</v>
      </c>
      <c r="N66" s="146">
        <v>0.16500000000000001</v>
      </c>
      <c r="O66" s="146">
        <v>1.3688999999999998</v>
      </c>
      <c r="P66" s="146">
        <v>0.63999999999999968</v>
      </c>
      <c r="Q66" s="146">
        <v>0.42249999999999988</v>
      </c>
      <c r="R66" s="146">
        <v>0.13322500000000015</v>
      </c>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row>
    <row r="67" spans="1:41">
      <c r="A67" s="146"/>
      <c r="B67" s="146"/>
      <c r="C67" s="146"/>
      <c r="D67" s="146"/>
      <c r="E67" s="146"/>
      <c r="F67" s="368">
        <v>2</v>
      </c>
      <c r="G67" s="369">
        <v>140</v>
      </c>
      <c r="H67" s="369">
        <v>200</v>
      </c>
      <c r="I67" s="369">
        <v>100</v>
      </c>
      <c r="J67" s="370">
        <v>70</v>
      </c>
      <c r="K67" s="146">
        <v>7.0000000000000007E-2</v>
      </c>
      <c r="L67" s="146">
        <v>0.1</v>
      </c>
      <c r="M67" s="146">
        <v>0.05</v>
      </c>
      <c r="N67" s="146">
        <v>3.5000000000000003E-2</v>
      </c>
      <c r="O67" s="146">
        <v>4.7088999999999999</v>
      </c>
      <c r="P67" s="146">
        <v>3.2399999999999993</v>
      </c>
      <c r="Q67" s="146">
        <v>2.7224999999999997</v>
      </c>
      <c r="R67" s="146">
        <v>1.8632250000000006</v>
      </c>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row>
    <row r="68" spans="1:41" ht="14.4" thickBot="1">
      <c r="A68" s="146"/>
      <c r="B68" s="146"/>
      <c r="C68" s="146"/>
      <c r="D68" s="146"/>
      <c r="E68" s="146"/>
      <c r="F68" s="371">
        <v>1</v>
      </c>
      <c r="G68" s="372">
        <v>60</v>
      </c>
      <c r="H68" s="372">
        <v>100</v>
      </c>
      <c r="I68" s="372">
        <v>200</v>
      </c>
      <c r="J68" s="373">
        <v>500</v>
      </c>
      <c r="K68" s="146">
        <v>0.03</v>
      </c>
      <c r="L68" s="146">
        <v>0.05</v>
      </c>
      <c r="M68" s="146">
        <v>0.1</v>
      </c>
      <c r="N68" s="146">
        <v>0.25</v>
      </c>
      <c r="O68" s="146">
        <v>10.0489</v>
      </c>
      <c r="P68" s="146">
        <v>7.839999999999999</v>
      </c>
      <c r="Q68" s="146">
        <v>7.0225</v>
      </c>
      <c r="R68" s="146">
        <v>5.5932250000000012</v>
      </c>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row>
    <row r="69" spans="1:41">
      <c r="A69" s="146"/>
      <c r="B69" s="146"/>
      <c r="C69" s="146"/>
      <c r="D69" s="146"/>
      <c r="E69" s="146"/>
      <c r="F69" s="146"/>
      <c r="G69" s="146">
        <v>4.17</v>
      </c>
      <c r="H69" s="146">
        <v>3.8</v>
      </c>
      <c r="I69" s="146">
        <v>3.65</v>
      </c>
      <c r="J69" s="146">
        <v>3.3650000000000002</v>
      </c>
      <c r="K69" s="146"/>
      <c r="L69" s="146"/>
      <c r="M69" s="146"/>
      <c r="N69" s="146"/>
      <c r="O69" s="146"/>
      <c r="P69" s="146"/>
      <c r="Q69" s="146"/>
      <c r="R69" s="146"/>
      <c r="S69" s="146">
        <v>1.0588200980336555</v>
      </c>
      <c r="T69" s="146">
        <v>1.1224972160321824</v>
      </c>
      <c r="U69" s="146">
        <v>0.25391369257401813</v>
      </c>
      <c r="V69" s="146">
        <v>0.29539400421899542</v>
      </c>
      <c r="W69" s="146">
        <v>0.30354136720767588</v>
      </c>
      <c r="X69" s="146">
        <v>0.47004458685667533</v>
      </c>
      <c r="Y69" s="146">
        <v>0.19193809903725606</v>
      </c>
      <c r="Z69" s="146">
        <v>0.22329384076153902</v>
      </c>
      <c r="AA69" s="146">
        <v>0.22945258449985856</v>
      </c>
      <c r="AB69" s="146">
        <v>0.35531547570134631</v>
      </c>
      <c r="AC69" s="146">
        <v>0.80038187298535779</v>
      </c>
      <c r="AD69" s="146">
        <v>0.84851659489384823</v>
      </c>
      <c r="AE69" s="146">
        <v>0.83750193342448376</v>
      </c>
      <c r="AF69" s="146">
        <v>1.1956365757350305</v>
      </c>
      <c r="AG69" s="146"/>
      <c r="AH69" s="146">
        <v>3.6820369770387202</v>
      </c>
      <c r="AI69" s="146"/>
      <c r="AJ69" s="146"/>
      <c r="AK69" s="146"/>
      <c r="AL69" s="146"/>
      <c r="AM69" s="146"/>
      <c r="AN69" s="146"/>
      <c r="AO69" s="146"/>
    </row>
    <row r="70" spans="1:4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row>
    <row r="71" spans="1:4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row>
    <row r="72" spans="1:4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row>
    <row r="73" spans="1:4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row>
    <row r="74" spans="1:4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row>
    <row r="75" spans="1:4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row>
    <row r="76" spans="1:4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row>
    <row r="77" spans="1:4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row>
    <row r="78" spans="1:4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row>
    <row r="79" spans="1:4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row>
    <row r="80" spans="1:4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row>
    <row r="81" spans="1:4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row>
    <row r="82" spans="1:4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row>
    <row r="83" spans="1:4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row>
    <row r="84" spans="1:4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row>
    <row r="85" spans="1:4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row>
    <row r="86" spans="1:4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row>
    <row r="87" spans="1:41" ht="14.4" thickBo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row>
    <row r="88" spans="1:41" ht="110.4">
      <c r="A88" s="146"/>
      <c r="B88" s="146"/>
      <c r="C88" s="146"/>
      <c r="D88" s="146"/>
      <c r="E88" s="146"/>
      <c r="F88" s="146"/>
      <c r="G88" s="146"/>
      <c r="H88" s="146"/>
      <c r="I88" s="146"/>
      <c r="J88" s="146"/>
      <c r="K88" s="146"/>
      <c r="L88" s="146"/>
      <c r="M88" s="146"/>
      <c r="N88" s="364" t="s">
        <v>1201</v>
      </c>
      <c r="O88" s="365" t="s">
        <v>1202</v>
      </c>
      <c r="P88" s="365" t="s">
        <v>1203</v>
      </c>
      <c r="Q88" s="366" t="s">
        <v>1204</v>
      </c>
      <c r="R88" s="146" t="s">
        <v>1256</v>
      </c>
      <c r="S88" s="146" t="s">
        <v>1259</v>
      </c>
      <c r="T88" s="146" t="s">
        <v>1261</v>
      </c>
      <c r="U88" s="146" t="s">
        <v>1257</v>
      </c>
      <c r="V88" s="146" t="s">
        <v>1260</v>
      </c>
      <c r="W88" s="146" t="s">
        <v>1262</v>
      </c>
      <c r="X88" s="146" t="s">
        <v>1258</v>
      </c>
      <c r="Y88" s="146" t="s">
        <v>1254</v>
      </c>
      <c r="Z88" s="146" t="s">
        <v>1255</v>
      </c>
      <c r="AA88" s="146" t="s">
        <v>1263</v>
      </c>
      <c r="AB88" s="146" t="s">
        <v>1264</v>
      </c>
      <c r="AC88" s="146" t="s">
        <v>1265</v>
      </c>
      <c r="AD88" s="146" t="s">
        <v>1266</v>
      </c>
      <c r="AE88" s="146" t="s">
        <v>1267</v>
      </c>
      <c r="AF88" s="146" t="s">
        <v>1268</v>
      </c>
      <c r="AG88" s="146" t="s">
        <v>1269</v>
      </c>
      <c r="AH88" s="146"/>
      <c r="AI88" s="146" t="s">
        <v>1270</v>
      </c>
      <c r="AJ88" s="146"/>
      <c r="AK88" s="146"/>
      <c r="AL88" s="146"/>
      <c r="AM88" s="146"/>
      <c r="AN88" s="146"/>
      <c r="AO88" s="146"/>
    </row>
    <row r="89" spans="1:41">
      <c r="A89" s="146"/>
      <c r="B89" s="146"/>
      <c r="C89" s="146"/>
      <c r="D89" s="146"/>
      <c r="E89" s="146"/>
      <c r="F89" s="146"/>
      <c r="G89" s="146"/>
      <c r="H89" s="146"/>
      <c r="I89" s="146"/>
      <c r="J89" s="146"/>
      <c r="K89" s="146"/>
      <c r="L89" s="146"/>
      <c r="M89" s="146"/>
      <c r="N89" s="368">
        <v>5</v>
      </c>
      <c r="O89" s="369">
        <v>41</v>
      </c>
      <c r="P89" s="369">
        <v>20</v>
      </c>
      <c r="Q89" s="370">
        <v>40</v>
      </c>
      <c r="R89" s="146">
        <v>0.20499999999999999</v>
      </c>
      <c r="S89" s="146">
        <v>0.1</v>
      </c>
      <c r="T89" s="146">
        <v>0.2</v>
      </c>
      <c r="U89" s="146">
        <v>3.8220250000000004</v>
      </c>
      <c r="V89" s="146">
        <v>6.0025000000000013</v>
      </c>
      <c r="W89" s="146">
        <v>5.0625</v>
      </c>
      <c r="X89" s="146"/>
      <c r="Y89" s="146"/>
      <c r="Z89" s="146"/>
      <c r="AA89" s="146"/>
      <c r="AB89" s="146"/>
      <c r="AC89" s="146"/>
      <c r="AD89" s="146"/>
      <c r="AE89" s="146"/>
      <c r="AF89" s="146"/>
      <c r="AG89" s="146"/>
      <c r="AH89" s="146"/>
      <c r="AI89" s="146"/>
      <c r="AJ89" s="146"/>
      <c r="AK89" s="146"/>
      <c r="AL89" s="146"/>
      <c r="AM89" s="146"/>
      <c r="AN89" s="146"/>
      <c r="AO89" s="146"/>
    </row>
    <row r="90" spans="1:41">
      <c r="A90" s="146"/>
      <c r="B90" s="146"/>
      <c r="C90" s="146"/>
      <c r="D90" s="146"/>
      <c r="E90" s="146"/>
      <c r="F90" s="146"/>
      <c r="G90" s="146"/>
      <c r="H90" s="146"/>
      <c r="I90" s="146"/>
      <c r="J90" s="146"/>
      <c r="K90" s="146"/>
      <c r="L90" s="146"/>
      <c r="M90" s="146"/>
      <c r="N90" s="368">
        <v>4</v>
      </c>
      <c r="O90" s="369">
        <v>45</v>
      </c>
      <c r="P90" s="369">
        <v>30</v>
      </c>
      <c r="Q90" s="370">
        <v>20</v>
      </c>
      <c r="R90" s="146">
        <v>0.22500000000000001</v>
      </c>
      <c r="S90" s="146">
        <v>0.15</v>
      </c>
      <c r="T90" s="146">
        <v>0.1</v>
      </c>
      <c r="U90" s="146">
        <v>0.91202500000000009</v>
      </c>
      <c r="V90" s="146">
        <v>2.1025000000000005</v>
      </c>
      <c r="W90" s="146">
        <v>1.5625</v>
      </c>
      <c r="X90" s="146"/>
      <c r="Y90" s="146"/>
      <c r="Z90" s="146"/>
      <c r="AA90" s="146"/>
      <c r="AB90" s="146"/>
      <c r="AC90" s="146"/>
      <c r="AD90" s="146"/>
      <c r="AE90" s="146"/>
      <c r="AF90" s="146"/>
      <c r="AG90" s="146"/>
      <c r="AH90" s="146"/>
      <c r="AI90" s="146"/>
      <c r="AJ90" s="146"/>
      <c r="AK90" s="146"/>
      <c r="AL90" s="146"/>
      <c r="AM90" s="146"/>
      <c r="AN90" s="146"/>
      <c r="AO90" s="146"/>
    </row>
    <row r="91" spans="1:41">
      <c r="A91" s="146"/>
      <c r="B91" s="146"/>
      <c r="C91" s="146"/>
      <c r="D91" s="146"/>
      <c r="E91" s="146"/>
      <c r="F91" s="146"/>
      <c r="G91" s="146"/>
      <c r="H91" s="146"/>
      <c r="I91" s="146"/>
      <c r="J91" s="146"/>
      <c r="K91" s="146"/>
      <c r="L91" s="146"/>
      <c r="M91" s="146"/>
      <c r="N91" s="368">
        <v>3</v>
      </c>
      <c r="O91" s="369">
        <v>30</v>
      </c>
      <c r="P91" s="369">
        <v>50</v>
      </c>
      <c r="Q91" s="370">
        <v>35</v>
      </c>
      <c r="R91" s="146">
        <v>0.15</v>
      </c>
      <c r="S91" s="146">
        <v>0.25</v>
      </c>
      <c r="T91" s="146">
        <v>0.17499999999999999</v>
      </c>
      <c r="U91" s="146">
        <v>2.0249999999999938E-3</v>
      </c>
      <c r="V91" s="146">
        <v>0.20250000000000015</v>
      </c>
      <c r="W91" s="146">
        <v>6.25E-2</v>
      </c>
      <c r="X91" s="146"/>
      <c r="Y91" s="146"/>
      <c r="Z91" s="146"/>
      <c r="AA91" s="146"/>
      <c r="AB91" s="146"/>
      <c r="AC91" s="146"/>
      <c r="AD91" s="146"/>
      <c r="AE91" s="146"/>
      <c r="AF91" s="146"/>
      <c r="AG91" s="146"/>
      <c r="AH91" s="146"/>
      <c r="AI91" s="146"/>
      <c r="AJ91" s="146"/>
      <c r="AK91" s="146"/>
      <c r="AL91" s="146"/>
      <c r="AM91" s="146"/>
      <c r="AN91" s="146"/>
      <c r="AO91" s="146"/>
    </row>
    <row r="92" spans="1:41">
      <c r="A92" s="146"/>
      <c r="B92" s="146"/>
      <c r="C92" s="146"/>
      <c r="D92" s="146"/>
      <c r="E92" s="146"/>
      <c r="F92" s="146"/>
      <c r="G92" s="146"/>
      <c r="H92" s="146"/>
      <c r="I92" s="146"/>
      <c r="J92" s="146"/>
      <c r="K92" s="146"/>
      <c r="L92" s="146"/>
      <c r="M92" s="146"/>
      <c r="N92" s="368">
        <v>2</v>
      </c>
      <c r="O92" s="369">
        <v>50</v>
      </c>
      <c r="P92" s="369">
        <v>40</v>
      </c>
      <c r="Q92" s="370">
        <v>60</v>
      </c>
      <c r="R92" s="146">
        <v>0.25</v>
      </c>
      <c r="S92" s="146">
        <v>0.2</v>
      </c>
      <c r="T92" s="146">
        <v>0.3</v>
      </c>
      <c r="U92" s="146">
        <v>1.0920249999999998</v>
      </c>
      <c r="V92" s="146">
        <v>0.30249999999999982</v>
      </c>
      <c r="W92" s="146">
        <v>0.5625</v>
      </c>
      <c r="X92" s="146"/>
      <c r="Y92" s="146"/>
      <c r="Z92" s="146"/>
      <c r="AA92" s="146"/>
      <c r="AB92" s="146"/>
      <c r="AC92" s="146"/>
      <c r="AD92" s="146"/>
      <c r="AE92" s="146"/>
      <c r="AF92" s="146"/>
      <c r="AG92" s="146"/>
      <c r="AH92" s="146"/>
      <c r="AI92" s="146"/>
      <c r="AJ92" s="146"/>
      <c r="AK92" s="146"/>
      <c r="AL92" s="146"/>
      <c r="AM92" s="146"/>
      <c r="AN92" s="146"/>
      <c r="AO92" s="146"/>
    </row>
    <row r="93" spans="1:41" ht="14.4" thickBot="1">
      <c r="A93" s="146"/>
      <c r="B93" s="146"/>
      <c r="C93" s="146"/>
      <c r="D93" s="146"/>
      <c r="E93" s="146"/>
      <c r="F93" s="146"/>
      <c r="G93" s="146"/>
      <c r="H93" s="146"/>
      <c r="I93" s="146"/>
      <c r="J93" s="146"/>
      <c r="K93" s="146"/>
      <c r="L93" s="146"/>
      <c r="M93" s="146"/>
      <c r="N93" s="371">
        <v>1</v>
      </c>
      <c r="O93" s="372">
        <v>34</v>
      </c>
      <c r="P93" s="372">
        <v>60</v>
      </c>
      <c r="Q93" s="373">
        <v>45</v>
      </c>
      <c r="R93" s="146">
        <v>0.17</v>
      </c>
      <c r="S93" s="146">
        <v>0.3</v>
      </c>
      <c r="T93" s="146">
        <v>0.22500000000000001</v>
      </c>
      <c r="U93" s="146">
        <v>4.1820249999999994</v>
      </c>
      <c r="V93" s="146">
        <v>2.4024999999999994</v>
      </c>
      <c r="W93" s="146">
        <v>3.0625</v>
      </c>
      <c r="X93" s="146"/>
      <c r="Y93" s="146"/>
      <c r="Z93" s="146"/>
      <c r="AA93" s="146"/>
      <c r="AB93" s="146"/>
      <c r="AC93" s="146"/>
      <c r="AD93" s="146"/>
      <c r="AE93" s="146"/>
      <c r="AF93" s="146"/>
      <c r="AG93" s="146"/>
      <c r="AH93" s="146"/>
      <c r="AI93" s="146"/>
      <c r="AJ93" s="146"/>
      <c r="AK93" s="146"/>
      <c r="AL93" s="146"/>
      <c r="AM93" s="146"/>
      <c r="AN93" s="146"/>
      <c r="AO93" s="146"/>
    </row>
    <row r="94" spans="1:41">
      <c r="A94" s="146"/>
      <c r="B94" s="146"/>
      <c r="C94" s="146"/>
      <c r="D94" s="146"/>
      <c r="E94" s="146"/>
      <c r="F94" s="146"/>
      <c r="G94" s="146"/>
      <c r="H94" s="146"/>
      <c r="I94" s="146"/>
      <c r="J94" s="146"/>
      <c r="K94" s="146"/>
      <c r="L94" s="146"/>
      <c r="M94" s="146"/>
      <c r="N94" s="146"/>
      <c r="O94" s="146">
        <v>3.0449999999999999</v>
      </c>
      <c r="P94" s="146">
        <v>2.5499999999999998</v>
      </c>
      <c r="Q94" s="146">
        <v>2.75</v>
      </c>
      <c r="R94" s="146"/>
      <c r="S94" s="146"/>
      <c r="T94" s="146"/>
      <c r="U94" s="146"/>
      <c r="V94" s="146"/>
      <c r="W94" s="146"/>
      <c r="X94" s="146">
        <v>1.4046262848174242</v>
      </c>
      <c r="Y94" s="146">
        <v>0.46128942030128878</v>
      </c>
      <c r="Z94" s="146">
        <v>0.51840408103538382</v>
      </c>
      <c r="AA94" s="146">
        <v>0.5190582699498254</v>
      </c>
      <c r="AB94" s="146">
        <v>0.30778240208872437</v>
      </c>
      <c r="AC94" s="146">
        <v>0.34589055437138622</v>
      </c>
      <c r="AD94" s="146">
        <v>0.34632704353988947</v>
      </c>
      <c r="AE94" s="146">
        <v>0.93719741436016568</v>
      </c>
      <c r="AF94" s="146">
        <v>0.88202091364703483</v>
      </c>
      <c r="AG94" s="146">
        <v>0.95239936973469608</v>
      </c>
      <c r="AH94" s="146"/>
      <c r="AI94" s="146">
        <v>2.7716176977418967</v>
      </c>
      <c r="AJ94" s="146"/>
      <c r="AK94" s="146"/>
      <c r="AL94" s="146"/>
      <c r="AM94" s="146"/>
      <c r="AN94" s="146"/>
      <c r="AO94" s="146"/>
    </row>
    <row r="95" spans="1:4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row>
  </sheetData>
  <mergeCells count="20">
    <mergeCell ref="AI2:AI6"/>
    <mergeCell ref="AJ2:AJ6"/>
    <mergeCell ref="AC2:AC6"/>
    <mergeCell ref="AD2:AD6"/>
    <mergeCell ref="AE2:AE6"/>
    <mergeCell ref="AF2:AF6"/>
    <mergeCell ref="AG2:AG6"/>
    <mergeCell ref="AH2:AH6"/>
    <mergeCell ref="AB2:AB6"/>
    <mergeCell ref="Q2:Q6"/>
    <mergeCell ref="R2:R6"/>
    <mergeCell ref="S2:S6"/>
    <mergeCell ref="T2:T6"/>
    <mergeCell ref="U2:U6"/>
    <mergeCell ref="V2:V6"/>
    <mergeCell ref="W2:W6"/>
    <mergeCell ref="X2:X6"/>
    <mergeCell ref="Y2:Y6"/>
    <mergeCell ref="Z2:Z6"/>
    <mergeCell ref="AA2:AA6"/>
  </mergeCells>
  <phoneticPr fontId="4"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61"/>
  <sheetViews>
    <sheetView showGridLines="0" zoomScale="70" zoomScaleNormal="70" workbookViewId="0">
      <selection activeCell="U41" sqref="U41"/>
    </sheetView>
  </sheetViews>
  <sheetFormatPr defaultRowHeight="13.8"/>
  <sheetData>
    <row r="1" spans="1:10">
      <c r="A1">
        <v>1</v>
      </c>
      <c r="B1" t="s">
        <v>2255</v>
      </c>
    </row>
    <row r="7" spans="1:10" ht="36">
      <c r="C7" s="395"/>
      <c r="D7" s="396" t="s">
        <v>809</v>
      </c>
      <c r="E7" s="397" t="s">
        <v>761</v>
      </c>
      <c r="F7" s="397" t="s">
        <v>762</v>
      </c>
      <c r="G7" s="397" t="s">
        <v>763</v>
      </c>
      <c r="H7" s="397" t="s">
        <v>764</v>
      </c>
      <c r="I7" s="397" t="s">
        <v>765</v>
      </c>
      <c r="J7" s="397" t="s">
        <v>795</v>
      </c>
    </row>
    <row r="8" spans="1:10" ht="32.4">
      <c r="C8" s="398" t="s">
        <v>1271</v>
      </c>
      <c r="D8" s="399">
        <v>1250</v>
      </c>
      <c r="E8" s="400">
        <v>0.08</v>
      </c>
      <c r="F8" s="400">
        <v>0.4</v>
      </c>
      <c r="G8" s="400">
        <v>7.04</v>
      </c>
      <c r="H8" s="400">
        <v>45.519999999999996</v>
      </c>
      <c r="I8" s="400">
        <v>46.96</v>
      </c>
      <c r="J8" s="400">
        <v>46.96</v>
      </c>
    </row>
    <row r="9" spans="1:10">
      <c r="C9" s="398" t="s">
        <v>797</v>
      </c>
      <c r="D9" s="399">
        <v>1250</v>
      </c>
      <c r="E9" s="400">
        <v>0.16</v>
      </c>
      <c r="F9" s="400">
        <v>0.32</v>
      </c>
      <c r="G9" s="400">
        <v>8</v>
      </c>
      <c r="H9" s="400">
        <v>47.44</v>
      </c>
      <c r="I9" s="400">
        <v>44.080000000000005</v>
      </c>
      <c r="J9" s="400">
        <v>44.080000000000005</v>
      </c>
    </row>
    <row r="10" spans="1:10" ht="21.6">
      <c r="C10" s="398" t="s">
        <v>752</v>
      </c>
      <c r="D10" s="399">
        <v>1250</v>
      </c>
      <c r="E10" s="400">
        <v>0.08</v>
      </c>
      <c r="F10" s="400">
        <v>0.48</v>
      </c>
      <c r="G10" s="400">
        <v>8</v>
      </c>
      <c r="H10" s="400">
        <v>48.32</v>
      </c>
      <c r="I10" s="400">
        <v>43.120000000000005</v>
      </c>
      <c r="J10" s="400">
        <v>43.120000000000005</v>
      </c>
    </row>
    <row r="11" spans="1:10" ht="21.6">
      <c r="C11" s="398" t="s">
        <v>751</v>
      </c>
      <c r="D11" s="399">
        <v>1250</v>
      </c>
      <c r="E11" s="400">
        <v>0.08</v>
      </c>
      <c r="F11" s="400">
        <v>0.24</v>
      </c>
      <c r="G11" s="400">
        <v>9.68</v>
      </c>
      <c r="H11" s="400">
        <v>48.16</v>
      </c>
      <c r="I11" s="400">
        <v>41.839999999999996</v>
      </c>
      <c r="J11" s="400">
        <v>41.839999999999996</v>
      </c>
    </row>
    <row r="12" spans="1:10" ht="21.6">
      <c r="C12" s="398" t="s">
        <v>793</v>
      </c>
      <c r="D12" s="399">
        <v>1250</v>
      </c>
      <c r="E12" s="400">
        <v>0.16</v>
      </c>
      <c r="F12" s="400">
        <v>0.88</v>
      </c>
      <c r="G12" s="400">
        <v>8.32</v>
      </c>
      <c r="H12" s="400">
        <v>50.639999999999993</v>
      </c>
      <c r="I12" s="400">
        <v>40</v>
      </c>
      <c r="J12" s="400">
        <v>40</v>
      </c>
    </row>
    <row r="13" spans="1:10">
      <c r="C13" s="398" t="s">
        <v>796</v>
      </c>
      <c r="D13" s="399">
        <v>1250</v>
      </c>
      <c r="E13" s="400">
        <v>0.24</v>
      </c>
      <c r="F13" s="400">
        <v>0.55999999999999994</v>
      </c>
      <c r="G13" s="400">
        <v>11.04</v>
      </c>
      <c r="H13" s="400">
        <v>49.68</v>
      </c>
      <c r="I13" s="400">
        <v>38.479999999999997</v>
      </c>
      <c r="J13" s="400">
        <v>38.479999999999997</v>
      </c>
    </row>
    <row r="14" spans="1:10">
      <c r="C14" s="398" t="s">
        <v>753</v>
      </c>
      <c r="D14" s="399">
        <v>1250</v>
      </c>
      <c r="E14" s="400">
        <v>0.24</v>
      </c>
      <c r="F14" s="400">
        <v>0.8</v>
      </c>
      <c r="G14" s="400">
        <v>10.56</v>
      </c>
      <c r="H14" s="400">
        <v>50.080000000000005</v>
      </c>
      <c r="I14" s="400">
        <v>38.32</v>
      </c>
      <c r="J14" s="400">
        <v>38.32</v>
      </c>
    </row>
    <row r="15" spans="1:10" ht="21.6">
      <c r="C15" s="398" t="s">
        <v>1272</v>
      </c>
      <c r="D15" s="399">
        <v>1250</v>
      </c>
      <c r="E15" s="400">
        <v>0.16</v>
      </c>
      <c r="F15" s="400">
        <v>0.8</v>
      </c>
      <c r="G15" s="400">
        <v>13.36</v>
      </c>
      <c r="H15" s="400">
        <v>47.28</v>
      </c>
      <c r="I15" s="400">
        <v>38.4</v>
      </c>
      <c r="J15" s="400">
        <v>38.4</v>
      </c>
    </row>
    <row r="17" spans="4:11">
      <c r="E17" s="402" t="str">
        <f t="shared" ref="E17:I17" si="0">E7</f>
        <v>全く満足していない</v>
      </c>
      <c r="F17" s="402" t="str">
        <f t="shared" si="0"/>
        <v>あまり満足していない</v>
      </c>
      <c r="G17" s="402" t="str">
        <f t="shared" si="0"/>
        <v>どちらともいえない</v>
      </c>
      <c r="H17" s="402" t="str">
        <f t="shared" si="0"/>
        <v>まあまあ満足している</v>
      </c>
      <c r="I17" s="402" t="str">
        <f t="shared" si="0"/>
        <v>とても満足している</v>
      </c>
    </row>
    <row r="18" spans="4:11">
      <c r="D18" s="401" t="str">
        <f>C8&amp;" n="&amp;D8</f>
        <v>材料安心/においがない n=1250</v>
      </c>
      <c r="E18" s="402">
        <v>20</v>
      </c>
      <c r="F18" s="402">
        <v>25</v>
      </c>
      <c r="G18" s="402">
        <v>30</v>
      </c>
      <c r="H18" s="402">
        <v>5</v>
      </c>
      <c r="I18" s="402">
        <v>10</v>
      </c>
      <c r="K18" s="402"/>
    </row>
    <row r="19" spans="4:11">
      <c r="D19" s="401" t="str">
        <f t="shared" ref="D19:D23" si="1">C9&amp;" n="&amp;D9</f>
        <v>鮮度保持 n=1250</v>
      </c>
      <c r="E19" s="402">
        <v>20</v>
      </c>
      <c r="F19" s="402">
        <v>25</v>
      </c>
      <c r="G19" s="402">
        <v>30</v>
      </c>
      <c r="H19" s="402">
        <v>10</v>
      </c>
      <c r="I19" s="402">
        <f t="shared" ref="I19:I23" si="2">100-SUM(E19:H19)</f>
        <v>15</v>
      </c>
      <c r="K19" s="402"/>
    </row>
    <row r="20" spans="4:11">
      <c r="D20" s="401" t="str">
        <f t="shared" si="1"/>
        <v>ニオイを通さない n=1250</v>
      </c>
      <c r="E20" s="402">
        <v>20</v>
      </c>
      <c r="F20" s="402">
        <v>25</v>
      </c>
      <c r="G20" s="402">
        <v>30</v>
      </c>
      <c r="H20" s="402">
        <v>10</v>
      </c>
      <c r="I20" s="402">
        <f t="shared" si="2"/>
        <v>15</v>
      </c>
      <c r="K20" s="402"/>
    </row>
    <row r="21" spans="4:11">
      <c r="D21" s="401" t="str">
        <f t="shared" si="1"/>
        <v>お皿にくっつきやすい n=1250</v>
      </c>
      <c r="E21" s="402">
        <v>20</v>
      </c>
      <c r="F21" s="402">
        <v>25</v>
      </c>
      <c r="G21" s="402">
        <v>21</v>
      </c>
      <c r="H21" s="402">
        <v>10</v>
      </c>
      <c r="I21" s="402">
        <f t="shared" si="2"/>
        <v>24</v>
      </c>
      <c r="K21" s="402"/>
    </row>
    <row r="22" spans="4:11">
      <c r="D22" s="401" t="str">
        <f t="shared" si="1"/>
        <v>丈夫・破れにくい n=1250</v>
      </c>
      <c r="E22" s="402">
        <v>20</v>
      </c>
      <c r="F22" s="402">
        <v>25</v>
      </c>
      <c r="G22" s="402">
        <v>30</v>
      </c>
      <c r="H22" s="402">
        <v>10</v>
      </c>
      <c r="I22" s="402">
        <f t="shared" si="2"/>
        <v>15</v>
      </c>
      <c r="K22" s="402"/>
    </row>
    <row r="23" spans="4:11">
      <c r="D23" s="401" t="str">
        <f t="shared" si="1"/>
        <v>はりがあり n=1250</v>
      </c>
      <c r="E23" s="402">
        <v>20</v>
      </c>
      <c r="F23" s="402">
        <v>25</v>
      </c>
      <c r="G23" s="402">
        <v>30</v>
      </c>
      <c r="H23" s="402">
        <v>10</v>
      </c>
      <c r="I23" s="402">
        <f t="shared" si="2"/>
        <v>15</v>
      </c>
      <c r="K23" s="402"/>
    </row>
    <row r="56" spans="7:13">
      <c r="H56" t="s">
        <v>1273</v>
      </c>
      <c r="I56" t="s">
        <v>1274</v>
      </c>
      <c r="J56" t="s">
        <v>1275</v>
      </c>
      <c r="K56" t="s">
        <v>1276</v>
      </c>
      <c r="L56" t="s">
        <v>1277</v>
      </c>
      <c r="M56" t="s">
        <v>1278</v>
      </c>
    </row>
    <row r="57" spans="7:13">
      <c r="G57" t="s">
        <v>761</v>
      </c>
      <c r="H57">
        <v>20</v>
      </c>
      <c r="I57">
        <v>20</v>
      </c>
      <c r="J57">
        <v>20</v>
      </c>
      <c r="K57">
        <v>20</v>
      </c>
      <c r="L57">
        <v>20</v>
      </c>
      <c r="M57">
        <v>20</v>
      </c>
    </row>
    <row r="58" spans="7:13">
      <c r="G58" t="s">
        <v>762</v>
      </c>
      <c r="H58">
        <v>25</v>
      </c>
      <c r="I58">
        <v>25</v>
      </c>
      <c r="J58">
        <v>25</v>
      </c>
      <c r="K58">
        <v>25</v>
      </c>
      <c r="L58">
        <v>25</v>
      </c>
      <c r="M58">
        <v>25</v>
      </c>
    </row>
    <row r="59" spans="7:13">
      <c r="G59" t="s">
        <v>763</v>
      </c>
      <c r="H59">
        <v>30</v>
      </c>
      <c r="I59">
        <v>30</v>
      </c>
      <c r="J59">
        <v>30</v>
      </c>
      <c r="K59">
        <v>30</v>
      </c>
      <c r="L59">
        <v>30</v>
      </c>
      <c r="M59">
        <v>30</v>
      </c>
    </row>
    <row r="60" spans="7:13">
      <c r="G60" t="s">
        <v>764</v>
      </c>
      <c r="H60">
        <v>10</v>
      </c>
      <c r="I60">
        <v>10</v>
      </c>
      <c r="J60">
        <v>10</v>
      </c>
      <c r="K60">
        <v>10</v>
      </c>
      <c r="L60">
        <v>10</v>
      </c>
      <c r="M60">
        <v>10</v>
      </c>
    </row>
    <row r="61" spans="7:13">
      <c r="G61" t="s">
        <v>765</v>
      </c>
      <c r="H61">
        <v>15</v>
      </c>
      <c r="I61">
        <v>15</v>
      </c>
      <c r="J61">
        <v>15</v>
      </c>
      <c r="K61">
        <v>15</v>
      </c>
      <c r="L61">
        <v>15</v>
      </c>
      <c r="M61">
        <v>15</v>
      </c>
    </row>
  </sheetData>
  <phoneticPr fontId="4"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44"/>
  <sheetViews>
    <sheetView workbookViewId="0">
      <selection activeCell="L11" sqref="L11"/>
    </sheetView>
  </sheetViews>
  <sheetFormatPr defaultRowHeight="13.8"/>
  <cols>
    <col min="7" max="7" width="6.77734375" bestFit="1" customWidth="1"/>
    <col min="8" max="9" width="5.5546875" bestFit="1" customWidth="1"/>
    <col min="10" max="10" width="5.77734375" bestFit="1" customWidth="1"/>
    <col min="11" max="11" width="12.44140625" bestFit="1" customWidth="1"/>
  </cols>
  <sheetData>
    <row r="1" spans="1:12">
      <c r="A1" t="s">
        <v>576</v>
      </c>
      <c r="B1" t="s">
        <v>3515</v>
      </c>
      <c r="C1" t="s">
        <v>3516</v>
      </c>
      <c r="D1" t="s">
        <v>3517</v>
      </c>
      <c r="G1" t="s">
        <v>3522</v>
      </c>
      <c r="H1" t="s">
        <v>576</v>
      </c>
      <c r="I1" t="s">
        <v>3515</v>
      </c>
      <c r="J1" t="s">
        <v>3516</v>
      </c>
      <c r="K1" t="s">
        <v>3517</v>
      </c>
      <c r="L1" t="s">
        <v>3523</v>
      </c>
    </row>
    <row r="2" spans="1:12">
      <c r="A2" t="s">
        <v>575</v>
      </c>
      <c r="B2" t="s">
        <v>3518</v>
      </c>
      <c r="C2" t="s">
        <v>810</v>
      </c>
      <c r="D2" t="s">
        <v>3519</v>
      </c>
      <c r="G2" t="s">
        <v>3522</v>
      </c>
      <c r="H2" t="s">
        <v>576</v>
      </c>
      <c r="I2" t="s">
        <v>3515</v>
      </c>
      <c r="J2" t="s">
        <v>3516</v>
      </c>
      <c r="K2" t="s">
        <v>3519</v>
      </c>
      <c r="L2" t="s">
        <v>3524</v>
      </c>
    </row>
    <row r="3" spans="1:12">
      <c r="A3" t="s">
        <v>577</v>
      </c>
      <c r="C3" t="s">
        <v>811</v>
      </c>
      <c r="D3" t="s">
        <v>3520</v>
      </c>
      <c r="G3" t="s">
        <v>3522</v>
      </c>
      <c r="H3" t="s">
        <v>576</v>
      </c>
      <c r="I3" t="s">
        <v>3515</v>
      </c>
      <c r="J3" t="s">
        <v>3516</v>
      </c>
      <c r="K3" t="s">
        <v>3520</v>
      </c>
      <c r="L3" t="s">
        <v>3525</v>
      </c>
    </row>
    <row r="4" spans="1:12">
      <c r="A4" t="s">
        <v>578</v>
      </c>
      <c r="C4" t="s">
        <v>812</v>
      </c>
      <c r="G4" t="s">
        <v>3522</v>
      </c>
      <c r="H4" t="s">
        <v>576</v>
      </c>
      <c r="I4" t="s">
        <v>3515</v>
      </c>
      <c r="J4" t="s">
        <v>810</v>
      </c>
      <c r="K4" t="s">
        <v>3517</v>
      </c>
      <c r="L4" t="s">
        <v>3526</v>
      </c>
    </row>
    <row r="5" spans="1:12">
      <c r="C5" t="s">
        <v>813</v>
      </c>
      <c r="G5" t="s">
        <v>3522</v>
      </c>
      <c r="H5" t="s">
        <v>576</v>
      </c>
      <c r="I5" t="s">
        <v>3515</v>
      </c>
      <c r="J5" t="s">
        <v>810</v>
      </c>
      <c r="K5" t="s">
        <v>3519</v>
      </c>
      <c r="L5" t="s">
        <v>3527</v>
      </c>
    </row>
    <row r="6" spans="1:12">
      <c r="C6" t="s">
        <v>3521</v>
      </c>
      <c r="G6" t="s">
        <v>3522</v>
      </c>
      <c r="H6" t="s">
        <v>576</v>
      </c>
      <c r="I6" t="s">
        <v>3515</v>
      </c>
      <c r="J6" t="s">
        <v>810</v>
      </c>
      <c r="K6" t="s">
        <v>3520</v>
      </c>
      <c r="L6" t="s">
        <v>3528</v>
      </c>
    </row>
    <row r="7" spans="1:12">
      <c r="G7" t="s">
        <v>3522</v>
      </c>
      <c r="H7" t="s">
        <v>576</v>
      </c>
      <c r="I7" t="s">
        <v>3515</v>
      </c>
      <c r="J7" t="s">
        <v>811</v>
      </c>
      <c r="K7" t="s">
        <v>3517</v>
      </c>
      <c r="L7" t="s">
        <v>3529</v>
      </c>
    </row>
    <row r="8" spans="1:12">
      <c r="G8" t="s">
        <v>3522</v>
      </c>
      <c r="H8" t="s">
        <v>576</v>
      </c>
      <c r="I8" t="s">
        <v>3515</v>
      </c>
      <c r="J8" t="s">
        <v>811</v>
      </c>
      <c r="K8" t="s">
        <v>3519</v>
      </c>
      <c r="L8" t="s">
        <v>3530</v>
      </c>
    </row>
    <row r="9" spans="1:12">
      <c r="G9" t="s">
        <v>3522</v>
      </c>
      <c r="H9" t="s">
        <v>576</v>
      </c>
      <c r="I9" t="s">
        <v>3515</v>
      </c>
      <c r="J9" t="s">
        <v>811</v>
      </c>
      <c r="K9" t="s">
        <v>3520</v>
      </c>
      <c r="L9" t="s">
        <v>3531</v>
      </c>
    </row>
    <row r="10" spans="1:12">
      <c r="G10" t="s">
        <v>3522</v>
      </c>
      <c r="H10" t="s">
        <v>576</v>
      </c>
      <c r="I10" t="s">
        <v>3515</v>
      </c>
      <c r="J10" t="s">
        <v>812</v>
      </c>
      <c r="K10" t="s">
        <v>3517</v>
      </c>
      <c r="L10" t="s">
        <v>3532</v>
      </c>
    </row>
    <row r="11" spans="1:12">
      <c r="G11" t="s">
        <v>3522</v>
      </c>
      <c r="H11" t="s">
        <v>576</v>
      </c>
      <c r="I11" t="s">
        <v>3515</v>
      </c>
      <c r="J11" t="s">
        <v>812</v>
      </c>
      <c r="K11" t="s">
        <v>3519</v>
      </c>
      <c r="L11" t="s">
        <v>3533</v>
      </c>
    </row>
    <row r="12" spans="1:12">
      <c r="G12" t="s">
        <v>3522</v>
      </c>
      <c r="H12" t="s">
        <v>576</v>
      </c>
      <c r="I12" t="s">
        <v>3515</v>
      </c>
      <c r="J12" t="s">
        <v>812</v>
      </c>
      <c r="K12" t="s">
        <v>3520</v>
      </c>
      <c r="L12" t="s">
        <v>3534</v>
      </c>
    </row>
    <row r="13" spans="1:12">
      <c r="G13" t="s">
        <v>3522</v>
      </c>
      <c r="H13" t="s">
        <v>576</v>
      </c>
      <c r="I13" t="s">
        <v>3515</v>
      </c>
      <c r="J13" t="s">
        <v>813</v>
      </c>
      <c r="K13" t="s">
        <v>3517</v>
      </c>
      <c r="L13" t="s">
        <v>3535</v>
      </c>
    </row>
    <row r="14" spans="1:12">
      <c r="G14" t="s">
        <v>3522</v>
      </c>
      <c r="H14" t="s">
        <v>576</v>
      </c>
      <c r="I14" t="s">
        <v>3515</v>
      </c>
      <c r="J14" t="s">
        <v>813</v>
      </c>
      <c r="K14" t="s">
        <v>3519</v>
      </c>
      <c r="L14" t="s">
        <v>3536</v>
      </c>
    </row>
    <row r="15" spans="1:12">
      <c r="G15" t="s">
        <v>3522</v>
      </c>
      <c r="H15" t="s">
        <v>576</v>
      </c>
      <c r="I15" t="s">
        <v>3515</v>
      </c>
      <c r="J15" t="s">
        <v>813</v>
      </c>
      <c r="K15" t="s">
        <v>3520</v>
      </c>
      <c r="L15" t="s">
        <v>3537</v>
      </c>
    </row>
    <row r="16" spans="1:12">
      <c r="G16" t="s">
        <v>3522</v>
      </c>
      <c r="H16" t="s">
        <v>576</v>
      </c>
      <c r="I16" t="s">
        <v>3515</v>
      </c>
      <c r="J16" t="s">
        <v>3521</v>
      </c>
      <c r="K16" t="s">
        <v>3517</v>
      </c>
      <c r="L16" t="s">
        <v>3538</v>
      </c>
    </row>
    <row r="17" spans="7:12">
      <c r="G17" t="s">
        <v>3522</v>
      </c>
      <c r="H17" t="s">
        <v>576</v>
      </c>
      <c r="I17" t="s">
        <v>3515</v>
      </c>
      <c r="J17" t="s">
        <v>3521</v>
      </c>
      <c r="K17" t="s">
        <v>3519</v>
      </c>
      <c r="L17" t="s">
        <v>3539</v>
      </c>
    </row>
    <row r="18" spans="7:12">
      <c r="G18" t="s">
        <v>3522</v>
      </c>
      <c r="H18" t="s">
        <v>576</v>
      </c>
      <c r="I18" t="s">
        <v>3515</v>
      </c>
      <c r="J18" t="s">
        <v>3521</v>
      </c>
      <c r="K18" t="s">
        <v>3520</v>
      </c>
      <c r="L18" t="s">
        <v>3540</v>
      </c>
    </row>
    <row r="19" spans="7:12">
      <c r="G19" t="s">
        <v>3522</v>
      </c>
      <c r="H19" t="s">
        <v>576</v>
      </c>
      <c r="I19" t="s">
        <v>3518</v>
      </c>
      <c r="J19" t="s">
        <v>3516</v>
      </c>
      <c r="K19" t="s">
        <v>3517</v>
      </c>
      <c r="L19" t="s">
        <v>3541</v>
      </c>
    </row>
    <row r="20" spans="7:12">
      <c r="G20" t="s">
        <v>3522</v>
      </c>
      <c r="H20" t="s">
        <v>576</v>
      </c>
      <c r="I20" t="s">
        <v>3518</v>
      </c>
      <c r="J20" t="s">
        <v>3516</v>
      </c>
      <c r="K20" t="s">
        <v>3519</v>
      </c>
      <c r="L20" t="s">
        <v>3542</v>
      </c>
    </row>
    <row r="21" spans="7:12">
      <c r="G21" t="s">
        <v>3522</v>
      </c>
      <c r="H21" t="s">
        <v>576</v>
      </c>
      <c r="I21" t="s">
        <v>3518</v>
      </c>
      <c r="J21" t="s">
        <v>3516</v>
      </c>
      <c r="K21" t="s">
        <v>3520</v>
      </c>
      <c r="L21" t="s">
        <v>3543</v>
      </c>
    </row>
    <row r="22" spans="7:12">
      <c r="G22" t="s">
        <v>3522</v>
      </c>
      <c r="H22" t="s">
        <v>576</v>
      </c>
      <c r="I22" t="s">
        <v>3518</v>
      </c>
      <c r="J22" t="s">
        <v>810</v>
      </c>
      <c r="K22" t="s">
        <v>3517</v>
      </c>
      <c r="L22" t="s">
        <v>3544</v>
      </c>
    </row>
    <row r="23" spans="7:12">
      <c r="G23" t="s">
        <v>3522</v>
      </c>
      <c r="H23" t="s">
        <v>576</v>
      </c>
      <c r="I23" t="s">
        <v>3518</v>
      </c>
      <c r="J23" t="s">
        <v>810</v>
      </c>
      <c r="K23" t="s">
        <v>3519</v>
      </c>
      <c r="L23" t="s">
        <v>3545</v>
      </c>
    </row>
    <row r="24" spans="7:12">
      <c r="G24" t="s">
        <v>3522</v>
      </c>
      <c r="H24" t="s">
        <v>576</v>
      </c>
      <c r="I24" t="s">
        <v>3518</v>
      </c>
      <c r="J24" t="s">
        <v>810</v>
      </c>
      <c r="K24" t="s">
        <v>3520</v>
      </c>
      <c r="L24" t="s">
        <v>3546</v>
      </c>
    </row>
    <row r="25" spans="7:12">
      <c r="G25" t="s">
        <v>3522</v>
      </c>
      <c r="H25" t="s">
        <v>576</v>
      </c>
      <c r="I25" t="s">
        <v>3518</v>
      </c>
      <c r="J25" t="s">
        <v>811</v>
      </c>
      <c r="K25" t="s">
        <v>3517</v>
      </c>
      <c r="L25" t="s">
        <v>3547</v>
      </c>
    </row>
    <row r="26" spans="7:12">
      <c r="G26" t="s">
        <v>3522</v>
      </c>
      <c r="H26" t="s">
        <v>576</v>
      </c>
      <c r="I26" t="s">
        <v>3518</v>
      </c>
      <c r="J26" t="s">
        <v>811</v>
      </c>
      <c r="K26" t="s">
        <v>3519</v>
      </c>
      <c r="L26" t="s">
        <v>3548</v>
      </c>
    </row>
    <row r="27" spans="7:12">
      <c r="G27" t="s">
        <v>3522</v>
      </c>
      <c r="H27" t="s">
        <v>576</v>
      </c>
      <c r="I27" t="s">
        <v>3518</v>
      </c>
      <c r="J27" t="s">
        <v>811</v>
      </c>
      <c r="K27" t="s">
        <v>3520</v>
      </c>
      <c r="L27" t="s">
        <v>3549</v>
      </c>
    </row>
    <row r="28" spans="7:12">
      <c r="G28" t="s">
        <v>3522</v>
      </c>
      <c r="H28" t="s">
        <v>576</v>
      </c>
      <c r="I28" t="s">
        <v>3518</v>
      </c>
      <c r="J28" t="s">
        <v>812</v>
      </c>
      <c r="K28" t="s">
        <v>3517</v>
      </c>
      <c r="L28" t="s">
        <v>3550</v>
      </c>
    </row>
    <row r="29" spans="7:12">
      <c r="G29" t="s">
        <v>3522</v>
      </c>
      <c r="H29" t="s">
        <v>576</v>
      </c>
      <c r="I29" t="s">
        <v>3518</v>
      </c>
      <c r="J29" t="s">
        <v>812</v>
      </c>
      <c r="K29" t="s">
        <v>3519</v>
      </c>
      <c r="L29" t="s">
        <v>3551</v>
      </c>
    </row>
    <row r="30" spans="7:12">
      <c r="G30" t="s">
        <v>3522</v>
      </c>
      <c r="H30" t="s">
        <v>576</v>
      </c>
      <c r="I30" t="s">
        <v>3518</v>
      </c>
      <c r="J30" t="s">
        <v>812</v>
      </c>
      <c r="K30" t="s">
        <v>3520</v>
      </c>
      <c r="L30" t="s">
        <v>3552</v>
      </c>
    </row>
    <row r="31" spans="7:12">
      <c r="G31" t="s">
        <v>3522</v>
      </c>
      <c r="H31" t="s">
        <v>576</v>
      </c>
      <c r="I31" t="s">
        <v>3518</v>
      </c>
      <c r="J31" t="s">
        <v>813</v>
      </c>
      <c r="K31" t="s">
        <v>3517</v>
      </c>
      <c r="L31" t="s">
        <v>3553</v>
      </c>
    </row>
    <row r="32" spans="7:12">
      <c r="G32" t="s">
        <v>3522</v>
      </c>
      <c r="H32" t="s">
        <v>576</v>
      </c>
      <c r="I32" t="s">
        <v>3518</v>
      </c>
      <c r="J32" t="s">
        <v>813</v>
      </c>
      <c r="K32" t="s">
        <v>3519</v>
      </c>
      <c r="L32" t="s">
        <v>3554</v>
      </c>
    </row>
    <row r="33" spans="7:12">
      <c r="G33" t="s">
        <v>3522</v>
      </c>
      <c r="H33" t="s">
        <v>576</v>
      </c>
      <c r="I33" t="s">
        <v>3518</v>
      </c>
      <c r="J33" t="s">
        <v>813</v>
      </c>
      <c r="K33" t="s">
        <v>3520</v>
      </c>
      <c r="L33" t="s">
        <v>3555</v>
      </c>
    </row>
    <row r="34" spans="7:12">
      <c r="G34" t="s">
        <v>3522</v>
      </c>
      <c r="H34" t="s">
        <v>576</v>
      </c>
      <c r="I34" t="s">
        <v>3518</v>
      </c>
      <c r="J34" t="s">
        <v>3521</v>
      </c>
      <c r="K34" t="s">
        <v>3517</v>
      </c>
      <c r="L34" t="s">
        <v>3556</v>
      </c>
    </row>
    <row r="35" spans="7:12">
      <c r="G35" t="s">
        <v>3522</v>
      </c>
      <c r="H35" t="s">
        <v>576</v>
      </c>
      <c r="I35" t="s">
        <v>3518</v>
      </c>
      <c r="J35" t="s">
        <v>3521</v>
      </c>
      <c r="K35" t="s">
        <v>3519</v>
      </c>
      <c r="L35" t="s">
        <v>3557</v>
      </c>
    </row>
    <row r="36" spans="7:12">
      <c r="G36" t="s">
        <v>3522</v>
      </c>
      <c r="H36" t="s">
        <v>576</v>
      </c>
      <c r="I36" t="s">
        <v>3518</v>
      </c>
      <c r="J36" t="s">
        <v>3521</v>
      </c>
      <c r="K36" t="s">
        <v>3520</v>
      </c>
      <c r="L36" t="s">
        <v>3558</v>
      </c>
    </row>
    <row r="37" spans="7:12">
      <c r="G37" t="s">
        <v>3522</v>
      </c>
      <c r="H37" t="s">
        <v>575</v>
      </c>
      <c r="I37" t="s">
        <v>3515</v>
      </c>
      <c r="J37" t="s">
        <v>3516</v>
      </c>
      <c r="K37" t="s">
        <v>3517</v>
      </c>
      <c r="L37" t="s">
        <v>3559</v>
      </c>
    </row>
    <row r="38" spans="7:12">
      <c r="G38" t="s">
        <v>3522</v>
      </c>
      <c r="H38" t="s">
        <v>575</v>
      </c>
      <c r="I38" t="s">
        <v>3515</v>
      </c>
      <c r="J38" t="s">
        <v>3516</v>
      </c>
      <c r="K38" t="s">
        <v>3519</v>
      </c>
      <c r="L38" t="s">
        <v>3560</v>
      </c>
    </row>
    <row r="39" spans="7:12">
      <c r="G39" t="s">
        <v>3522</v>
      </c>
      <c r="H39" t="s">
        <v>575</v>
      </c>
      <c r="I39" t="s">
        <v>3515</v>
      </c>
      <c r="J39" t="s">
        <v>3516</v>
      </c>
      <c r="K39" t="s">
        <v>3520</v>
      </c>
      <c r="L39" t="s">
        <v>3561</v>
      </c>
    </row>
    <row r="40" spans="7:12">
      <c r="G40" t="s">
        <v>3522</v>
      </c>
      <c r="H40" t="s">
        <v>575</v>
      </c>
      <c r="I40" t="s">
        <v>3515</v>
      </c>
      <c r="J40" t="s">
        <v>810</v>
      </c>
      <c r="K40" t="s">
        <v>3517</v>
      </c>
      <c r="L40" t="s">
        <v>3562</v>
      </c>
    </row>
    <row r="41" spans="7:12">
      <c r="G41" t="s">
        <v>3522</v>
      </c>
      <c r="H41" t="s">
        <v>575</v>
      </c>
      <c r="I41" t="s">
        <v>3515</v>
      </c>
      <c r="J41" t="s">
        <v>810</v>
      </c>
      <c r="K41" t="s">
        <v>3519</v>
      </c>
      <c r="L41" t="s">
        <v>3563</v>
      </c>
    </row>
    <row r="42" spans="7:12">
      <c r="G42" t="s">
        <v>3522</v>
      </c>
      <c r="H42" t="s">
        <v>575</v>
      </c>
      <c r="I42" t="s">
        <v>3515</v>
      </c>
      <c r="J42" t="s">
        <v>810</v>
      </c>
      <c r="K42" t="s">
        <v>3520</v>
      </c>
      <c r="L42" t="s">
        <v>3564</v>
      </c>
    </row>
    <row r="43" spans="7:12">
      <c r="G43" t="s">
        <v>3522</v>
      </c>
      <c r="H43" t="s">
        <v>575</v>
      </c>
      <c r="I43" t="s">
        <v>3515</v>
      </c>
      <c r="J43" t="s">
        <v>811</v>
      </c>
      <c r="K43" t="s">
        <v>3517</v>
      </c>
      <c r="L43" t="s">
        <v>3565</v>
      </c>
    </row>
    <row r="44" spans="7:12">
      <c r="G44" t="s">
        <v>3522</v>
      </c>
      <c r="H44" t="s">
        <v>575</v>
      </c>
      <c r="I44" t="s">
        <v>3515</v>
      </c>
      <c r="J44" t="s">
        <v>811</v>
      </c>
      <c r="K44" t="s">
        <v>3519</v>
      </c>
      <c r="L44" t="s">
        <v>3566</v>
      </c>
    </row>
    <row r="45" spans="7:12">
      <c r="G45" t="s">
        <v>3522</v>
      </c>
      <c r="H45" t="s">
        <v>575</v>
      </c>
      <c r="I45" t="s">
        <v>3515</v>
      </c>
      <c r="J45" t="s">
        <v>811</v>
      </c>
      <c r="K45" t="s">
        <v>3520</v>
      </c>
      <c r="L45" t="s">
        <v>3567</v>
      </c>
    </row>
    <row r="46" spans="7:12">
      <c r="G46" t="s">
        <v>3522</v>
      </c>
      <c r="H46" t="s">
        <v>575</v>
      </c>
      <c r="I46" t="s">
        <v>3515</v>
      </c>
      <c r="J46" t="s">
        <v>812</v>
      </c>
      <c r="K46" t="s">
        <v>3517</v>
      </c>
      <c r="L46" t="s">
        <v>3568</v>
      </c>
    </row>
    <row r="47" spans="7:12">
      <c r="G47" t="s">
        <v>3522</v>
      </c>
      <c r="H47" t="s">
        <v>575</v>
      </c>
      <c r="I47" t="s">
        <v>3515</v>
      </c>
      <c r="J47" t="s">
        <v>812</v>
      </c>
      <c r="K47" t="s">
        <v>3519</v>
      </c>
      <c r="L47" t="s">
        <v>3569</v>
      </c>
    </row>
    <row r="48" spans="7:12">
      <c r="G48" t="s">
        <v>3522</v>
      </c>
      <c r="H48" t="s">
        <v>575</v>
      </c>
      <c r="I48" t="s">
        <v>3515</v>
      </c>
      <c r="J48" t="s">
        <v>812</v>
      </c>
      <c r="K48" t="s">
        <v>3520</v>
      </c>
      <c r="L48" t="s">
        <v>3570</v>
      </c>
    </row>
    <row r="49" spans="7:12">
      <c r="G49" t="s">
        <v>3522</v>
      </c>
      <c r="H49" t="s">
        <v>575</v>
      </c>
      <c r="I49" t="s">
        <v>3515</v>
      </c>
      <c r="J49" t="s">
        <v>813</v>
      </c>
      <c r="K49" t="s">
        <v>3517</v>
      </c>
      <c r="L49" t="s">
        <v>3571</v>
      </c>
    </row>
    <row r="50" spans="7:12">
      <c r="G50" t="s">
        <v>3522</v>
      </c>
      <c r="H50" t="s">
        <v>575</v>
      </c>
      <c r="I50" t="s">
        <v>3515</v>
      </c>
      <c r="J50" t="s">
        <v>813</v>
      </c>
      <c r="K50" t="s">
        <v>3519</v>
      </c>
      <c r="L50" t="s">
        <v>3572</v>
      </c>
    </row>
    <row r="51" spans="7:12">
      <c r="G51" t="s">
        <v>3522</v>
      </c>
      <c r="H51" t="s">
        <v>575</v>
      </c>
      <c r="I51" t="s">
        <v>3515</v>
      </c>
      <c r="J51" t="s">
        <v>813</v>
      </c>
      <c r="K51" t="s">
        <v>3520</v>
      </c>
      <c r="L51" t="s">
        <v>3573</v>
      </c>
    </row>
    <row r="52" spans="7:12">
      <c r="G52" t="s">
        <v>3522</v>
      </c>
      <c r="H52" t="s">
        <v>575</v>
      </c>
      <c r="I52" t="s">
        <v>3515</v>
      </c>
      <c r="J52" t="s">
        <v>3521</v>
      </c>
      <c r="K52" t="s">
        <v>3517</v>
      </c>
      <c r="L52" t="s">
        <v>3574</v>
      </c>
    </row>
    <row r="53" spans="7:12">
      <c r="G53" t="s">
        <v>3522</v>
      </c>
      <c r="H53" t="s">
        <v>575</v>
      </c>
      <c r="I53" t="s">
        <v>3515</v>
      </c>
      <c r="J53" t="s">
        <v>3521</v>
      </c>
      <c r="K53" t="s">
        <v>3519</v>
      </c>
      <c r="L53" t="s">
        <v>3575</v>
      </c>
    </row>
    <row r="54" spans="7:12">
      <c r="G54" t="s">
        <v>3522</v>
      </c>
      <c r="H54" t="s">
        <v>575</v>
      </c>
      <c r="I54" t="s">
        <v>3515</v>
      </c>
      <c r="J54" t="s">
        <v>3521</v>
      </c>
      <c r="K54" t="s">
        <v>3520</v>
      </c>
      <c r="L54" t="s">
        <v>3576</v>
      </c>
    </row>
    <row r="55" spans="7:12">
      <c r="G55" t="s">
        <v>3522</v>
      </c>
      <c r="H55" t="s">
        <v>575</v>
      </c>
      <c r="I55" t="s">
        <v>3518</v>
      </c>
      <c r="J55" t="s">
        <v>3516</v>
      </c>
      <c r="K55" t="s">
        <v>3517</v>
      </c>
      <c r="L55" t="s">
        <v>3577</v>
      </c>
    </row>
    <row r="56" spans="7:12">
      <c r="G56" t="s">
        <v>3522</v>
      </c>
      <c r="H56" t="s">
        <v>575</v>
      </c>
      <c r="I56" t="s">
        <v>3518</v>
      </c>
      <c r="J56" t="s">
        <v>3516</v>
      </c>
      <c r="K56" t="s">
        <v>3519</v>
      </c>
      <c r="L56" t="s">
        <v>3578</v>
      </c>
    </row>
    <row r="57" spans="7:12">
      <c r="G57" t="s">
        <v>3522</v>
      </c>
      <c r="H57" t="s">
        <v>575</v>
      </c>
      <c r="I57" t="s">
        <v>3518</v>
      </c>
      <c r="J57" t="s">
        <v>3516</v>
      </c>
      <c r="K57" t="s">
        <v>3520</v>
      </c>
      <c r="L57" t="s">
        <v>3579</v>
      </c>
    </row>
    <row r="58" spans="7:12">
      <c r="G58" t="s">
        <v>3522</v>
      </c>
      <c r="H58" t="s">
        <v>575</v>
      </c>
      <c r="I58" t="s">
        <v>3518</v>
      </c>
      <c r="J58" t="s">
        <v>810</v>
      </c>
      <c r="K58" t="s">
        <v>3517</v>
      </c>
      <c r="L58" t="s">
        <v>3580</v>
      </c>
    </row>
    <row r="59" spans="7:12">
      <c r="G59" t="s">
        <v>3522</v>
      </c>
      <c r="H59" t="s">
        <v>575</v>
      </c>
      <c r="I59" t="s">
        <v>3518</v>
      </c>
      <c r="J59" t="s">
        <v>810</v>
      </c>
      <c r="K59" t="s">
        <v>3519</v>
      </c>
      <c r="L59" t="s">
        <v>3581</v>
      </c>
    </row>
    <row r="60" spans="7:12">
      <c r="G60" t="s">
        <v>3522</v>
      </c>
      <c r="H60" t="s">
        <v>575</v>
      </c>
      <c r="I60" t="s">
        <v>3518</v>
      </c>
      <c r="J60" t="s">
        <v>810</v>
      </c>
      <c r="K60" t="s">
        <v>3520</v>
      </c>
      <c r="L60" t="s">
        <v>3582</v>
      </c>
    </row>
    <row r="61" spans="7:12">
      <c r="G61" t="s">
        <v>3522</v>
      </c>
      <c r="H61" t="s">
        <v>575</v>
      </c>
      <c r="I61" t="s">
        <v>3518</v>
      </c>
      <c r="J61" t="s">
        <v>811</v>
      </c>
      <c r="K61" t="s">
        <v>3517</v>
      </c>
      <c r="L61" t="s">
        <v>3583</v>
      </c>
    </row>
    <row r="62" spans="7:12">
      <c r="G62" t="s">
        <v>3522</v>
      </c>
      <c r="H62" t="s">
        <v>575</v>
      </c>
      <c r="I62" t="s">
        <v>3518</v>
      </c>
      <c r="J62" t="s">
        <v>811</v>
      </c>
      <c r="K62" t="s">
        <v>3519</v>
      </c>
      <c r="L62" t="s">
        <v>3584</v>
      </c>
    </row>
    <row r="63" spans="7:12">
      <c r="G63" t="s">
        <v>3522</v>
      </c>
      <c r="H63" t="s">
        <v>575</v>
      </c>
      <c r="I63" t="s">
        <v>3518</v>
      </c>
      <c r="J63" t="s">
        <v>811</v>
      </c>
      <c r="K63" t="s">
        <v>3520</v>
      </c>
      <c r="L63" t="s">
        <v>3585</v>
      </c>
    </row>
    <row r="64" spans="7:12">
      <c r="G64" t="s">
        <v>3522</v>
      </c>
      <c r="H64" t="s">
        <v>575</v>
      </c>
      <c r="I64" t="s">
        <v>3518</v>
      </c>
      <c r="J64" t="s">
        <v>812</v>
      </c>
      <c r="K64" t="s">
        <v>3517</v>
      </c>
      <c r="L64" t="s">
        <v>3586</v>
      </c>
    </row>
    <row r="65" spans="7:12">
      <c r="G65" t="s">
        <v>3522</v>
      </c>
      <c r="H65" t="s">
        <v>575</v>
      </c>
      <c r="I65" t="s">
        <v>3518</v>
      </c>
      <c r="J65" t="s">
        <v>812</v>
      </c>
      <c r="K65" t="s">
        <v>3519</v>
      </c>
      <c r="L65" t="s">
        <v>3587</v>
      </c>
    </row>
    <row r="66" spans="7:12">
      <c r="G66" t="s">
        <v>3522</v>
      </c>
      <c r="H66" t="s">
        <v>575</v>
      </c>
      <c r="I66" t="s">
        <v>3518</v>
      </c>
      <c r="J66" t="s">
        <v>812</v>
      </c>
      <c r="K66" t="s">
        <v>3520</v>
      </c>
      <c r="L66" t="s">
        <v>3588</v>
      </c>
    </row>
    <row r="67" spans="7:12">
      <c r="G67" t="s">
        <v>3522</v>
      </c>
      <c r="H67" t="s">
        <v>575</v>
      </c>
      <c r="I67" t="s">
        <v>3518</v>
      </c>
      <c r="J67" t="s">
        <v>813</v>
      </c>
      <c r="K67" t="s">
        <v>3517</v>
      </c>
      <c r="L67" t="s">
        <v>3589</v>
      </c>
    </row>
    <row r="68" spans="7:12">
      <c r="G68" t="s">
        <v>3522</v>
      </c>
      <c r="H68" t="s">
        <v>575</v>
      </c>
      <c r="I68" t="s">
        <v>3518</v>
      </c>
      <c r="J68" t="s">
        <v>813</v>
      </c>
      <c r="K68" t="s">
        <v>3519</v>
      </c>
      <c r="L68" t="s">
        <v>3590</v>
      </c>
    </row>
    <row r="69" spans="7:12">
      <c r="G69" t="s">
        <v>3522</v>
      </c>
      <c r="H69" t="s">
        <v>575</v>
      </c>
      <c r="I69" t="s">
        <v>3518</v>
      </c>
      <c r="J69" t="s">
        <v>813</v>
      </c>
      <c r="K69" t="s">
        <v>3520</v>
      </c>
      <c r="L69" t="s">
        <v>3591</v>
      </c>
    </row>
    <row r="70" spans="7:12">
      <c r="G70" t="s">
        <v>3522</v>
      </c>
      <c r="H70" t="s">
        <v>575</v>
      </c>
      <c r="I70" t="s">
        <v>3518</v>
      </c>
      <c r="J70" t="s">
        <v>3521</v>
      </c>
      <c r="K70" t="s">
        <v>3517</v>
      </c>
      <c r="L70" t="s">
        <v>3592</v>
      </c>
    </row>
    <row r="71" spans="7:12">
      <c r="G71" t="s">
        <v>3522</v>
      </c>
      <c r="H71" t="s">
        <v>575</v>
      </c>
      <c r="I71" t="s">
        <v>3518</v>
      </c>
      <c r="J71" t="s">
        <v>3521</v>
      </c>
      <c r="K71" t="s">
        <v>3519</v>
      </c>
      <c r="L71" t="s">
        <v>3593</v>
      </c>
    </row>
    <row r="72" spans="7:12">
      <c r="G72" t="s">
        <v>3522</v>
      </c>
      <c r="H72" t="s">
        <v>575</v>
      </c>
      <c r="I72" t="s">
        <v>3518</v>
      </c>
      <c r="J72" t="s">
        <v>3521</v>
      </c>
      <c r="K72" t="s">
        <v>3520</v>
      </c>
      <c r="L72" t="s">
        <v>3594</v>
      </c>
    </row>
    <row r="73" spans="7:12">
      <c r="G73" t="s">
        <v>3522</v>
      </c>
      <c r="H73" t="s">
        <v>577</v>
      </c>
      <c r="I73" t="s">
        <v>3515</v>
      </c>
      <c r="J73" t="s">
        <v>3516</v>
      </c>
      <c r="K73" t="s">
        <v>3517</v>
      </c>
      <c r="L73" t="s">
        <v>3595</v>
      </c>
    </row>
    <row r="74" spans="7:12">
      <c r="G74" t="s">
        <v>3522</v>
      </c>
      <c r="H74" t="s">
        <v>577</v>
      </c>
      <c r="I74" t="s">
        <v>3515</v>
      </c>
      <c r="J74" t="s">
        <v>3516</v>
      </c>
      <c r="K74" t="s">
        <v>3519</v>
      </c>
      <c r="L74" t="s">
        <v>3596</v>
      </c>
    </row>
    <row r="75" spans="7:12">
      <c r="G75" t="s">
        <v>3522</v>
      </c>
      <c r="H75" t="s">
        <v>577</v>
      </c>
      <c r="I75" t="s">
        <v>3515</v>
      </c>
      <c r="J75" t="s">
        <v>3516</v>
      </c>
      <c r="K75" t="s">
        <v>3520</v>
      </c>
      <c r="L75" t="s">
        <v>3597</v>
      </c>
    </row>
    <row r="76" spans="7:12">
      <c r="G76" t="s">
        <v>3522</v>
      </c>
      <c r="H76" t="s">
        <v>577</v>
      </c>
      <c r="I76" t="s">
        <v>3515</v>
      </c>
      <c r="J76" t="s">
        <v>810</v>
      </c>
      <c r="K76" t="s">
        <v>3517</v>
      </c>
      <c r="L76" t="s">
        <v>3598</v>
      </c>
    </row>
    <row r="77" spans="7:12">
      <c r="G77" t="s">
        <v>3522</v>
      </c>
      <c r="H77" t="s">
        <v>577</v>
      </c>
      <c r="I77" t="s">
        <v>3515</v>
      </c>
      <c r="J77" t="s">
        <v>810</v>
      </c>
      <c r="K77" t="s">
        <v>3519</v>
      </c>
      <c r="L77" t="s">
        <v>3599</v>
      </c>
    </row>
    <row r="78" spans="7:12">
      <c r="G78" t="s">
        <v>3522</v>
      </c>
      <c r="H78" t="s">
        <v>577</v>
      </c>
      <c r="I78" t="s">
        <v>3515</v>
      </c>
      <c r="J78" t="s">
        <v>810</v>
      </c>
      <c r="K78" t="s">
        <v>3520</v>
      </c>
      <c r="L78" t="s">
        <v>3600</v>
      </c>
    </row>
    <row r="79" spans="7:12">
      <c r="G79" t="s">
        <v>3522</v>
      </c>
      <c r="H79" t="s">
        <v>577</v>
      </c>
      <c r="I79" t="s">
        <v>3515</v>
      </c>
      <c r="J79" t="s">
        <v>811</v>
      </c>
      <c r="K79" t="s">
        <v>3517</v>
      </c>
      <c r="L79" t="s">
        <v>3601</v>
      </c>
    </row>
    <row r="80" spans="7:12">
      <c r="G80" t="s">
        <v>3522</v>
      </c>
      <c r="H80" t="s">
        <v>577</v>
      </c>
      <c r="I80" t="s">
        <v>3515</v>
      </c>
      <c r="J80" t="s">
        <v>811</v>
      </c>
      <c r="K80" t="s">
        <v>3519</v>
      </c>
      <c r="L80" t="s">
        <v>3602</v>
      </c>
    </row>
    <row r="81" spans="7:12">
      <c r="G81" t="s">
        <v>3522</v>
      </c>
      <c r="H81" t="s">
        <v>577</v>
      </c>
      <c r="I81" t="s">
        <v>3515</v>
      </c>
      <c r="J81" t="s">
        <v>811</v>
      </c>
      <c r="K81" t="s">
        <v>3520</v>
      </c>
      <c r="L81" t="s">
        <v>3603</v>
      </c>
    </row>
    <row r="82" spans="7:12">
      <c r="G82" t="s">
        <v>3522</v>
      </c>
      <c r="H82" t="s">
        <v>577</v>
      </c>
      <c r="I82" t="s">
        <v>3515</v>
      </c>
      <c r="J82" t="s">
        <v>812</v>
      </c>
      <c r="K82" t="s">
        <v>3517</v>
      </c>
      <c r="L82" t="s">
        <v>3604</v>
      </c>
    </row>
    <row r="83" spans="7:12">
      <c r="G83" t="s">
        <v>3522</v>
      </c>
      <c r="H83" t="s">
        <v>577</v>
      </c>
      <c r="I83" t="s">
        <v>3515</v>
      </c>
      <c r="J83" t="s">
        <v>812</v>
      </c>
      <c r="K83" t="s">
        <v>3519</v>
      </c>
      <c r="L83" t="s">
        <v>3605</v>
      </c>
    </row>
    <row r="84" spans="7:12">
      <c r="G84" t="s">
        <v>3522</v>
      </c>
      <c r="H84" t="s">
        <v>577</v>
      </c>
      <c r="I84" t="s">
        <v>3515</v>
      </c>
      <c r="J84" t="s">
        <v>812</v>
      </c>
      <c r="K84" t="s">
        <v>3520</v>
      </c>
      <c r="L84" t="s">
        <v>3606</v>
      </c>
    </row>
    <row r="85" spans="7:12">
      <c r="G85" t="s">
        <v>3522</v>
      </c>
      <c r="H85" t="s">
        <v>577</v>
      </c>
      <c r="I85" t="s">
        <v>3515</v>
      </c>
      <c r="J85" t="s">
        <v>813</v>
      </c>
      <c r="K85" t="s">
        <v>3517</v>
      </c>
      <c r="L85" t="s">
        <v>3607</v>
      </c>
    </row>
    <row r="86" spans="7:12">
      <c r="G86" t="s">
        <v>3522</v>
      </c>
      <c r="H86" t="s">
        <v>577</v>
      </c>
      <c r="I86" t="s">
        <v>3515</v>
      </c>
      <c r="J86" t="s">
        <v>813</v>
      </c>
      <c r="K86" t="s">
        <v>3519</v>
      </c>
      <c r="L86" t="s">
        <v>3608</v>
      </c>
    </row>
    <row r="87" spans="7:12">
      <c r="G87" t="s">
        <v>3522</v>
      </c>
      <c r="H87" t="s">
        <v>577</v>
      </c>
      <c r="I87" t="s">
        <v>3515</v>
      </c>
      <c r="J87" t="s">
        <v>813</v>
      </c>
      <c r="K87" t="s">
        <v>3520</v>
      </c>
      <c r="L87" t="s">
        <v>3609</v>
      </c>
    </row>
    <row r="88" spans="7:12">
      <c r="G88" t="s">
        <v>3522</v>
      </c>
      <c r="H88" t="s">
        <v>577</v>
      </c>
      <c r="I88" t="s">
        <v>3515</v>
      </c>
      <c r="J88" t="s">
        <v>3521</v>
      </c>
      <c r="K88" t="s">
        <v>3517</v>
      </c>
      <c r="L88" t="s">
        <v>3610</v>
      </c>
    </row>
    <row r="89" spans="7:12">
      <c r="G89" t="s">
        <v>3522</v>
      </c>
      <c r="H89" t="s">
        <v>577</v>
      </c>
      <c r="I89" t="s">
        <v>3515</v>
      </c>
      <c r="J89" t="s">
        <v>3521</v>
      </c>
      <c r="K89" t="s">
        <v>3519</v>
      </c>
      <c r="L89" t="s">
        <v>3611</v>
      </c>
    </row>
    <row r="90" spans="7:12">
      <c r="G90" t="s">
        <v>3522</v>
      </c>
      <c r="H90" t="s">
        <v>577</v>
      </c>
      <c r="I90" t="s">
        <v>3515</v>
      </c>
      <c r="J90" t="s">
        <v>3521</v>
      </c>
      <c r="K90" t="s">
        <v>3520</v>
      </c>
      <c r="L90" t="s">
        <v>3612</v>
      </c>
    </row>
    <row r="91" spans="7:12">
      <c r="G91" t="s">
        <v>3522</v>
      </c>
      <c r="H91" t="s">
        <v>577</v>
      </c>
      <c r="I91" t="s">
        <v>3518</v>
      </c>
      <c r="J91" t="s">
        <v>3516</v>
      </c>
      <c r="K91" t="s">
        <v>3517</v>
      </c>
      <c r="L91" t="s">
        <v>3613</v>
      </c>
    </row>
    <row r="92" spans="7:12">
      <c r="G92" t="s">
        <v>3522</v>
      </c>
      <c r="H92" t="s">
        <v>577</v>
      </c>
      <c r="I92" t="s">
        <v>3518</v>
      </c>
      <c r="J92" t="s">
        <v>3516</v>
      </c>
      <c r="K92" t="s">
        <v>3519</v>
      </c>
      <c r="L92" t="s">
        <v>3614</v>
      </c>
    </row>
    <row r="93" spans="7:12">
      <c r="G93" t="s">
        <v>3522</v>
      </c>
      <c r="H93" t="s">
        <v>577</v>
      </c>
      <c r="I93" t="s">
        <v>3518</v>
      </c>
      <c r="J93" t="s">
        <v>3516</v>
      </c>
      <c r="K93" t="s">
        <v>3520</v>
      </c>
      <c r="L93" t="s">
        <v>3615</v>
      </c>
    </row>
    <row r="94" spans="7:12">
      <c r="G94" t="s">
        <v>3522</v>
      </c>
      <c r="H94" t="s">
        <v>577</v>
      </c>
      <c r="I94" t="s">
        <v>3518</v>
      </c>
      <c r="J94" t="s">
        <v>810</v>
      </c>
      <c r="K94" t="s">
        <v>3517</v>
      </c>
      <c r="L94" t="s">
        <v>3616</v>
      </c>
    </row>
    <row r="95" spans="7:12">
      <c r="G95" t="s">
        <v>3522</v>
      </c>
      <c r="H95" t="s">
        <v>577</v>
      </c>
      <c r="I95" t="s">
        <v>3518</v>
      </c>
      <c r="J95" t="s">
        <v>810</v>
      </c>
      <c r="K95" t="s">
        <v>3519</v>
      </c>
      <c r="L95" t="s">
        <v>3617</v>
      </c>
    </row>
    <row r="96" spans="7:12">
      <c r="G96" t="s">
        <v>3522</v>
      </c>
      <c r="H96" t="s">
        <v>577</v>
      </c>
      <c r="I96" t="s">
        <v>3518</v>
      </c>
      <c r="J96" t="s">
        <v>810</v>
      </c>
      <c r="K96" t="s">
        <v>3520</v>
      </c>
      <c r="L96" t="s">
        <v>3618</v>
      </c>
    </row>
    <row r="97" spans="7:12">
      <c r="G97" t="s">
        <v>3522</v>
      </c>
      <c r="H97" t="s">
        <v>577</v>
      </c>
      <c r="I97" t="s">
        <v>3518</v>
      </c>
      <c r="J97" t="s">
        <v>811</v>
      </c>
      <c r="K97" t="s">
        <v>3517</v>
      </c>
      <c r="L97" t="s">
        <v>3619</v>
      </c>
    </row>
    <row r="98" spans="7:12">
      <c r="G98" t="s">
        <v>3522</v>
      </c>
      <c r="H98" t="s">
        <v>577</v>
      </c>
      <c r="I98" t="s">
        <v>3518</v>
      </c>
      <c r="J98" t="s">
        <v>811</v>
      </c>
      <c r="K98" t="s">
        <v>3519</v>
      </c>
      <c r="L98" t="s">
        <v>3620</v>
      </c>
    </row>
    <row r="99" spans="7:12">
      <c r="G99" t="s">
        <v>3522</v>
      </c>
      <c r="H99" t="s">
        <v>577</v>
      </c>
      <c r="I99" t="s">
        <v>3518</v>
      </c>
      <c r="J99" t="s">
        <v>811</v>
      </c>
      <c r="K99" t="s">
        <v>3520</v>
      </c>
      <c r="L99" t="s">
        <v>3621</v>
      </c>
    </row>
    <row r="100" spans="7:12">
      <c r="G100" t="s">
        <v>3522</v>
      </c>
      <c r="H100" t="s">
        <v>577</v>
      </c>
      <c r="I100" t="s">
        <v>3518</v>
      </c>
      <c r="J100" t="s">
        <v>812</v>
      </c>
      <c r="K100" t="s">
        <v>3517</v>
      </c>
      <c r="L100" t="s">
        <v>3622</v>
      </c>
    </row>
    <row r="101" spans="7:12">
      <c r="G101" t="s">
        <v>3522</v>
      </c>
      <c r="H101" t="s">
        <v>577</v>
      </c>
      <c r="I101" t="s">
        <v>3518</v>
      </c>
      <c r="J101" t="s">
        <v>812</v>
      </c>
      <c r="K101" t="s">
        <v>3519</v>
      </c>
      <c r="L101" t="s">
        <v>3623</v>
      </c>
    </row>
    <row r="102" spans="7:12">
      <c r="G102" t="s">
        <v>3522</v>
      </c>
      <c r="H102" t="s">
        <v>577</v>
      </c>
      <c r="I102" t="s">
        <v>3518</v>
      </c>
      <c r="J102" t="s">
        <v>812</v>
      </c>
      <c r="K102" t="s">
        <v>3520</v>
      </c>
      <c r="L102" t="s">
        <v>3624</v>
      </c>
    </row>
    <row r="103" spans="7:12">
      <c r="G103" t="s">
        <v>3522</v>
      </c>
      <c r="H103" t="s">
        <v>577</v>
      </c>
      <c r="I103" t="s">
        <v>3518</v>
      </c>
      <c r="J103" t="s">
        <v>813</v>
      </c>
      <c r="K103" t="s">
        <v>3517</v>
      </c>
      <c r="L103" t="s">
        <v>3625</v>
      </c>
    </row>
    <row r="104" spans="7:12">
      <c r="G104" t="s">
        <v>3522</v>
      </c>
      <c r="H104" t="s">
        <v>577</v>
      </c>
      <c r="I104" t="s">
        <v>3518</v>
      </c>
      <c r="J104" t="s">
        <v>813</v>
      </c>
      <c r="K104" t="s">
        <v>3519</v>
      </c>
      <c r="L104" t="s">
        <v>3626</v>
      </c>
    </row>
    <row r="105" spans="7:12">
      <c r="G105" t="s">
        <v>3522</v>
      </c>
      <c r="H105" t="s">
        <v>577</v>
      </c>
      <c r="I105" t="s">
        <v>3518</v>
      </c>
      <c r="J105" t="s">
        <v>813</v>
      </c>
      <c r="K105" t="s">
        <v>3520</v>
      </c>
      <c r="L105" t="s">
        <v>3627</v>
      </c>
    </row>
    <row r="106" spans="7:12">
      <c r="G106" t="s">
        <v>3522</v>
      </c>
      <c r="H106" t="s">
        <v>577</v>
      </c>
      <c r="I106" t="s">
        <v>3518</v>
      </c>
      <c r="J106" t="s">
        <v>3521</v>
      </c>
      <c r="K106" t="s">
        <v>3517</v>
      </c>
      <c r="L106" t="s">
        <v>3628</v>
      </c>
    </row>
    <row r="107" spans="7:12">
      <c r="G107" t="s">
        <v>3522</v>
      </c>
      <c r="H107" t="s">
        <v>577</v>
      </c>
      <c r="I107" t="s">
        <v>3518</v>
      </c>
      <c r="J107" t="s">
        <v>3521</v>
      </c>
      <c r="K107" t="s">
        <v>3519</v>
      </c>
      <c r="L107" t="s">
        <v>3629</v>
      </c>
    </row>
    <row r="108" spans="7:12">
      <c r="G108" t="s">
        <v>3522</v>
      </c>
      <c r="H108" t="s">
        <v>577</v>
      </c>
      <c r="I108" t="s">
        <v>3518</v>
      </c>
      <c r="J108" t="s">
        <v>3521</v>
      </c>
      <c r="K108" t="s">
        <v>3520</v>
      </c>
      <c r="L108" t="s">
        <v>3630</v>
      </c>
    </row>
    <row r="109" spans="7:12">
      <c r="G109" t="s">
        <v>3522</v>
      </c>
      <c r="H109" t="s">
        <v>578</v>
      </c>
      <c r="I109" t="s">
        <v>3515</v>
      </c>
      <c r="J109" t="s">
        <v>3516</v>
      </c>
      <c r="K109" t="s">
        <v>3517</v>
      </c>
      <c r="L109" t="s">
        <v>3631</v>
      </c>
    </row>
    <row r="110" spans="7:12">
      <c r="G110" t="s">
        <v>3522</v>
      </c>
      <c r="H110" t="s">
        <v>578</v>
      </c>
      <c r="I110" t="s">
        <v>3515</v>
      </c>
      <c r="J110" t="s">
        <v>3516</v>
      </c>
      <c r="K110" t="s">
        <v>3519</v>
      </c>
      <c r="L110" t="s">
        <v>3632</v>
      </c>
    </row>
    <row r="111" spans="7:12">
      <c r="G111" t="s">
        <v>3522</v>
      </c>
      <c r="H111" t="s">
        <v>578</v>
      </c>
      <c r="I111" t="s">
        <v>3515</v>
      </c>
      <c r="J111" t="s">
        <v>3516</v>
      </c>
      <c r="K111" t="s">
        <v>3520</v>
      </c>
      <c r="L111" t="s">
        <v>3633</v>
      </c>
    </row>
    <row r="112" spans="7:12">
      <c r="G112" t="s">
        <v>3522</v>
      </c>
      <c r="H112" t="s">
        <v>578</v>
      </c>
      <c r="I112" t="s">
        <v>3515</v>
      </c>
      <c r="J112" t="s">
        <v>810</v>
      </c>
      <c r="K112" t="s">
        <v>3517</v>
      </c>
      <c r="L112" t="s">
        <v>3634</v>
      </c>
    </row>
    <row r="113" spans="7:12">
      <c r="G113" t="s">
        <v>3522</v>
      </c>
      <c r="H113" t="s">
        <v>578</v>
      </c>
      <c r="I113" t="s">
        <v>3515</v>
      </c>
      <c r="J113" t="s">
        <v>810</v>
      </c>
      <c r="K113" t="s">
        <v>3519</v>
      </c>
      <c r="L113" t="s">
        <v>3635</v>
      </c>
    </row>
    <row r="114" spans="7:12">
      <c r="G114" t="s">
        <v>3522</v>
      </c>
      <c r="H114" t="s">
        <v>578</v>
      </c>
      <c r="I114" t="s">
        <v>3515</v>
      </c>
      <c r="J114" t="s">
        <v>810</v>
      </c>
      <c r="K114" t="s">
        <v>3520</v>
      </c>
      <c r="L114" t="s">
        <v>3636</v>
      </c>
    </row>
    <row r="115" spans="7:12">
      <c r="G115" t="s">
        <v>3522</v>
      </c>
      <c r="H115" t="s">
        <v>578</v>
      </c>
      <c r="I115" t="s">
        <v>3515</v>
      </c>
      <c r="J115" t="s">
        <v>811</v>
      </c>
      <c r="K115" t="s">
        <v>3517</v>
      </c>
      <c r="L115" t="s">
        <v>3637</v>
      </c>
    </row>
    <row r="116" spans="7:12">
      <c r="G116" t="s">
        <v>3522</v>
      </c>
      <c r="H116" t="s">
        <v>578</v>
      </c>
      <c r="I116" t="s">
        <v>3515</v>
      </c>
      <c r="J116" t="s">
        <v>811</v>
      </c>
      <c r="K116" t="s">
        <v>3519</v>
      </c>
      <c r="L116" t="s">
        <v>3638</v>
      </c>
    </row>
    <row r="117" spans="7:12">
      <c r="G117" t="s">
        <v>3522</v>
      </c>
      <c r="H117" t="s">
        <v>578</v>
      </c>
      <c r="I117" t="s">
        <v>3515</v>
      </c>
      <c r="J117" t="s">
        <v>811</v>
      </c>
      <c r="K117" t="s">
        <v>3520</v>
      </c>
      <c r="L117" t="s">
        <v>3639</v>
      </c>
    </row>
    <row r="118" spans="7:12">
      <c r="G118" t="s">
        <v>3522</v>
      </c>
      <c r="H118" t="s">
        <v>578</v>
      </c>
      <c r="I118" t="s">
        <v>3515</v>
      </c>
      <c r="J118" t="s">
        <v>812</v>
      </c>
      <c r="K118" t="s">
        <v>3517</v>
      </c>
      <c r="L118" t="s">
        <v>3640</v>
      </c>
    </row>
    <row r="119" spans="7:12">
      <c r="G119" t="s">
        <v>3522</v>
      </c>
      <c r="H119" t="s">
        <v>578</v>
      </c>
      <c r="I119" t="s">
        <v>3515</v>
      </c>
      <c r="J119" t="s">
        <v>812</v>
      </c>
      <c r="K119" t="s">
        <v>3519</v>
      </c>
      <c r="L119" t="s">
        <v>3641</v>
      </c>
    </row>
    <row r="120" spans="7:12">
      <c r="G120" t="s">
        <v>3522</v>
      </c>
      <c r="H120" t="s">
        <v>578</v>
      </c>
      <c r="I120" t="s">
        <v>3515</v>
      </c>
      <c r="J120" t="s">
        <v>812</v>
      </c>
      <c r="K120" t="s">
        <v>3520</v>
      </c>
      <c r="L120" t="s">
        <v>3642</v>
      </c>
    </row>
    <row r="121" spans="7:12">
      <c r="G121" t="s">
        <v>3522</v>
      </c>
      <c r="H121" t="s">
        <v>578</v>
      </c>
      <c r="I121" t="s">
        <v>3515</v>
      </c>
      <c r="J121" t="s">
        <v>813</v>
      </c>
      <c r="K121" t="s">
        <v>3517</v>
      </c>
      <c r="L121" t="s">
        <v>3643</v>
      </c>
    </row>
    <row r="122" spans="7:12">
      <c r="G122" t="s">
        <v>3522</v>
      </c>
      <c r="H122" t="s">
        <v>578</v>
      </c>
      <c r="I122" t="s">
        <v>3515</v>
      </c>
      <c r="J122" t="s">
        <v>813</v>
      </c>
      <c r="K122" t="s">
        <v>3519</v>
      </c>
      <c r="L122" t="s">
        <v>3644</v>
      </c>
    </row>
    <row r="123" spans="7:12">
      <c r="G123" t="s">
        <v>3522</v>
      </c>
      <c r="H123" t="s">
        <v>578</v>
      </c>
      <c r="I123" t="s">
        <v>3515</v>
      </c>
      <c r="J123" t="s">
        <v>813</v>
      </c>
      <c r="K123" t="s">
        <v>3520</v>
      </c>
      <c r="L123" t="s">
        <v>3645</v>
      </c>
    </row>
    <row r="124" spans="7:12">
      <c r="G124" t="s">
        <v>3522</v>
      </c>
      <c r="H124" t="s">
        <v>578</v>
      </c>
      <c r="I124" t="s">
        <v>3515</v>
      </c>
      <c r="J124" t="s">
        <v>3521</v>
      </c>
      <c r="K124" t="s">
        <v>3517</v>
      </c>
      <c r="L124" t="s">
        <v>3646</v>
      </c>
    </row>
    <row r="125" spans="7:12">
      <c r="G125" t="s">
        <v>3522</v>
      </c>
      <c r="H125" t="s">
        <v>578</v>
      </c>
      <c r="I125" t="s">
        <v>3515</v>
      </c>
      <c r="J125" t="s">
        <v>3521</v>
      </c>
      <c r="K125" t="s">
        <v>3519</v>
      </c>
      <c r="L125" t="s">
        <v>3647</v>
      </c>
    </row>
    <row r="126" spans="7:12">
      <c r="G126" t="s">
        <v>3522</v>
      </c>
      <c r="H126" t="s">
        <v>578</v>
      </c>
      <c r="I126" t="s">
        <v>3515</v>
      </c>
      <c r="J126" t="s">
        <v>3521</v>
      </c>
      <c r="K126" t="s">
        <v>3520</v>
      </c>
      <c r="L126" t="s">
        <v>3648</v>
      </c>
    </row>
    <row r="127" spans="7:12">
      <c r="G127" t="s">
        <v>3522</v>
      </c>
      <c r="H127" t="s">
        <v>578</v>
      </c>
      <c r="I127" t="s">
        <v>3518</v>
      </c>
      <c r="J127" t="s">
        <v>3516</v>
      </c>
      <c r="K127" t="s">
        <v>3517</v>
      </c>
      <c r="L127" t="s">
        <v>3649</v>
      </c>
    </row>
    <row r="128" spans="7:12">
      <c r="G128" t="s">
        <v>3522</v>
      </c>
      <c r="H128" t="s">
        <v>578</v>
      </c>
      <c r="I128" t="s">
        <v>3518</v>
      </c>
      <c r="J128" t="s">
        <v>3516</v>
      </c>
      <c r="K128" t="s">
        <v>3519</v>
      </c>
      <c r="L128" t="s">
        <v>3650</v>
      </c>
    </row>
    <row r="129" spans="7:12">
      <c r="G129" t="s">
        <v>3522</v>
      </c>
      <c r="H129" t="s">
        <v>578</v>
      </c>
      <c r="I129" t="s">
        <v>3518</v>
      </c>
      <c r="J129" t="s">
        <v>3516</v>
      </c>
      <c r="K129" t="s">
        <v>3520</v>
      </c>
      <c r="L129" t="s">
        <v>3651</v>
      </c>
    </row>
    <row r="130" spans="7:12">
      <c r="G130" t="s">
        <v>3522</v>
      </c>
      <c r="H130" t="s">
        <v>578</v>
      </c>
      <c r="I130" t="s">
        <v>3518</v>
      </c>
      <c r="J130" t="s">
        <v>810</v>
      </c>
      <c r="K130" t="s">
        <v>3517</v>
      </c>
      <c r="L130" t="s">
        <v>3652</v>
      </c>
    </row>
    <row r="131" spans="7:12">
      <c r="G131" t="s">
        <v>3522</v>
      </c>
      <c r="H131" t="s">
        <v>578</v>
      </c>
      <c r="I131" t="s">
        <v>3518</v>
      </c>
      <c r="J131" t="s">
        <v>810</v>
      </c>
      <c r="K131" t="s">
        <v>3519</v>
      </c>
      <c r="L131" t="s">
        <v>3653</v>
      </c>
    </row>
    <row r="132" spans="7:12">
      <c r="G132" t="s">
        <v>3522</v>
      </c>
      <c r="H132" t="s">
        <v>578</v>
      </c>
      <c r="I132" t="s">
        <v>3518</v>
      </c>
      <c r="J132" t="s">
        <v>810</v>
      </c>
      <c r="K132" t="s">
        <v>3520</v>
      </c>
      <c r="L132" t="s">
        <v>3654</v>
      </c>
    </row>
    <row r="133" spans="7:12">
      <c r="G133" t="s">
        <v>3522</v>
      </c>
      <c r="H133" t="s">
        <v>578</v>
      </c>
      <c r="I133" t="s">
        <v>3518</v>
      </c>
      <c r="J133" t="s">
        <v>811</v>
      </c>
      <c r="K133" t="s">
        <v>3517</v>
      </c>
      <c r="L133" t="s">
        <v>3655</v>
      </c>
    </row>
    <row r="134" spans="7:12">
      <c r="G134" t="s">
        <v>3522</v>
      </c>
      <c r="H134" t="s">
        <v>578</v>
      </c>
      <c r="I134" t="s">
        <v>3518</v>
      </c>
      <c r="J134" t="s">
        <v>811</v>
      </c>
      <c r="K134" t="s">
        <v>3519</v>
      </c>
      <c r="L134" t="s">
        <v>3656</v>
      </c>
    </row>
    <row r="135" spans="7:12">
      <c r="G135" t="s">
        <v>3522</v>
      </c>
      <c r="H135" t="s">
        <v>578</v>
      </c>
      <c r="I135" t="s">
        <v>3518</v>
      </c>
      <c r="J135" t="s">
        <v>811</v>
      </c>
      <c r="K135" t="s">
        <v>3520</v>
      </c>
      <c r="L135" t="s">
        <v>3657</v>
      </c>
    </row>
    <row r="136" spans="7:12">
      <c r="G136" t="s">
        <v>3522</v>
      </c>
      <c r="H136" t="s">
        <v>578</v>
      </c>
      <c r="I136" t="s">
        <v>3518</v>
      </c>
      <c r="J136" t="s">
        <v>812</v>
      </c>
      <c r="K136" t="s">
        <v>3517</v>
      </c>
      <c r="L136" t="s">
        <v>3658</v>
      </c>
    </row>
    <row r="137" spans="7:12">
      <c r="G137" t="s">
        <v>3522</v>
      </c>
      <c r="H137" t="s">
        <v>578</v>
      </c>
      <c r="I137" t="s">
        <v>3518</v>
      </c>
      <c r="J137" t="s">
        <v>812</v>
      </c>
      <c r="K137" t="s">
        <v>3519</v>
      </c>
      <c r="L137" t="s">
        <v>3659</v>
      </c>
    </row>
    <row r="138" spans="7:12">
      <c r="G138" t="s">
        <v>3522</v>
      </c>
      <c r="H138" t="s">
        <v>578</v>
      </c>
      <c r="I138" t="s">
        <v>3518</v>
      </c>
      <c r="J138" t="s">
        <v>812</v>
      </c>
      <c r="K138" t="s">
        <v>3520</v>
      </c>
      <c r="L138" t="s">
        <v>3660</v>
      </c>
    </row>
    <row r="139" spans="7:12">
      <c r="G139" t="s">
        <v>3522</v>
      </c>
      <c r="H139" t="s">
        <v>578</v>
      </c>
      <c r="I139" t="s">
        <v>3518</v>
      </c>
      <c r="J139" t="s">
        <v>813</v>
      </c>
      <c r="K139" t="s">
        <v>3517</v>
      </c>
      <c r="L139" t="s">
        <v>3661</v>
      </c>
    </row>
    <row r="140" spans="7:12">
      <c r="G140" t="s">
        <v>3522</v>
      </c>
      <c r="H140" t="s">
        <v>578</v>
      </c>
      <c r="I140" t="s">
        <v>3518</v>
      </c>
      <c r="J140" t="s">
        <v>813</v>
      </c>
      <c r="K140" t="s">
        <v>3519</v>
      </c>
      <c r="L140" t="s">
        <v>3662</v>
      </c>
    </row>
    <row r="141" spans="7:12">
      <c r="G141" t="s">
        <v>3522</v>
      </c>
      <c r="H141" t="s">
        <v>578</v>
      </c>
      <c r="I141" t="s">
        <v>3518</v>
      </c>
      <c r="J141" t="s">
        <v>813</v>
      </c>
      <c r="K141" t="s">
        <v>3520</v>
      </c>
      <c r="L141" t="s">
        <v>3663</v>
      </c>
    </row>
    <row r="142" spans="7:12">
      <c r="G142" t="s">
        <v>3522</v>
      </c>
      <c r="H142" t="s">
        <v>578</v>
      </c>
      <c r="I142" t="s">
        <v>3518</v>
      </c>
      <c r="J142" t="s">
        <v>3521</v>
      </c>
      <c r="K142" t="s">
        <v>3517</v>
      </c>
      <c r="L142" t="s">
        <v>3664</v>
      </c>
    </row>
    <row r="143" spans="7:12">
      <c r="G143" t="s">
        <v>3522</v>
      </c>
      <c r="H143" t="s">
        <v>578</v>
      </c>
      <c r="I143" t="s">
        <v>3518</v>
      </c>
      <c r="J143" t="s">
        <v>3521</v>
      </c>
      <c r="K143" t="s">
        <v>3519</v>
      </c>
      <c r="L143" t="s">
        <v>3665</v>
      </c>
    </row>
    <row r="144" spans="7:12">
      <c r="G144" t="s">
        <v>3522</v>
      </c>
      <c r="H144" t="s">
        <v>578</v>
      </c>
      <c r="I144" t="s">
        <v>3518</v>
      </c>
      <c r="J144" t="s">
        <v>3521</v>
      </c>
      <c r="K144" t="s">
        <v>3520</v>
      </c>
      <c r="L144" t="s">
        <v>3666</v>
      </c>
    </row>
  </sheetData>
  <phoneticPr fontId="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Q13"/>
  <sheetViews>
    <sheetView topLeftCell="A4" workbookViewId="0">
      <selection activeCell="O6" sqref="O6"/>
    </sheetView>
  </sheetViews>
  <sheetFormatPr defaultColWidth="9.109375" defaultRowHeight="10.8"/>
  <cols>
    <col min="1" max="16384" width="9.109375" style="724"/>
  </cols>
  <sheetData>
    <row r="1" spans="1:225" ht="13.8">
      <c r="A1" s="716" t="s">
        <v>576</v>
      </c>
      <c r="B1" s="716" t="s">
        <v>575</v>
      </c>
      <c r="C1" s="716" t="s">
        <v>577</v>
      </c>
      <c r="D1" s="717"/>
      <c r="E1" s="717"/>
      <c r="F1" s="717"/>
      <c r="G1" s="717"/>
      <c r="H1" s="717"/>
      <c r="I1" s="717"/>
      <c r="J1" s="717"/>
      <c r="K1" s="717"/>
      <c r="L1" s="717"/>
      <c r="M1" s="717"/>
      <c r="N1" s="717"/>
      <c r="O1" s="717"/>
      <c r="P1" s="717"/>
      <c r="Q1" s="717"/>
      <c r="R1" s="717"/>
      <c r="S1" s="717"/>
      <c r="T1" s="717"/>
      <c r="U1" s="717"/>
      <c r="V1" s="717"/>
      <c r="W1" s="717"/>
      <c r="X1" s="717"/>
      <c r="Y1" s="717"/>
      <c r="Z1" s="717"/>
      <c r="AA1" s="717"/>
      <c r="AB1" s="717"/>
      <c r="AC1" s="717"/>
      <c r="AD1" s="717"/>
      <c r="AE1" s="717"/>
      <c r="AF1" s="717"/>
      <c r="AG1" s="717"/>
      <c r="AH1" s="717"/>
      <c r="AI1" s="717"/>
      <c r="AJ1" s="717"/>
      <c r="AK1" s="717"/>
      <c r="AL1" s="717"/>
      <c r="AM1" s="717"/>
      <c r="AN1" s="717"/>
      <c r="AO1" s="717"/>
      <c r="AP1" s="717"/>
      <c r="AQ1" s="717"/>
      <c r="AR1" s="717"/>
      <c r="AS1" s="717"/>
      <c r="AT1" s="717"/>
      <c r="AU1" s="717"/>
      <c r="AV1" s="717"/>
      <c r="AW1" s="717"/>
      <c r="AX1" s="717"/>
      <c r="AY1" s="717"/>
      <c r="AZ1" s="717"/>
      <c r="BA1" s="717"/>
      <c r="BB1" s="717"/>
      <c r="BC1" s="717"/>
      <c r="BD1" s="717"/>
      <c r="BE1" s="717"/>
      <c r="BF1" s="717"/>
      <c r="BG1" s="717"/>
      <c r="BH1" s="717"/>
      <c r="BI1" s="717"/>
      <c r="BJ1" s="717"/>
      <c r="BK1" s="717"/>
      <c r="BL1" s="717"/>
      <c r="BM1" s="717"/>
      <c r="BN1" s="717"/>
      <c r="BO1" s="717"/>
      <c r="BP1" s="717"/>
      <c r="BQ1" s="717"/>
      <c r="BR1" s="717"/>
      <c r="BS1" s="717"/>
      <c r="BT1" s="717"/>
      <c r="BU1" s="717"/>
      <c r="BV1" s="717"/>
      <c r="BW1" s="717"/>
      <c r="BX1" s="717"/>
      <c r="BY1" s="717"/>
      <c r="BZ1" s="717"/>
      <c r="CA1" s="717"/>
      <c r="CB1" s="717"/>
      <c r="CC1" s="717"/>
      <c r="CD1" s="717"/>
      <c r="CE1" s="717"/>
      <c r="CF1" s="717"/>
      <c r="CG1" s="717"/>
      <c r="CH1" s="717"/>
      <c r="CI1" s="717"/>
      <c r="CJ1" s="717"/>
      <c r="CK1" s="717"/>
      <c r="CL1" s="717"/>
      <c r="CM1" s="717"/>
      <c r="CN1" s="717"/>
      <c r="CO1" s="717"/>
      <c r="CP1" s="717"/>
      <c r="CQ1" s="717"/>
      <c r="CR1" s="717"/>
      <c r="CS1" s="717"/>
      <c r="CT1" s="717"/>
      <c r="CU1" s="717"/>
      <c r="CV1" s="717"/>
      <c r="CW1" s="717"/>
      <c r="CX1" s="717"/>
      <c r="CY1" s="717"/>
      <c r="CZ1" s="717"/>
      <c r="DA1" s="717"/>
      <c r="DB1" s="717"/>
      <c r="DC1" s="717"/>
      <c r="DD1" s="717"/>
      <c r="DE1" s="717"/>
      <c r="DF1" s="717"/>
      <c r="DG1" s="717"/>
      <c r="DH1" s="717"/>
      <c r="DI1" s="717"/>
      <c r="DJ1" s="717"/>
      <c r="DK1" s="717"/>
      <c r="DL1" s="717"/>
      <c r="DM1" s="717"/>
      <c r="DN1" s="717"/>
      <c r="DO1" s="717"/>
      <c r="DP1" s="717"/>
      <c r="DQ1" s="717"/>
      <c r="DR1" s="717"/>
      <c r="DS1" s="717"/>
      <c r="DT1" s="717"/>
      <c r="DU1" s="717"/>
      <c r="DV1" s="717"/>
      <c r="DW1" s="717"/>
      <c r="DX1" s="717"/>
      <c r="DY1" s="717"/>
      <c r="DZ1" s="717"/>
      <c r="EA1" s="717"/>
      <c r="EB1" s="717"/>
      <c r="EC1" s="717"/>
      <c r="ED1" s="717"/>
      <c r="EE1" s="717"/>
      <c r="EF1" s="717"/>
      <c r="EG1" s="717"/>
      <c r="EH1" s="717"/>
      <c r="EI1" s="717"/>
      <c r="EJ1" s="717"/>
      <c r="EK1" s="717"/>
      <c r="EL1" s="717"/>
      <c r="EM1" s="717"/>
      <c r="EN1" s="717"/>
      <c r="EO1" s="717"/>
      <c r="EP1" s="717"/>
      <c r="EQ1" s="717"/>
      <c r="ER1" s="717"/>
      <c r="ES1" s="717"/>
      <c r="ET1" s="717"/>
      <c r="EU1" s="717"/>
      <c r="EV1" s="717"/>
      <c r="EW1" s="717"/>
      <c r="EX1" s="717"/>
      <c r="EY1" s="717"/>
      <c r="EZ1" s="717"/>
      <c r="FA1" s="717"/>
      <c r="FB1" s="717"/>
      <c r="FC1" s="717"/>
      <c r="FD1" s="717"/>
      <c r="FE1" s="717"/>
      <c r="FF1" s="717"/>
      <c r="FG1" s="717"/>
      <c r="FH1" s="717"/>
      <c r="FI1" s="717"/>
      <c r="FJ1" s="717"/>
      <c r="FK1" s="717"/>
      <c r="FL1" s="717"/>
      <c r="FM1" s="717"/>
      <c r="FN1" s="717"/>
      <c r="FO1" s="717"/>
      <c r="FP1" s="717"/>
      <c r="FQ1" s="717"/>
      <c r="FR1" s="717"/>
      <c r="FS1" s="717"/>
      <c r="FT1" s="717"/>
      <c r="FU1" s="717"/>
      <c r="FV1" s="717"/>
      <c r="FW1" s="717"/>
      <c r="FX1" s="717"/>
      <c r="FY1" s="717"/>
      <c r="FZ1" s="717"/>
      <c r="GA1" s="717"/>
      <c r="GB1" s="717"/>
      <c r="GC1" s="717"/>
      <c r="GD1" s="717"/>
      <c r="GE1" s="717"/>
      <c r="GF1" s="717"/>
      <c r="GG1" s="717"/>
      <c r="GH1" s="717"/>
      <c r="GI1" s="717"/>
      <c r="GJ1" s="717"/>
      <c r="GK1" s="717"/>
      <c r="GL1" s="717"/>
      <c r="GM1" s="717"/>
      <c r="GN1" s="717"/>
      <c r="GO1" s="717"/>
      <c r="GP1" s="717"/>
      <c r="GQ1" s="717"/>
      <c r="GR1" s="718"/>
      <c r="GS1" s="719"/>
      <c r="GT1" s="719"/>
      <c r="GU1" s="719"/>
      <c r="GV1" s="720"/>
      <c r="GW1" s="720"/>
      <c r="GX1" s="721"/>
      <c r="GY1" s="722"/>
      <c r="GZ1" s="721"/>
      <c r="HA1" s="722"/>
      <c r="HB1" s="721"/>
      <c r="HC1" s="722"/>
      <c r="HD1" s="721"/>
      <c r="HE1" s="722"/>
      <c r="HF1" s="721"/>
      <c r="HG1" s="722"/>
      <c r="HH1" s="721"/>
      <c r="HI1" s="722"/>
      <c r="HJ1" s="721"/>
      <c r="HK1" s="722"/>
      <c r="HL1" s="721"/>
      <c r="HM1" s="722"/>
      <c r="HN1" s="721"/>
      <c r="HO1" s="722"/>
      <c r="HP1" s="721"/>
      <c r="HQ1" s="723"/>
    </row>
    <row r="2" spans="1:225" ht="13.8">
      <c r="A2" s="716" t="s">
        <v>3515</v>
      </c>
      <c r="B2" s="716" t="s">
        <v>3518</v>
      </c>
      <c r="C2" s="717"/>
      <c r="D2" s="717"/>
      <c r="E2" s="717"/>
      <c r="F2" s="717"/>
      <c r="G2" s="717"/>
      <c r="H2" s="717"/>
      <c r="I2" s="717"/>
      <c r="J2" s="717"/>
      <c r="K2" s="717"/>
      <c r="L2" s="717"/>
      <c r="M2" s="717"/>
      <c r="N2" s="717"/>
      <c r="O2" s="717"/>
      <c r="P2" s="717"/>
      <c r="Q2" s="717"/>
      <c r="R2" s="717"/>
      <c r="S2" s="717"/>
      <c r="T2" s="717"/>
      <c r="U2" s="717"/>
      <c r="V2" s="717"/>
      <c r="W2" s="717"/>
      <c r="X2" s="717"/>
      <c r="Y2" s="717"/>
      <c r="Z2" s="717"/>
      <c r="AA2" s="717"/>
      <c r="AB2" s="717"/>
      <c r="AC2" s="717"/>
      <c r="AD2" s="717"/>
      <c r="AE2" s="717"/>
      <c r="AF2" s="717"/>
      <c r="AG2" s="717"/>
      <c r="AH2" s="717"/>
      <c r="AI2" s="717"/>
      <c r="AJ2" s="717"/>
      <c r="AK2" s="717"/>
      <c r="AL2" s="717"/>
      <c r="AM2" s="717"/>
      <c r="AN2" s="717"/>
      <c r="AO2" s="717"/>
      <c r="AP2" s="717"/>
      <c r="AQ2" s="717"/>
      <c r="AR2" s="717"/>
      <c r="AS2" s="717"/>
      <c r="AT2" s="717"/>
      <c r="AU2" s="717"/>
      <c r="AV2" s="717"/>
      <c r="AW2" s="717"/>
      <c r="AX2" s="717"/>
      <c r="AY2" s="717"/>
      <c r="AZ2" s="717"/>
      <c r="BA2" s="717"/>
      <c r="BB2" s="717"/>
      <c r="BC2" s="717"/>
      <c r="BD2" s="717"/>
      <c r="BE2" s="717"/>
      <c r="BF2" s="717"/>
      <c r="BG2" s="717"/>
      <c r="BH2" s="717"/>
      <c r="BI2" s="717"/>
      <c r="BJ2" s="717"/>
      <c r="BK2" s="717"/>
      <c r="BL2" s="717"/>
      <c r="BM2" s="717"/>
      <c r="BN2" s="717"/>
      <c r="BO2" s="717"/>
      <c r="BP2" s="717"/>
      <c r="BQ2" s="717"/>
      <c r="BR2" s="717"/>
      <c r="BS2" s="717"/>
      <c r="BT2" s="717"/>
      <c r="BU2" s="717"/>
      <c r="BV2" s="717"/>
      <c r="BW2" s="717"/>
      <c r="BX2" s="717"/>
      <c r="BY2" s="717"/>
      <c r="BZ2" s="717"/>
      <c r="CA2" s="717"/>
      <c r="CB2" s="717"/>
      <c r="CC2" s="717"/>
      <c r="CD2" s="717"/>
      <c r="CE2" s="717"/>
      <c r="CF2" s="717"/>
      <c r="CG2" s="717"/>
      <c r="CH2" s="717"/>
      <c r="CI2" s="717"/>
      <c r="CJ2" s="717"/>
      <c r="CK2" s="717"/>
      <c r="CL2" s="717"/>
      <c r="CM2" s="717"/>
      <c r="CN2" s="717"/>
      <c r="CO2" s="717"/>
      <c r="CP2" s="717"/>
      <c r="CQ2" s="717"/>
      <c r="CR2" s="717"/>
      <c r="CS2" s="717"/>
      <c r="CT2" s="717"/>
      <c r="CU2" s="717"/>
      <c r="CV2" s="717"/>
      <c r="CW2" s="717"/>
      <c r="CX2" s="717"/>
      <c r="CY2" s="717"/>
      <c r="CZ2" s="717"/>
      <c r="DA2" s="717"/>
      <c r="DB2" s="717"/>
      <c r="DC2" s="717"/>
      <c r="DD2" s="717"/>
      <c r="DE2" s="717"/>
      <c r="DF2" s="717"/>
      <c r="DG2" s="717"/>
      <c r="DH2" s="717"/>
      <c r="DI2" s="717"/>
      <c r="DJ2" s="717"/>
      <c r="DK2" s="717"/>
      <c r="DL2" s="717"/>
      <c r="DM2" s="717"/>
      <c r="DN2" s="717"/>
      <c r="DO2" s="717"/>
      <c r="DP2" s="717"/>
      <c r="DQ2" s="717"/>
      <c r="DR2" s="717"/>
      <c r="DS2" s="717"/>
      <c r="DT2" s="717"/>
      <c r="DU2" s="717"/>
      <c r="DV2" s="717"/>
      <c r="DW2" s="717"/>
      <c r="DX2" s="717"/>
      <c r="DY2" s="717"/>
      <c r="DZ2" s="717"/>
      <c r="EA2" s="717"/>
      <c r="EB2" s="717"/>
      <c r="EC2" s="717"/>
      <c r="ED2" s="717"/>
      <c r="EE2" s="717"/>
      <c r="EF2" s="717"/>
      <c r="EG2" s="717"/>
      <c r="EH2" s="717"/>
      <c r="EI2" s="717"/>
      <c r="EJ2" s="717"/>
      <c r="EK2" s="717"/>
      <c r="EL2" s="717"/>
      <c r="EM2" s="717"/>
      <c r="EN2" s="717"/>
      <c r="EO2" s="717"/>
      <c r="EP2" s="717"/>
      <c r="EQ2" s="717"/>
      <c r="ER2" s="717"/>
      <c r="ES2" s="717"/>
      <c r="ET2" s="717"/>
      <c r="EU2" s="717"/>
      <c r="EV2" s="717"/>
      <c r="EW2" s="717"/>
      <c r="EX2" s="717"/>
      <c r="EY2" s="717"/>
      <c r="EZ2" s="717"/>
      <c r="FA2" s="717"/>
      <c r="FB2" s="717"/>
      <c r="FC2" s="717"/>
      <c r="FD2" s="717"/>
      <c r="FE2" s="717"/>
      <c r="FF2" s="717"/>
      <c r="FG2" s="717"/>
      <c r="FH2" s="717"/>
      <c r="FI2" s="717"/>
      <c r="FJ2" s="717"/>
      <c r="FK2" s="717"/>
      <c r="FL2" s="717"/>
      <c r="FM2" s="717"/>
      <c r="FN2" s="717"/>
      <c r="FO2" s="717"/>
      <c r="FP2" s="717"/>
      <c r="FQ2" s="717"/>
      <c r="FR2" s="717"/>
      <c r="FS2" s="717"/>
      <c r="FT2" s="717"/>
      <c r="FU2" s="717"/>
      <c r="FV2" s="717"/>
      <c r="FW2" s="717"/>
      <c r="FX2" s="717"/>
      <c r="FY2" s="717"/>
      <c r="FZ2" s="717"/>
      <c r="GA2" s="717"/>
      <c r="GB2" s="717"/>
      <c r="GC2" s="717"/>
      <c r="GD2" s="717"/>
      <c r="GE2" s="717"/>
      <c r="GF2" s="717"/>
      <c r="GG2" s="717"/>
      <c r="GH2" s="717"/>
      <c r="GI2" s="717"/>
      <c r="GJ2" s="717"/>
      <c r="GK2" s="717"/>
      <c r="GL2" s="717"/>
      <c r="GM2" s="717"/>
      <c r="GN2" s="717"/>
      <c r="GO2" s="717"/>
      <c r="GP2" s="717"/>
      <c r="GQ2" s="717"/>
      <c r="GR2" s="718"/>
      <c r="GS2" s="719"/>
      <c r="GT2" s="719"/>
      <c r="GU2" s="719"/>
      <c r="GV2" s="720"/>
      <c r="GW2" s="720"/>
      <c r="GX2" s="721"/>
      <c r="GY2" s="722"/>
      <c r="GZ2" s="721"/>
      <c r="HA2" s="722"/>
      <c r="HB2" s="721"/>
      <c r="HC2" s="722"/>
      <c r="HD2" s="721"/>
      <c r="HE2" s="722"/>
      <c r="HF2" s="721"/>
      <c r="HG2" s="722"/>
      <c r="HH2" s="721"/>
      <c r="HI2" s="722"/>
      <c r="HJ2" s="721"/>
      <c r="HK2" s="722"/>
      <c r="HL2" s="721"/>
      <c r="HM2" s="722"/>
      <c r="HN2" s="721"/>
      <c r="HO2" s="722"/>
      <c r="HP2" s="721"/>
      <c r="HQ2" s="723"/>
    </row>
    <row r="3" spans="1:225" ht="13.8">
      <c r="A3" s="716" t="s">
        <v>3667</v>
      </c>
      <c r="B3" s="716" t="s">
        <v>3668</v>
      </c>
      <c r="C3" s="716" t="s">
        <v>3669</v>
      </c>
      <c r="D3" s="717"/>
      <c r="E3" s="717"/>
      <c r="F3" s="717"/>
      <c r="G3" s="717"/>
      <c r="H3" s="717"/>
      <c r="I3" s="717"/>
      <c r="J3" s="717"/>
      <c r="K3" s="717"/>
      <c r="L3" s="717"/>
      <c r="M3" s="717"/>
      <c r="N3" s="717"/>
      <c r="O3" s="717"/>
      <c r="P3" s="717"/>
      <c r="Q3" s="717"/>
      <c r="R3" s="717"/>
      <c r="S3" s="717"/>
      <c r="T3" s="717"/>
      <c r="U3" s="717"/>
      <c r="V3" s="717"/>
      <c r="W3" s="717"/>
      <c r="X3" s="717"/>
      <c r="Y3" s="717"/>
      <c r="Z3" s="717"/>
      <c r="AA3" s="717"/>
      <c r="AB3" s="717"/>
      <c r="AC3" s="717"/>
      <c r="AD3" s="717"/>
      <c r="AE3" s="717"/>
      <c r="AF3" s="717"/>
      <c r="AG3" s="717"/>
      <c r="AH3" s="717"/>
      <c r="AI3" s="717"/>
      <c r="AJ3" s="717"/>
      <c r="AK3" s="717"/>
      <c r="AL3" s="717"/>
      <c r="AM3" s="717"/>
      <c r="AN3" s="717"/>
      <c r="AO3" s="717"/>
      <c r="AP3" s="717"/>
      <c r="AQ3" s="717"/>
      <c r="AR3" s="717"/>
      <c r="AS3" s="717"/>
      <c r="AT3" s="717"/>
      <c r="AU3" s="717"/>
      <c r="AV3" s="717"/>
      <c r="AW3" s="717"/>
      <c r="AX3" s="717"/>
      <c r="AY3" s="717"/>
      <c r="AZ3" s="717"/>
      <c r="BA3" s="717"/>
      <c r="BB3" s="717"/>
      <c r="BC3" s="717"/>
      <c r="BD3" s="717"/>
      <c r="BE3" s="717"/>
      <c r="BF3" s="717"/>
      <c r="BG3" s="717"/>
      <c r="BH3" s="717"/>
      <c r="BI3" s="717"/>
      <c r="BJ3" s="717"/>
      <c r="BK3" s="717"/>
      <c r="BL3" s="717"/>
      <c r="BM3" s="717"/>
      <c r="BN3" s="717"/>
      <c r="BO3" s="717"/>
      <c r="BP3" s="717"/>
      <c r="BQ3" s="717"/>
      <c r="BR3" s="717"/>
      <c r="BS3" s="717"/>
      <c r="BT3" s="717"/>
      <c r="BU3" s="717"/>
      <c r="BV3" s="717"/>
      <c r="BW3" s="717"/>
      <c r="BX3" s="717"/>
      <c r="BY3" s="717"/>
      <c r="BZ3" s="717"/>
      <c r="CA3" s="717"/>
      <c r="CB3" s="717"/>
      <c r="CC3" s="717"/>
      <c r="CD3" s="717"/>
      <c r="CE3" s="717"/>
      <c r="CF3" s="717"/>
      <c r="CG3" s="717"/>
      <c r="CH3" s="717"/>
      <c r="CI3" s="717"/>
      <c r="CJ3" s="717"/>
      <c r="CK3" s="717"/>
      <c r="CL3" s="717"/>
      <c r="CM3" s="717"/>
      <c r="CN3" s="717"/>
      <c r="CO3" s="717"/>
      <c r="CP3" s="717"/>
      <c r="CQ3" s="717"/>
      <c r="CR3" s="717"/>
      <c r="CS3" s="717"/>
      <c r="CT3" s="717"/>
      <c r="CU3" s="717"/>
      <c r="CV3" s="717"/>
      <c r="CW3" s="717"/>
      <c r="CX3" s="717"/>
      <c r="CY3" s="717"/>
      <c r="CZ3" s="717"/>
      <c r="DA3" s="717"/>
      <c r="DB3" s="717"/>
      <c r="DC3" s="717"/>
      <c r="DD3" s="717"/>
      <c r="DE3" s="717"/>
      <c r="DF3" s="717"/>
      <c r="DG3" s="717"/>
      <c r="DH3" s="717"/>
      <c r="DI3" s="717"/>
      <c r="DJ3" s="717"/>
      <c r="DK3" s="717"/>
      <c r="DL3" s="717"/>
      <c r="DM3" s="717"/>
      <c r="DN3" s="717"/>
      <c r="DO3" s="717"/>
      <c r="DP3" s="717"/>
      <c r="DQ3" s="717"/>
      <c r="DR3" s="717"/>
      <c r="DS3" s="717"/>
      <c r="DT3" s="717"/>
      <c r="DU3" s="717"/>
      <c r="DV3" s="717"/>
      <c r="DW3" s="717"/>
      <c r="DX3" s="717"/>
      <c r="DY3" s="717"/>
      <c r="DZ3" s="717"/>
      <c r="EA3" s="717"/>
      <c r="EB3" s="717"/>
      <c r="EC3" s="717"/>
      <c r="ED3" s="717"/>
      <c r="EE3" s="717"/>
      <c r="EF3" s="717"/>
      <c r="EG3" s="717"/>
      <c r="EH3" s="717"/>
      <c r="EI3" s="717"/>
      <c r="EJ3" s="717"/>
      <c r="EK3" s="717"/>
      <c r="EL3" s="717"/>
      <c r="EM3" s="717"/>
      <c r="EN3" s="717"/>
      <c r="EO3" s="717"/>
      <c r="EP3" s="717"/>
      <c r="EQ3" s="717"/>
      <c r="ER3" s="717"/>
      <c r="ES3" s="717"/>
      <c r="ET3" s="717"/>
      <c r="EU3" s="717"/>
      <c r="EV3" s="717"/>
      <c r="EW3" s="717"/>
      <c r="EX3" s="717"/>
      <c r="EY3" s="717"/>
      <c r="EZ3" s="717"/>
      <c r="FA3" s="717"/>
      <c r="FB3" s="717"/>
      <c r="FC3" s="717"/>
      <c r="FD3" s="717"/>
      <c r="FE3" s="717"/>
      <c r="FF3" s="717"/>
      <c r="FG3" s="717"/>
      <c r="FH3" s="717"/>
      <c r="FI3" s="717"/>
      <c r="FJ3" s="717"/>
      <c r="FK3" s="717"/>
      <c r="FL3" s="717"/>
      <c r="FM3" s="717"/>
      <c r="FN3" s="717"/>
      <c r="FO3" s="717"/>
      <c r="FP3" s="717"/>
      <c r="FQ3" s="717"/>
      <c r="FR3" s="717"/>
      <c r="FS3" s="717"/>
      <c r="FT3" s="717"/>
      <c r="FU3" s="717"/>
      <c r="FV3" s="717"/>
      <c r="FW3" s="717"/>
      <c r="FX3" s="717"/>
      <c r="FY3" s="717"/>
      <c r="FZ3" s="717"/>
      <c r="GA3" s="717"/>
      <c r="GB3" s="717"/>
      <c r="GC3" s="717"/>
      <c r="GD3" s="717"/>
      <c r="GE3" s="717"/>
      <c r="GF3" s="717"/>
      <c r="GG3" s="717"/>
      <c r="GH3" s="717"/>
      <c r="GI3" s="717"/>
      <c r="GJ3" s="717"/>
      <c r="GK3" s="717"/>
      <c r="GL3" s="717"/>
      <c r="GM3" s="717"/>
      <c r="GN3" s="717"/>
      <c r="GO3" s="717"/>
      <c r="GP3" s="717"/>
      <c r="GQ3" s="717"/>
      <c r="GR3" s="718"/>
      <c r="GS3" s="719"/>
      <c r="GT3" s="719"/>
      <c r="GU3" s="719"/>
      <c r="GV3" s="720"/>
      <c r="GW3" s="720"/>
      <c r="GX3" s="721"/>
      <c r="GY3" s="722"/>
      <c r="GZ3" s="721"/>
      <c r="HA3" s="722"/>
      <c r="HB3" s="721"/>
      <c r="HC3" s="722"/>
      <c r="HD3" s="721"/>
      <c r="HE3" s="722"/>
      <c r="HF3" s="721"/>
      <c r="HG3" s="722"/>
      <c r="HH3" s="721"/>
      <c r="HI3" s="722"/>
      <c r="HJ3" s="721"/>
      <c r="HK3" s="722"/>
      <c r="HL3" s="721"/>
      <c r="HM3" s="722"/>
      <c r="HN3" s="721"/>
      <c r="HO3" s="722"/>
      <c r="HP3" s="721"/>
      <c r="HQ3" s="723"/>
    </row>
    <row r="4" spans="1:225" ht="21.6">
      <c r="A4" s="716" t="s">
        <v>3670</v>
      </c>
      <c r="B4" s="716" t="s">
        <v>3671</v>
      </c>
      <c r="C4" s="716" t="s">
        <v>3672</v>
      </c>
      <c r="D4" s="717"/>
      <c r="E4" s="717"/>
      <c r="F4" s="717"/>
      <c r="G4" s="717"/>
      <c r="H4" s="717"/>
      <c r="I4" s="717"/>
      <c r="J4" s="717"/>
      <c r="K4" s="717"/>
      <c r="L4" s="717"/>
      <c r="M4" s="717"/>
      <c r="N4" s="717"/>
      <c r="O4" s="717"/>
      <c r="P4" s="717"/>
      <c r="Q4" s="717"/>
      <c r="R4" s="717"/>
      <c r="S4" s="717"/>
      <c r="T4" s="717"/>
      <c r="U4" s="717"/>
      <c r="V4" s="717"/>
      <c r="W4" s="717"/>
      <c r="X4" s="717"/>
      <c r="Y4" s="717"/>
      <c r="Z4" s="717"/>
      <c r="AA4" s="717"/>
      <c r="AB4" s="717"/>
      <c r="AC4" s="717"/>
      <c r="AD4" s="717"/>
      <c r="AE4" s="717"/>
      <c r="AF4" s="717"/>
      <c r="AG4" s="717"/>
      <c r="AH4" s="717"/>
      <c r="AI4" s="717"/>
      <c r="AJ4" s="717"/>
      <c r="AK4" s="717"/>
      <c r="AL4" s="717"/>
      <c r="AM4" s="717"/>
      <c r="AN4" s="717"/>
      <c r="AO4" s="717"/>
      <c r="AP4" s="717"/>
      <c r="AQ4" s="717"/>
      <c r="AR4" s="717"/>
      <c r="AS4" s="717"/>
      <c r="AT4" s="717"/>
      <c r="AU4" s="717"/>
      <c r="AV4" s="717"/>
      <c r="AW4" s="717"/>
      <c r="AX4" s="717"/>
      <c r="AY4" s="717"/>
      <c r="AZ4" s="717"/>
      <c r="BA4" s="717"/>
      <c r="BB4" s="717"/>
      <c r="BC4" s="717"/>
      <c r="BD4" s="717"/>
      <c r="BE4" s="717"/>
      <c r="BF4" s="717"/>
      <c r="BG4" s="717"/>
      <c r="BH4" s="717"/>
      <c r="BI4" s="717"/>
      <c r="BJ4" s="717"/>
      <c r="BK4" s="717"/>
      <c r="BL4" s="717"/>
      <c r="BM4" s="717"/>
      <c r="BN4" s="717"/>
      <c r="BO4" s="717"/>
      <c r="BP4" s="717"/>
      <c r="BQ4" s="717"/>
      <c r="BR4" s="717"/>
      <c r="BS4" s="717"/>
      <c r="BT4" s="717"/>
      <c r="BU4" s="717"/>
      <c r="BV4" s="717"/>
      <c r="BW4" s="717"/>
      <c r="BX4" s="717"/>
      <c r="BY4" s="717"/>
      <c r="BZ4" s="717"/>
      <c r="CA4" s="717"/>
      <c r="CB4" s="717"/>
      <c r="CC4" s="717"/>
      <c r="CD4" s="717"/>
      <c r="CE4" s="717"/>
      <c r="CF4" s="717"/>
      <c r="CG4" s="717"/>
      <c r="CH4" s="717"/>
      <c r="CI4" s="717"/>
      <c r="CJ4" s="717"/>
      <c r="CK4" s="717"/>
      <c r="CL4" s="717"/>
      <c r="CM4" s="717"/>
      <c r="CN4" s="717"/>
      <c r="CO4" s="717"/>
      <c r="CP4" s="717"/>
      <c r="CQ4" s="717"/>
      <c r="CR4" s="717"/>
      <c r="CS4" s="717"/>
      <c r="CT4" s="717"/>
      <c r="CU4" s="717"/>
      <c r="CV4" s="717"/>
      <c r="CW4" s="717"/>
      <c r="CX4" s="717"/>
      <c r="CY4" s="717"/>
      <c r="CZ4" s="717"/>
      <c r="DA4" s="717"/>
      <c r="DB4" s="717"/>
      <c r="DC4" s="717"/>
      <c r="DD4" s="717"/>
      <c r="DE4" s="717"/>
      <c r="DF4" s="717"/>
      <c r="DG4" s="717"/>
      <c r="DH4" s="717"/>
      <c r="DI4" s="717"/>
      <c r="DJ4" s="717"/>
      <c r="DK4" s="717"/>
      <c r="DL4" s="717"/>
      <c r="DM4" s="717"/>
      <c r="DN4" s="717"/>
      <c r="DO4" s="717"/>
      <c r="DP4" s="717"/>
      <c r="DQ4" s="717"/>
      <c r="DR4" s="717"/>
      <c r="DS4" s="717"/>
      <c r="DT4" s="717"/>
      <c r="DU4" s="717"/>
      <c r="DV4" s="717"/>
      <c r="DW4" s="717"/>
      <c r="DX4" s="717"/>
      <c r="DY4" s="717"/>
      <c r="DZ4" s="717"/>
      <c r="EA4" s="717"/>
      <c r="EB4" s="717"/>
      <c r="EC4" s="717"/>
      <c r="ED4" s="717"/>
      <c r="EE4" s="717"/>
      <c r="EF4" s="717"/>
      <c r="EG4" s="717"/>
      <c r="EH4" s="717"/>
      <c r="EI4" s="717"/>
      <c r="EJ4" s="717"/>
      <c r="EK4" s="717"/>
      <c r="EL4" s="717"/>
      <c r="EM4" s="717"/>
      <c r="EN4" s="717"/>
      <c r="EO4" s="717"/>
      <c r="EP4" s="717"/>
      <c r="EQ4" s="717"/>
      <c r="ER4" s="717"/>
      <c r="ES4" s="717"/>
      <c r="ET4" s="717"/>
      <c r="EU4" s="717"/>
      <c r="EV4" s="717"/>
      <c r="EW4" s="717"/>
      <c r="EX4" s="717"/>
      <c r="EY4" s="717"/>
      <c r="EZ4" s="717"/>
      <c r="FA4" s="717"/>
      <c r="FB4" s="717"/>
      <c r="FC4" s="717"/>
      <c r="FD4" s="717"/>
      <c r="FE4" s="717"/>
      <c r="FF4" s="717"/>
      <c r="FG4" s="717"/>
      <c r="FH4" s="717"/>
      <c r="FI4" s="717"/>
      <c r="FJ4" s="717"/>
      <c r="FK4" s="717"/>
      <c r="FL4" s="717"/>
      <c r="FM4" s="717"/>
      <c r="FN4" s="717"/>
      <c r="FO4" s="717"/>
      <c r="FP4" s="717"/>
      <c r="FQ4" s="717"/>
      <c r="FR4" s="717"/>
      <c r="FS4" s="717"/>
      <c r="FT4" s="717"/>
      <c r="FU4" s="717"/>
      <c r="FV4" s="717"/>
      <c r="FW4" s="717"/>
      <c r="FX4" s="717"/>
      <c r="FY4" s="717"/>
      <c r="FZ4" s="717"/>
      <c r="GA4" s="717"/>
      <c r="GB4" s="717"/>
      <c r="GC4" s="717"/>
      <c r="GD4" s="717"/>
      <c r="GE4" s="717"/>
      <c r="GF4" s="717"/>
      <c r="GG4" s="717"/>
      <c r="GH4" s="717"/>
      <c r="GI4" s="717"/>
      <c r="GJ4" s="717"/>
      <c r="GK4" s="717"/>
      <c r="GL4" s="717"/>
      <c r="GM4" s="717"/>
      <c r="GN4" s="717"/>
      <c r="GO4" s="717"/>
      <c r="GP4" s="717"/>
      <c r="GQ4" s="717"/>
      <c r="GR4" s="718"/>
      <c r="GS4" s="719"/>
      <c r="GT4" s="719"/>
      <c r="GU4" s="719"/>
      <c r="GV4" s="720"/>
      <c r="GW4" s="720"/>
      <c r="GX4" s="721"/>
      <c r="GY4" s="722"/>
      <c r="GZ4" s="721"/>
      <c r="HA4" s="722"/>
      <c r="HB4" s="721"/>
      <c r="HC4" s="722"/>
      <c r="HD4" s="721"/>
      <c r="HE4" s="722"/>
      <c r="HF4" s="721"/>
      <c r="HG4" s="722"/>
      <c r="HH4" s="721"/>
      <c r="HI4" s="722"/>
      <c r="HJ4" s="721"/>
      <c r="HK4" s="722"/>
      <c r="HL4" s="721"/>
      <c r="HM4" s="722"/>
      <c r="HN4" s="721"/>
      <c r="HO4" s="722"/>
      <c r="HP4" s="721"/>
      <c r="HQ4" s="723"/>
    </row>
    <row r="5" spans="1:225" ht="21.6">
      <c r="A5" s="716" t="s">
        <v>3673</v>
      </c>
      <c r="B5" s="716" t="s">
        <v>3674</v>
      </c>
      <c r="C5" s="716" t="s">
        <v>3675</v>
      </c>
      <c r="D5" s="716" t="s">
        <v>3676</v>
      </c>
      <c r="E5" s="716" t="s">
        <v>3677</v>
      </c>
      <c r="F5" s="716" t="s">
        <v>3678</v>
      </c>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c r="BF5" s="717"/>
      <c r="BG5" s="717"/>
      <c r="BH5" s="717"/>
      <c r="BI5" s="717"/>
      <c r="BJ5" s="717"/>
      <c r="BK5" s="717"/>
      <c r="BL5" s="717"/>
      <c r="BM5" s="717"/>
      <c r="BN5" s="717"/>
      <c r="BO5" s="717"/>
      <c r="BP5" s="717"/>
      <c r="BQ5" s="717"/>
      <c r="BR5" s="717"/>
      <c r="BS5" s="717"/>
      <c r="BT5" s="717"/>
      <c r="BU5" s="717"/>
      <c r="BV5" s="717"/>
      <c r="BW5" s="717"/>
      <c r="BX5" s="717"/>
      <c r="BY5" s="717"/>
      <c r="BZ5" s="717"/>
      <c r="CA5" s="717"/>
      <c r="CB5" s="717"/>
      <c r="CC5" s="717"/>
      <c r="CD5" s="717"/>
      <c r="CE5" s="717"/>
      <c r="CF5" s="717"/>
      <c r="CG5" s="717"/>
      <c r="CH5" s="717"/>
      <c r="CI5" s="717"/>
      <c r="CJ5" s="717"/>
      <c r="CK5" s="717"/>
      <c r="CL5" s="717"/>
      <c r="CM5" s="717"/>
      <c r="CN5" s="717"/>
      <c r="CO5" s="717"/>
      <c r="CP5" s="717"/>
      <c r="CQ5" s="717"/>
      <c r="CR5" s="717"/>
      <c r="CS5" s="717"/>
      <c r="CT5" s="717"/>
      <c r="CU5" s="717"/>
      <c r="CV5" s="717"/>
      <c r="CW5" s="717"/>
      <c r="CX5" s="717"/>
      <c r="CY5" s="717"/>
      <c r="CZ5" s="717"/>
      <c r="DA5" s="717"/>
      <c r="DB5" s="717"/>
      <c r="DC5" s="717"/>
      <c r="DD5" s="717"/>
      <c r="DE5" s="717"/>
      <c r="DF5" s="717"/>
      <c r="DG5" s="717"/>
      <c r="DH5" s="717"/>
      <c r="DI5" s="717"/>
      <c r="DJ5" s="717"/>
      <c r="DK5" s="717"/>
      <c r="DL5" s="717"/>
      <c r="DM5" s="717"/>
      <c r="DN5" s="717"/>
      <c r="DO5" s="717"/>
      <c r="DP5" s="717"/>
      <c r="DQ5" s="717"/>
      <c r="DR5" s="717"/>
      <c r="DS5" s="717"/>
      <c r="DT5" s="717"/>
      <c r="DU5" s="717"/>
      <c r="DV5" s="717"/>
      <c r="DW5" s="717"/>
      <c r="DX5" s="717"/>
      <c r="DY5" s="717"/>
      <c r="DZ5" s="717"/>
      <c r="EA5" s="717"/>
      <c r="EB5" s="717"/>
      <c r="EC5" s="717"/>
      <c r="ED5" s="717"/>
      <c r="EE5" s="717"/>
      <c r="EF5" s="717"/>
      <c r="EG5" s="717"/>
      <c r="EH5" s="717"/>
      <c r="EI5" s="717"/>
      <c r="EJ5" s="717"/>
      <c r="EK5" s="717"/>
      <c r="EL5" s="717"/>
      <c r="EM5" s="717"/>
      <c r="EN5" s="717"/>
      <c r="EO5" s="717"/>
      <c r="EP5" s="717"/>
      <c r="EQ5" s="717"/>
      <c r="ER5" s="717"/>
      <c r="ES5" s="717"/>
      <c r="ET5" s="717"/>
      <c r="EU5" s="717"/>
      <c r="EV5" s="717"/>
      <c r="EW5" s="717"/>
      <c r="EX5" s="717"/>
      <c r="EY5" s="717"/>
      <c r="EZ5" s="717"/>
      <c r="FA5" s="717"/>
      <c r="FB5" s="717"/>
      <c r="FC5" s="717"/>
      <c r="FD5" s="717"/>
      <c r="FE5" s="717"/>
      <c r="FF5" s="717"/>
      <c r="FG5" s="717"/>
      <c r="FH5" s="717"/>
      <c r="FI5" s="717"/>
      <c r="FJ5" s="717"/>
      <c r="FK5" s="717"/>
      <c r="FL5" s="717"/>
      <c r="FM5" s="717"/>
      <c r="FN5" s="717"/>
      <c r="FO5" s="717"/>
      <c r="FP5" s="717"/>
      <c r="FQ5" s="717"/>
      <c r="FR5" s="717"/>
      <c r="FS5" s="717"/>
      <c r="FT5" s="717"/>
      <c r="FU5" s="717"/>
      <c r="FV5" s="717"/>
      <c r="FW5" s="717"/>
      <c r="FX5" s="717"/>
      <c r="FY5" s="717"/>
      <c r="FZ5" s="717"/>
      <c r="GA5" s="717"/>
      <c r="GB5" s="717"/>
      <c r="GC5" s="717"/>
      <c r="GD5" s="717"/>
      <c r="GE5" s="717"/>
      <c r="GF5" s="717"/>
      <c r="GG5" s="717"/>
      <c r="GH5" s="717"/>
      <c r="GI5" s="717"/>
      <c r="GJ5" s="717"/>
      <c r="GK5" s="717"/>
      <c r="GL5" s="717"/>
      <c r="GM5" s="717"/>
      <c r="GN5" s="717"/>
      <c r="GO5" s="717"/>
      <c r="GP5" s="717"/>
      <c r="GQ5" s="717"/>
      <c r="GR5" s="718"/>
      <c r="GS5" s="719"/>
      <c r="GT5" s="725"/>
      <c r="GU5" s="720"/>
      <c r="GV5" s="720"/>
      <c r="GW5" s="720"/>
      <c r="GX5" s="721"/>
      <c r="GY5" s="722"/>
      <c r="GZ5" s="721"/>
      <c r="HA5" s="722"/>
      <c r="HB5" s="721"/>
      <c r="HC5" s="722"/>
      <c r="HD5" s="721"/>
      <c r="HE5" s="722"/>
      <c r="HF5" s="721"/>
      <c r="HG5" s="722"/>
      <c r="HH5" s="721"/>
      <c r="HI5" s="722"/>
      <c r="HJ5" s="721"/>
      <c r="HK5" s="722"/>
      <c r="HL5" s="721"/>
      <c r="HM5" s="722"/>
      <c r="HN5" s="721"/>
      <c r="HO5" s="722"/>
      <c r="HP5" s="721"/>
      <c r="HQ5" s="723"/>
    </row>
    <row r="6" spans="1:225" ht="21.6">
      <c r="A6" s="716" t="s">
        <v>3679</v>
      </c>
      <c r="B6" s="716" t="s">
        <v>3680</v>
      </c>
      <c r="C6" s="717"/>
      <c r="D6" s="717"/>
      <c r="E6" s="717"/>
      <c r="F6" s="717"/>
      <c r="G6" s="717"/>
      <c r="H6" s="717"/>
      <c r="I6" s="717"/>
      <c r="J6" s="717"/>
      <c r="K6" s="717"/>
      <c r="L6" s="717"/>
      <c r="M6" s="717"/>
      <c r="N6" s="717"/>
      <c r="O6" s="717"/>
      <c r="P6" s="717"/>
      <c r="Q6" s="717"/>
      <c r="R6" s="717"/>
      <c r="S6" s="717"/>
      <c r="T6" s="717"/>
      <c r="U6" s="717"/>
      <c r="V6" s="717"/>
      <c r="W6" s="717"/>
      <c r="X6" s="717"/>
      <c r="Y6" s="717"/>
      <c r="Z6" s="717"/>
      <c r="AA6" s="717"/>
      <c r="AB6" s="717"/>
      <c r="AC6" s="717"/>
      <c r="AD6" s="717"/>
      <c r="AE6" s="717"/>
      <c r="AF6" s="717"/>
      <c r="AG6" s="717"/>
      <c r="AH6" s="717"/>
      <c r="AI6" s="717"/>
      <c r="AJ6" s="717"/>
      <c r="AK6" s="717"/>
      <c r="AL6" s="717"/>
      <c r="AM6" s="717"/>
      <c r="AN6" s="717"/>
      <c r="AO6" s="717"/>
      <c r="AP6" s="717"/>
      <c r="AQ6" s="717"/>
      <c r="AR6" s="717"/>
      <c r="AS6" s="717"/>
      <c r="AT6" s="717"/>
      <c r="AU6" s="717"/>
      <c r="AV6" s="717"/>
      <c r="AW6" s="717"/>
      <c r="AX6" s="717"/>
      <c r="AY6" s="717"/>
      <c r="AZ6" s="717"/>
      <c r="BA6" s="717"/>
      <c r="BB6" s="717"/>
      <c r="BC6" s="717"/>
      <c r="BD6" s="717"/>
      <c r="BE6" s="717"/>
      <c r="BF6" s="717"/>
      <c r="BG6" s="717"/>
      <c r="BH6" s="717"/>
      <c r="BI6" s="717"/>
      <c r="BJ6" s="717"/>
      <c r="BK6" s="717"/>
      <c r="BL6" s="717"/>
      <c r="BM6" s="717"/>
      <c r="BN6" s="717"/>
      <c r="BO6" s="717"/>
      <c r="BP6" s="717"/>
      <c r="BQ6" s="717"/>
      <c r="BR6" s="717"/>
      <c r="BS6" s="717"/>
      <c r="BT6" s="717"/>
      <c r="BU6" s="717"/>
      <c r="BV6" s="717"/>
      <c r="BW6" s="717"/>
      <c r="BX6" s="717"/>
      <c r="BY6" s="717"/>
      <c r="BZ6" s="717"/>
      <c r="CA6" s="717"/>
      <c r="CB6" s="717"/>
      <c r="CC6" s="717"/>
      <c r="CD6" s="717"/>
      <c r="CE6" s="717"/>
      <c r="CF6" s="717"/>
      <c r="CG6" s="717"/>
      <c r="CH6" s="717"/>
      <c r="CI6" s="717"/>
      <c r="CJ6" s="717"/>
      <c r="CK6" s="717"/>
      <c r="CL6" s="717"/>
      <c r="CM6" s="717"/>
      <c r="CN6" s="717"/>
      <c r="CO6" s="717"/>
      <c r="CP6" s="717"/>
      <c r="CQ6" s="717"/>
      <c r="CR6" s="717"/>
      <c r="CS6" s="717"/>
      <c r="CT6" s="717"/>
      <c r="CU6" s="717"/>
      <c r="CV6" s="717"/>
      <c r="CW6" s="717"/>
      <c r="CX6" s="717"/>
      <c r="CY6" s="717"/>
      <c r="CZ6" s="717"/>
      <c r="DA6" s="717"/>
      <c r="DB6" s="717"/>
      <c r="DC6" s="717"/>
      <c r="DD6" s="717"/>
      <c r="DE6" s="717"/>
      <c r="DF6" s="717"/>
      <c r="DG6" s="717"/>
      <c r="DH6" s="717"/>
      <c r="DI6" s="717"/>
      <c r="DJ6" s="717"/>
      <c r="DK6" s="717"/>
      <c r="DL6" s="717"/>
      <c r="DM6" s="717"/>
      <c r="DN6" s="717"/>
      <c r="DO6" s="717"/>
      <c r="DP6" s="717"/>
      <c r="DQ6" s="717"/>
      <c r="DR6" s="717"/>
      <c r="DS6" s="717"/>
      <c r="DT6" s="717"/>
      <c r="DU6" s="717"/>
      <c r="DV6" s="717"/>
      <c r="DW6" s="717"/>
      <c r="DX6" s="717"/>
      <c r="DY6" s="717"/>
      <c r="DZ6" s="717"/>
      <c r="EA6" s="717"/>
      <c r="EB6" s="717"/>
      <c r="EC6" s="717"/>
      <c r="ED6" s="717"/>
      <c r="EE6" s="717"/>
      <c r="EF6" s="717"/>
      <c r="EG6" s="717"/>
      <c r="EH6" s="717"/>
      <c r="EI6" s="717"/>
      <c r="EJ6" s="717"/>
      <c r="EK6" s="717"/>
      <c r="EL6" s="717"/>
      <c r="EM6" s="717"/>
      <c r="EN6" s="717"/>
      <c r="EO6" s="717"/>
      <c r="EP6" s="717"/>
      <c r="EQ6" s="717"/>
      <c r="ER6" s="717"/>
      <c r="ES6" s="717"/>
      <c r="ET6" s="717"/>
      <c r="EU6" s="717"/>
      <c r="EV6" s="717"/>
      <c r="EW6" s="717"/>
      <c r="EX6" s="717"/>
      <c r="EY6" s="717"/>
      <c r="EZ6" s="717"/>
      <c r="FA6" s="717"/>
      <c r="FB6" s="717"/>
      <c r="FC6" s="717"/>
      <c r="FD6" s="717"/>
      <c r="FE6" s="717"/>
      <c r="FF6" s="717"/>
      <c r="FG6" s="717"/>
      <c r="FH6" s="717"/>
      <c r="FI6" s="717"/>
      <c r="FJ6" s="717"/>
      <c r="FK6" s="717"/>
      <c r="FL6" s="717"/>
      <c r="FM6" s="717"/>
      <c r="FN6" s="717"/>
      <c r="FO6" s="717"/>
      <c r="FP6" s="717"/>
      <c r="FQ6" s="717"/>
      <c r="FR6" s="717"/>
      <c r="FS6" s="717"/>
      <c r="FT6" s="717"/>
      <c r="FU6" s="717"/>
      <c r="FV6" s="717"/>
      <c r="FW6" s="717"/>
      <c r="FX6" s="717"/>
      <c r="FY6" s="717"/>
      <c r="FZ6" s="717"/>
      <c r="GA6" s="717"/>
      <c r="GB6" s="717"/>
      <c r="GC6" s="717"/>
      <c r="GD6" s="717"/>
      <c r="GE6" s="717"/>
      <c r="GF6" s="717"/>
      <c r="GG6" s="717"/>
      <c r="GH6" s="717"/>
      <c r="GI6" s="717"/>
      <c r="GJ6" s="717"/>
      <c r="GK6" s="717"/>
      <c r="GL6" s="717"/>
      <c r="GM6" s="717"/>
      <c r="GN6" s="717"/>
      <c r="GO6" s="717"/>
      <c r="GP6" s="717"/>
      <c r="GQ6" s="717"/>
      <c r="GR6" s="718"/>
      <c r="GS6" s="719"/>
      <c r="GT6" s="725"/>
      <c r="GU6" s="720"/>
      <c r="GV6" s="720"/>
      <c r="GW6" s="720"/>
      <c r="GX6" s="721"/>
      <c r="GY6" s="722"/>
      <c r="GZ6" s="721"/>
      <c r="HA6" s="722"/>
      <c r="HB6" s="721"/>
      <c r="HC6" s="722"/>
      <c r="HD6" s="721"/>
      <c r="HE6" s="722"/>
      <c r="HF6" s="721"/>
      <c r="HG6" s="722"/>
      <c r="HH6" s="721"/>
      <c r="HI6" s="722"/>
      <c r="HJ6" s="721"/>
      <c r="HK6" s="722"/>
      <c r="HL6" s="721"/>
      <c r="HM6" s="722"/>
      <c r="HN6" s="721"/>
      <c r="HO6" s="722"/>
      <c r="HP6" s="721"/>
      <c r="HQ6" s="723"/>
    </row>
    <row r="7" spans="1:225" ht="21.6">
      <c r="A7" s="716" t="s">
        <v>3681</v>
      </c>
      <c r="B7" s="717"/>
      <c r="C7" s="717"/>
      <c r="D7" s="717"/>
      <c r="E7" s="717"/>
      <c r="F7" s="717"/>
      <c r="G7" s="717"/>
      <c r="H7" s="717"/>
      <c r="I7" s="717"/>
      <c r="J7" s="717"/>
      <c r="K7" s="717"/>
      <c r="L7" s="717"/>
      <c r="M7" s="717"/>
      <c r="N7" s="717"/>
      <c r="O7" s="717"/>
      <c r="P7" s="717"/>
      <c r="Q7" s="717"/>
      <c r="R7" s="717"/>
      <c r="S7" s="717"/>
      <c r="T7" s="717"/>
      <c r="U7" s="717"/>
      <c r="V7" s="717"/>
      <c r="W7" s="717"/>
      <c r="X7" s="717"/>
      <c r="Y7" s="717"/>
      <c r="Z7" s="717"/>
      <c r="AA7" s="717"/>
      <c r="AB7" s="717"/>
      <c r="AC7" s="717"/>
      <c r="AD7" s="717"/>
      <c r="AE7" s="717"/>
      <c r="AF7" s="717"/>
      <c r="AG7" s="717"/>
      <c r="AH7" s="717"/>
      <c r="AI7" s="717"/>
      <c r="AJ7" s="717"/>
      <c r="AK7" s="717"/>
      <c r="AL7" s="717"/>
      <c r="AM7" s="717"/>
      <c r="AN7" s="717"/>
      <c r="AO7" s="717"/>
      <c r="AP7" s="717"/>
      <c r="AQ7" s="717"/>
      <c r="AR7" s="717"/>
      <c r="AS7" s="717"/>
      <c r="AT7" s="717"/>
      <c r="AU7" s="717"/>
      <c r="AV7" s="717"/>
      <c r="AW7" s="717"/>
      <c r="AX7" s="717"/>
      <c r="AY7" s="717"/>
      <c r="AZ7" s="717"/>
      <c r="BA7" s="717"/>
      <c r="BB7" s="717"/>
      <c r="BC7" s="717"/>
      <c r="BD7" s="717"/>
      <c r="BE7" s="717"/>
      <c r="BF7" s="717"/>
      <c r="BG7" s="717"/>
      <c r="BH7" s="717"/>
      <c r="BI7" s="717"/>
      <c r="BJ7" s="717"/>
      <c r="BK7" s="717"/>
      <c r="BL7" s="717"/>
      <c r="BM7" s="717"/>
      <c r="BN7" s="717"/>
      <c r="BO7" s="717"/>
      <c r="BP7" s="717"/>
      <c r="BQ7" s="717"/>
      <c r="BR7" s="717"/>
      <c r="BS7" s="717"/>
      <c r="BT7" s="717"/>
      <c r="BU7" s="717"/>
      <c r="BV7" s="717"/>
      <c r="BW7" s="717"/>
      <c r="BX7" s="717"/>
      <c r="BY7" s="717"/>
      <c r="BZ7" s="717"/>
      <c r="CA7" s="717"/>
      <c r="CB7" s="717"/>
      <c r="CC7" s="717"/>
      <c r="CD7" s="717"/>
      <c r="CE7" s="717"/>
      <c r="CF7" s="717"/>
      <c r="CG7" s="717"/>
      <c r="CH7" s="717"/>
      <c r="CI7" s="717"/>
      <c r="CJ7" s="717"/>
      <c r="CK7" s="717"/>
      <c r="CL7" s="717"/>
      <c r="CM7" s="717"/>
      <c r="CN7" s="717"/>
      <c r="CO7" s="717"/>
      <c r="CP7" s="717"/>
      <c r="CQ7" s="717"/>
      <c r="CR7" s="717"/>
      <c r="CS7" s="717"/>
      <c r="CT7" s="717"/>
      <c r="CU7" s="717"/>
      <c r="CV7" s="717"/>
      <c r="CW7" s="717"/>
      <c r="CX7" s="717"/>
      <c r="CY7" s="717"/>
      <c r="CZ7" s="717"/>
      <c r="DA7" s="717"/>
      <c r="DB7" s="717"/>
      <c r="DC7" s="717"/>
      <c r="DD7" s="717"/>
      <c r="DE7" s="717"/>
      <c r="DF7" s="717"/>
      <c r="DG7" s="717"/>
      <c r="DH7" s="717"/>
      <c r="DI7" s="717"/>
      <c r="DJ7" s="717"/>
      <c r="DK7" s="717"/>
      <c r="DL7" s="717"/>
      <c r="DM7" s="717"/>
      <c r="DN7" s="717"/>
      <c r="DO7" s="717"/>
      <c r="DP7" s="717"/>
      <c r="DQ7" s="717"/>
      <c r="DR7" s="717"/>
      <c r="DS7" s="717"/>
      <c r="DT7" s="717"/>
      <c r="DU7" s="717"/>
      <c r="DV7" s="717"/>
      <c r="DW7" s="717"/>
      <c r="DX7" s="717"/>
      <c r="DY7" s="717"/>
      <c r="DZ7" s="717"/>
      <c r="EA7" s="717"/>
      <c r="EB7" s="717"/>
      <c r="EC7" s="717"/>
      <c r="ED7" s="717"/>
      <c r="EE7" s="717"/>
      <c r="EF7" s="717"/>
      <c r="EG7" s="717"/>
      <c r="EH7" s="717"/>
      <c r="EI7" s="717"/>
      <c r="EJ7" s="717"/>
      <c r="EK7" s="717"/>
      <c r="EL7" s="717"/>
      <c r="EM7" s="717"/>
      <c r="EN7" s="717"/>
      <c r="EO7" s="717"/>
      <c r="EP7" s="717"/>
      <c r="EQ7" s="717"/>
      <c r="ER7" s="717"/>
      <c r="ES7" s="717"/>
      <c r="ET7" s="717"/>
      <c r="EU7" s="717"/>
      <c r="EV7" s="717"/>
      <c r="EW7" s="717"/>
      <c r="EX7" s="717"/>
      <c r="EY7" s="717"/>
      <c r="EZ7" s="717"/>
      <c r="FA7" s="717"/>
      <c r="FB7" s="717"/>
      <c r="FC7" s="717"/>
      <c r="FD7" s="717"/>
      <c r="FE7" s="717"/>
      <c r="FF7" s="717"/>
      <c r="FG7" s="717"/>
      <c r="FH7" s="717"/>
      <c r="FI7" s="717"/>
      <c r="FJ7" s="717"/>
      <c r="FK7" s="717"/>
      <c r="FL7" s="717"/>
      <c r="FM7" s="717"/>
      <c r="FN7" s="717"/>
      <c r="FO7" s="717"/>
      <c r="FP7" s="717"/>
      <c r="FQ7" s="717"/>
      <c r="FR7" s="717"/>
      <c r="FS7" s="717"/>
      <c r="FT7" s="717"/>
      <c r="FU7" s="717"/>
      <c r="FV7" s="717"/>
      <c r="FW7" s="717"/>
      <c r="FX7" s="717"/>
      <c r="FY7" s="717"/>
      <c r="FZ7" s="717"/>
      <c r="GA7" s="717"/>
      <c r="GB7" s="717"/>
      <c r="GC7" s="717"/>
      <c r="GD7" s="717"/>
      <c r="GE7" s="717"/>
      <c r="GF7" s="717"/>
      <c r="GG7" s="717"/>
      <c r="GH7" s="717"/>
      <c r="GI7" s="717"/>
      <c r="GJ7" s="717"/>
      <c r="GK7" s="717"/>
      <c r="GL7" s="717"/>
      <c r="GM7" s="717"/>
      <c r="GN7" s="717"/>
      <c r="GO7" s="717"/>
      <c r="GP7" s="717"/>
      <c r="GQ7" s="717"/>
      <c r="GR7" s="718"/>
      <c r="GS7" s="719"/>
      <c r="GT7" s="725"/>
      <c r="GU7" s="720"/>
      <c r="GV7" s="720"/>
      <c r="GW7" s="720"/>
      <c r="GX7" s="719"/>
      <c r="GY7" s="719"/>
      <c r="GZ7" s="719"/>
      <c r="HA7" s="719"/>
      <c r="HB7" s="719"/>
      <c r="HC7" s="719"/>
      <c r="HD7" s="719"/>
      <c r="HE7" s="719"/>
      <c r="HF7" s="719"/>
      <c r="HG7" s="719"/>
      <c r="HH7" s="719"/>
      <c r="HI7" s="719"/>
      <c r="HJ7" s="719"/>
      <c r="HK7" s="719"/>
      <c r="HL7" s="719"/>
      <c r="HM7" s="719"/>
      <c r="HN7" s="719"/>
      <c r="HO7" s="719"/>
      <c r="HP7" s="719"/>
      <c r="HQ7" s="719"/>
    </row>
    <row r="8" spans="1:225" ht="32.4">
      <c r="A8" s="716" t="s">
        <v>3682</v>
      </c>
      <c r="B8" s="716" t="s">
        <v>3683</v>
      </c>
      <c r="C8" s="716" t="s">
        <v>3684</v>
      </c>
      <c r="D8" s="716" t="s">
        <v>3685</v>
      </c>
      <c r="E8" s="716" t="s">
        <v>3686</v>
      </c>
      <c r="F8" s="716" t="s">
        <v>3687</v>
      </c>
      <c r="G8" s="716" t="s">
        <v>3688</v>
      </c>
      <c r="H8" s="716" t="s">
        <v>3689</v>
      </c>
      <c r="I8" s="716" t="s">
        <v>3690</v>
      </c>
      <c r="J8" s="716" t="s">
        <v>3691</v>
      </c>
      <c r="K8" s="716" t="s">
        <v>3692</v>
      </c>
      <c r="L8" s="716" t="s">
        <v>3693</v>
      </c>
      <c r="M8" s="716" t="s">
        <v>3694</v>
      </c>
      <c r="N8" s="716" t="s">
        <v>3695</v>
      </c>
      <c r="O8" s="716" t="s">
        <v>3696</v>
      </c>
      <c r="P8" s="716" t="s">
        <v>3697</v>
      </c>
      <c r="Q8" s="716" t="s">
        <v>3698</v>
      </c>
      <c r="R8" s="717"/>
      <c r="S8" s="717"/>
      <c r="T8" s="717"/>
      <c r="U8" s="717"/>
      <c r="V8" s="717"/>
      <c r="W8" s="717"/>
      <c r="X8" s="717"/>
      <c r="Y8" s="717"/>
      <c r="Z8" s="717"/>
      <c r="AA8" s="717"/>
      <c r="AB8" s="717"/>
      <c r="AC8" s="717"/>
      <c r="AD8" s="717"/>
      <c r="AE8" s="717"/>
      <c r="AF8" s="717"/>
      <c r="AG8" s="717"/>
      <c r="AH8" s="717"/>
      <c r="AI8" s="717"/>
      <c r="AJ8" s="717"/>
      <c r="AK8" s="717"/>
      <c r="AL8" s="717"/>
      <c r="AM8" s="717"/>
      <c r="AN8" s="717"/>
      <c r="AO8" s="717"/>
      <c r="AP8" s="717"/>
      <c r="AQ8" s="717"/>
      <c r="AR8" s="717"/>
      <c r="AS8" s="717"/>
      <c r="AT8" s="717"/>
      <c r="AU8" s="717"/>
      <c r="AV8" s="717"/>
      <c r="AW8" s="717"/>
      <c r="AX8" s="717"/>
      <c r="AY8" s="717"/>
      <c r="AZ8" s="717"/>
      <c r="BA8" s="717"/>
      <c r="BB8" s="717"/>
      <c r="BC8" s="717"/>
      <c r="BD8" s="717"/>
      <c r="BE8" s="717"/>
      <c r="BF8" s="717"/>
      <c r="BG8" s="717"/>
      <c r="BH8" s="717"/>
      <c r="BI8" s="717"/>
      <c r="BJ8" s="717"/>
      <c r="BK8" s="717"/>
      <c r="BL8" s="717"/>
      <c r="BM8" s="717"/>
      <c r="BN8" s="717"/>
      <c r="BO8" s="717"/>
      <c r="BP8" s="717"/>
      <c r="BQ8" s="717"/>
      <c r="BR8" s="717"/>
      <c r="BS8" s="717"/>
      <c r="BT8" s="717"/>
      <c r="BU8" s="717"/>
      <c r="BV8" s="717"/>
      <c r="BW8" s="717"/>
      <c r="BX8" s="717"/>
      <c r="BY8" s="717"/>
      <c r="BZ8" s="717"/>
      <c r="CA8" s="717"/>
      <c r="CB8" s="717"/>
      <c r="CC8" s="717"/>
      <c r="CD8" s="717"/>
      <c r="CE8" s="717"/>
      <c r="CF8" s="717"/>
      <c r="CG8" s="717"/>
      <c r="CH8" s="717"/>
      <c r="CI8" s="717"/>
      <c r="CJ8" s="717"/>
      <c r="CK8" s="717"/>
      <c r="CL8" s="717"/>
      <c r="CM8" s="717"/>
      <c r="CN8" s="717"/>
      <c r="CO8" s="717"/>
      <c r="CP8" s="717"/>
      <c r="CQ8" s="717"/>
      <c r="CR8" s="717"/>
      <c r="CS8" s="717"/>
      <c r="CT8" s="717"/>
      <c r="CU8" s="717"/>
      <c r="CV8" s="717"/>
      <c r="CW8" s="717"/>
      <c r="CX8" s="717"/>
      <c r="CY8" s="717"/>
      <c r="CZ8" s="717"/>
      <c r="DA8" s="717"/>
      <c r="DB8" s="717"/>
      <c r="DC8" s="717"/>
      <c r="DD8" s="717"/>
      <c r="DE8" s="717"/>
      <c r="DF8" s="717"/>
      <c r="DG8" s="717"/>
      <c r="DH8" s="717"/>
      <c r="DI8" s="717"/>
      <c r="DJ8" s="717"/>
      <c r="DK8" s="717"/>
      <c r="DL8" s="717"/>
      <c r="DM8" s="717"/>
      <c r="DN8" s="717"/>
      <c r="DO8" s="717"/>
      <c r="DP8" s="717"/>
      <c r="DQ8" s="717"/>
      <c r="DR8" s="717"/>
      <c r="DS8" s="717"/>
      <c r="DT8" s="717"/>
      <c r="DU8" s="717"/>
      <c r="DV8" s="717"/>
      <c r="DW8" s="717"/>
      <c r="DX8" s="717"/>
      <c r="DY8" s="717"/>
      <c r="DZ8" s="717"/>
      <c r="EA8" s="717"/>
      <c r="EB8" s="717"/>
      <c r="EC8" s="717"/>
      <c r="ED8" s="717"/>
      <c r="EE8" s="717"/>
      <c r="EF8" s="717"/>
      <c r="EG8" s="717"/>
      <c r="EH8" s="717"/>
      <c r="EI8" s="717"/>
      <c r="EJ8" s="717"/>
      <c r="EK8" s="717"/>
      <c r="EL8" s="717"/>
      <c r="EM8" s="717"/>
      <c r="EN8" s="717"/>
      <c r="EO8" s="717"/>
      <c r="EP8" s="717"/>
      <c r="EQ8" s="717"/>
      <c r="ER8" s="717"/>
      <c r="ES8" s="717"/>
      <c r="ET8" s="717"/>
      <c r="EU8" s="717"/>
      <c r="EV8" s="717"/>
      <c r="EW8" s="717"/>
      <c r="EX8" s="717"/>
      <c r="EY8" s="717"/>
      <c r="EZ8" s="717"/>
      <c r="FA8" s="717"/>
      <c r="FB8" s="717"/>
      <c r="FC8" s="717"/>
      <c r="FD8" s="717"/>
      <c r="FE8" s="717"/>
      <c r="FF8" s="717"/>
      <c r="FG8" s="717"/>
      <c r="FH8" s="717"/>
      <c r="FI8" s="717"/>
      <c r="FJ8" s="717"/>
      <c r="FK8" s="717"/>
      <c r="FL8" s="717"/>
      <c r="FM8" s="717"/>
      <c r="FN8" s="717"/>
      <c r="FO8" s="717"/>
      <c r="FP8" s="717"/>
      <c r="FQ8" s="717"/>
      <c r="FR8" s="717"/>
      <c r="FS8" s="717"/>
      <c r="FT8" s="717"/>
      <c r="FU8" s="717"/>
      <c r="FV8" s="717"/>
      <c r="FW8" s="717"/>
      <c r="FX8" s="717"/>
      <c r="FY8" s="717"/>
      <c r="FZ8" s="717"/>
      <c r="GA8" s="717"/>
      <c r="GB8" s="717"/>
      <c r="GC8" s="717"/>
      <c r="GD8" s="717"/>
      <c r="GE8" s="717"/>
      <c r="GF8" s="717"/>
      <c r="GG8" s="717"/>
      <c r="GH8" s="717"/>
      <c r="GI8" s="717"/>
      <c r="GJ8" s="717"/>
      <c r="GK8" s="717"/>
      <c r="GL8" s="717"/>
      <c r="GM8" s="717"/>
      <c r="GN8" s="717"/>
      <c r="GO8" s="717"/>
      <c r="GP8" s="717"/>
      <c r="GQ8" s="717"/>
      <c r="GR8" s="718"/>
      <c r="GS8" s="719"/>
      <c r="GT8" s="725"/>
      <c r="GU8" s="720"/>
      <c r="GV8" s="720"/>
      <c r="GW8" s="720"/>
    </row>
    <row r="9" spans="1:225" ht="32.4">
      <c r="A9" s="716" t="s">
        <v>3699</v>
      </c>
      <c r="B9" s="716" t="s">
        <v>3700</v>
      </c>
      <c r="C9" s="716" t="s">
        <v>3701</v>
      </c>
      <c r="D9" s="716" t="s">
        <v>3702</v>
      </c>
      <c r="E9" s="716" t="s">
        <v>3703</v>
      </c>
      <c r="F9" s="716" t="s">
        <v>3704</v>
      </c>
      <c r="G9" s="716" t="s">
        <v>3705</v>
      </c>
      <c r="H9" s="716" t="s">
        <v>3706</v>
      </c>
      <c r="I9" s="716" t="s">
        <v>3707</v>
      </c>
      <c r="J9" s="716" t="s">
        <v>3708</v>
      </c>
      <c r="K9" s="716" t="s">
        <v>3709</v>
      </c>
      <c r="L9" s="717"/>
      <c r="M9" s="717"/>
      <c r="N9" s="717"/>
      <c r="O9" s="717"/>
      <c r="P9" s="717"/>
      <c r="Q9" s="717"/>
      <c r="R9" s="717"/>
      <c r="S9" s="717"/>
      <c r="T9" s="717"/>
      <c r="U9" s="717"/>
      <c r="V9" s="717"/>
      <c r="W9" s="717"/>
      <c r="X9" s="717"/>
      <c r="Y9" s="717"/>
      <c r="Z9" s="717"/>
      <c r="AA9" s="717"/>
      <c r="AB9" s="717"/>
      <c r="AC9" s="717"/>
      <c r="AD9" s="717"/>
      <c r="AE9" s="717"/>
      <c r="AF9" s="717"/>
      <c r="AG9" s="717"/>
      <c r="AH9" s="717"/>
      <c r="AI9" s="717"/>
      <c r="AJ9" s="717"/>
      <c r="AK9" s="717"/>
      <c r="AL9" s="717"/>
      <c r="AM9" s="717"/>
      <c r="AN9" s="717"/>
      <c r="AO9" s="717"/>
      <c r="AP9" s="717"/>
      <c r="AQ9" s="717"/>
      <c r="AR9" s="717"/>
      <c r="AS9" s="717"/>
      <c r="AT9" s="717"/>
      <c r="AU9" s="717"/>
      <c r="AV9" s="717"/>
      <c r="AW9" s="717"/>
      <c r="AX9" s="717"/>
      <c r="AY9" s="717"/>
      <c r="AZ9" s="717"/>
      <c r="BA9" s="717"/>
      <c r="BB9" s="717"/>
      <c r="BC9" s="717"/>
      <c r="BD9" s="717"/>
      <c r="BE9" s="717"/>
      <c r="BF9" s="717"/>
      <c r="BG9" s="717"/>
      <c r="BH9" s="717"/>
      <c r="BI9" s="717"/>
      <c r="BJ9" s="717"/>
      <c r="BK9" s="717"/>
      <c r="BL9" s="717"/>
      <c r="BM9" s="717"/>
      <c r="BN9" s="717"/>
      <c r="BO9" s="717"/>
      <c r="BP9" s="717"/>
      <c r="BQ9" s="717"/>
      <c r="BR9" s="717"/>
      <c r="BS9" s="717"/>
      <c r="BT9" s="717"/>
      <c r="BU9" s="717"/>
      <c r="BV9" s="717"/>
      <c r="BW9" s="717"/>
      <c r="BX9" s="717"/>
      <c r="BY9" s="717"/>
      <c r="BZ9" s="717"/>
      <c r="CA9" s="717"/>
      <c r="CB9" s="717"/>
      <c r="CC9" s="717"/>
      <c r="CD9" s="717"/>
      <c r="CE9" s="717"/>
      <c r="CF9" s="717"/>
      <c r="CG9" s="717"/>
      <c r="CH9" s="717"/>
      <c r="CI9" s="717"/>
      <c r="CJ9" s="717"/>
      <c r="CK9" s="717"/>
      <c r="CL9" s="717"/>
      <c r="CM9" s="717"/>
      <c r="CN9" s="717"/>
      <c r="CO9" s="717"/>
      <c r="CP9" s="717"/>
      <c r="CQ9" s="717"/>
      <c r="CR9" s="717"/>
      <c r="CS9" s="717"/>
      <c r="CT9" s="717"/>
      <c r="CU9" s="717"/>
      <c r="CV9" s="717"/>
      <c r="CW9" s="717"/>
      <c r="CX9" s="717"/>
      <c r="CY9" s="717"/>
      <c r="CZ9" s="717"/>
      <c r="DA9" s="717"/>
      <c r="DB9" s="717"/>
      <c r="DC9" s="717"/>
      <c r="DD9" s="717"/>
      <c r="DE9" s="717"/>
      <c r="DF9" s="717"/>
      <c r="DG9" s="717"/>
      <c r="DH9" s="717"/>
      <c r="DI9" s="717"/>
      <c r="DJ9" s="717"/>
      <c r="DK9" s="717"/>
      <c r="DL9" s="717"/>
      <c r="DM9" s="717"/>
      <c r="DN9" s="717"/>
      <c r="DO9" s="717"/>
      <c r="DP9" s="717"/>
      <c r="DQ9" s="717"/>
      <c r="DR9" s="717"/>
      <c r="DS9" s="717"/>
      <c r="DT9" s="717"/>
      <c r="DU9" s="717"/>
      <c r="DV9" s="717"/>
      <c r="DW9" s="717"/>
      <c r="DX9" s="717"/>
      <c r="DY9" s="717"/>
      <c r="DZ9" s="717"/>
      <c r="EA9" s="717"/>
      <c r="EB9" s="717"/>
      <c r="EC9" s="717"/>
      <c r="ED9" s="717"/>
      <c r="EE9" s="717"/>
      <c r="EF9" s="717"/>
      <c r="EG9" s="717"/>
      <c r="EH9" s="717"/>
      <c r="EI9" s="717"/>
      <c r="EJ9" s="717"/>
      <c r="EK9" s="717"/>
      <c r="EL9" s="717"/>
      <c r="EM9" s="717"/>
      <c r="EN9" s="717"/>
      <c r="EO9" s="717"/>
      <c r="EP9" s="717"/>
      <c r="EQ9" s="717"/>
      <c r="ER9" s="717"/>
      <c r="ES9" s="717"/>
      <c r="ET9" s="717"/>
      <c r="EU9" s="717"/>
      <c r="EV9" s="717"/>
      <c r="EW9" s="717"/>
      <c r="EX9" s="717"/>
      <c r="EY9" s="717"/>
      <c r="EZ9" s="717"/>
      <c r="FA9" s="717"/>
      <c r="FB9" s="717"/>
      <c r="FC9" s="717"/>
      <c r="FD9" s="717"/>
      <c r="FE9" s="717"/>
      <c r="FF9" s="717"/>
      <c r="FG9" s="717"/>
      <c r="FH9" s="717"/>
      <c r="FI9" s="717"/>
      <c r="FJ9" s="717"/>
      <c r="FK9" s="717"/>
      <c r="FL9" s="717"/>
      <c r="FM9" s="717"/>
      <c r="FN9" s="717"/>
      <c r="FO9" s="717"/>
      <c r="FP9" s="717"/>
      <c r="FQ9" s="717"/>
      <c r="FR9" s="717"/>
      <c r="FS9" s="717"/>
      <c r="FT9" s="717"/>
      <c r="FU9" s="717"/>
      <c r="FV9" s="717"/>
      <c r="FW9" s="717"/>
      <c r="FX9" s="717"/>
      <c r="FY9" s="717"/>
      <c r="FZ9" s="717"/>
      <c r="GA9" s="717"/>
      <c r="GB9" s="717"/>
      <c r="GC9" s="717"/>
      <c r="GD9" s="717"/>
      <c r="GE9" s="717"/>
      <c r="GF9" s="717"/>
      <c r="GG9" s="717"/>
      <c r="GH9" s="717"/>
      <c r="GI9" s="717"/>
      <c r="GJ9" s="717"/>
      <c r="GK9" s="717"/>
      <c r="GL9" s="717"/>
      <c r="GM9" s="717"/>
      <c r="GN9" s="717"/>
      <c r="GO9" s="717"/>
      <c r="GP9" s="717"/>
      <c r="GQ9" s="717"/>
      <c r="GR9" s="718"/>
      <c r="GS9" s="719"/>
      <c r="GT9" s="725"/>
      <c r="GU9" s="720"/>
      <c r="GV9" s="720"/>
      <c r="GW9" s="720"/>
    </row>
    <row r="10" spans="1:225" ht="32.4">
      <c r="A10" s="716" t="s">
        <v>3710</v>
      </c>
      <c r="B10" s="716" t="s">
        <v>3711</v>
      </c>
      <c r="C10" s="716" t="s">
        <v>3712</v>
      </c>
      <c r="D10" s="716" t="s">
        <v>3713</v>
      </c>
      <c r="E10" s="716" t="s">
        <v>3714</v>
      </c>
      <c r="F10" s="716" t="s">
        <v>3715</v>
      </c>
      <c r="G10" s="717"/>
      <c r="H10" s="717"/>
      <c r="I10" s="717"/>
      <c r="J10" s="717"/>
      <c r="K10" s="717"/>
      <c r="L10" s="717"/>
      <c r="M10" s="717"/>
      <c r="N10" s="717"/>
      <c r="O10" s="717"/>
      <c r="P10" s="717"/>
      <c r="Q10" s="717"/>
      <c r="R10" s="717"/>
      <c r="S10" s="717"/>
      <c r="T10" s="717"/>
      <c r="U10" s="717"/>
      <c r="V10" s="717"/>
      <c r="W10" s="717"/>
      <c r="X10" s="717"/>
      <c r="Y10" s="717"/>
      <c r="Z10" s="717"/>
      <c r="AA10" s="717"/>
      <c r="AB10" s="717"/>
      <c r="AC10" s="717"/>
      <c r="AD10" s="717"/>
      <c r="AE10" s="717"/>
      <c r="AF10" s="717"/>
      <c r="AG10" s="717"/>
      <c r="AH10" s="717"/>
      <c r="AI10" s="717"/>
      <c r="AJ10" s="717"/>
      <c r="AK10" s="717"/>
      <c r="AL10" s="717"/>
      <c r="AM10" s="717"/>
      <c r="AN10" s="717"/>
      <c r="AO10" s="717"/>
      <c r="AP10" s="717"/>
      <c r="AQ10" s="717"/>
      <c r="AR10" s="717"/>
      <c r="AS10" s="717"/>
      <c r="AT10" s="717"/>
      <c r="AU10" s="717"/>
      <c r="AV10" s="717"/>
      <c r="AW10" s="717"/>
      <c r="AX10" s="717"/>
      <c r="AY10" s="717"/>
      <c r="AZ10" s="717"/>
      <c r="BA10" s="717"/>
      <c r="BB10" s="717"/>
      <c r="BC10" s="717"/>
      <c r="BD10" s="717"/>
      <c r="BE10" s="717"/>
      <c r="BF10" s="717"/>
      <c r="BG10" s="717"/>
      <c r="BH10" s="717"/>
      <c r="BI10" s="717"/>
      <c r="BJ10" s="717"/>
      <c r="BK10" s="717"/>
      <c r="BL10" s="717"/>
      <c r="BM10" s="717"/>
      <c r="BN10" s="717"/>
      <c r="BO10" s="717"/>
      <c r="BP10" s="717"/>
      <c r="BQ10" s="717"/>
      <c r="BR10" s="717"/>
      <c r="BS10" s="717"/>
      <c r="BT10" s="717"/>
      <c r="BU10" s="717"/>
      <c r="BV10" s="717"/>
      <c r="BW10" s="717"/>
      <c r="BX10" s="717"/>
      <c r="BY10" s="717"/>
      <c r="BZ10" s="717"/>
      <c r="CA10" s="717"/>
      <c r="CB10" s="717"/>
      <c r="CC10" s="717"/>
      <c r="CD10" s="717"/>
      <c r="CE10" s="717"/>
      <c r="CF10" s="717"/>
      <c r="CG10" s="717"/>
      <c r="CH10" s="717"/>
      <c r="CI10" s="717"/>
      <c r="CJ10" s="717"/>
      <c r="CK10" s="717"/>
      <c r="CL10" s="717"/>
      <c r="CM10" s="717"/>
      <c r="CN10" s="717"/>
      <c r="CO10" s="717"/>
      <c r="CP10" s="717"/>
      <c r="CQ10" s="717"/>
      <c r="CR10" s="717"/>
      <c r="CS10" s="717"/>
      <c r="CT10" s="717"/>
      <c r="CU10" s="717"/>
      <c r="CV10" s="717"/>
      <c r="CW10" s="717"/>
      <c r="CX10" s="717"/>
      <c r="CY10" s="717"/>
      <c r="CZ10" s="717"/>
      <c r="DA10" s="717"/>
      <c r="DB10" s="717"/>
      <c r="DC10" s="717"/>
      <c r="DD10" s="717"/>
      <c r="DE10" s="717"/>
      <c r="DF10" s="717"/>
      <c r="DG10" s="717"/>
      <c r="DH10" s="717"/>
      <c r="DI10" s="717"/>
      <c r="DJ10" s="717"/>
      <c r="DK10" s="717"/>
      <c r="DL10" s="717"/>
      <c r="DM10" s="717"/>
      <c r="DN10" s="717"/>
      <c r="DO10" s="717"/>
      <c r="DP10" s="717"/>
      <c r="DQ10" s="717"/>
      <c r="DR10" s="717"/>
      <c r="DS10" s="717"/>
      <c r="DT10" s="717"/>
      <c r="DU10" s="717"/>
      <c r="DV10" s="717"/>
      <c r="DW10" s="717"/>
      <c r="DX10" s="717"/>
      <c r="DY10" s="717"/>
      <c r="DZ10" s="717"/>
      <c r="EA10" s="717"/>
      <c r="EB10" s="717"/>
      <c r="EC10" s="717"/>
      <c r="ED10" s="717"/>
      <c r="EE10" s="717"/>
      <c r="EF10" s="717"/>
      <c r="EG10" s="717"/>
      <c r="EH10" s="717"/>
      <c r="EI10" s="717"/>
      <c r="EJ10" s="717"/>
      <c r="EK10" s="717"/>
      <c r="EL10" s="717"/>
      <c r="EM10" s="717"/>
      <c r="EN10" s="717"/>
      <c r="EO10" s="717"/>
      <c r="EP10" s="717"/>
      <c r="EQ10" s="717"/>
      <c r="ER10" s="717"/>
      <c r="ES10" s="717"/>
      <c r="ET10" s="717"/>
      <c r="EU10" s="717"/>
      <c r="EV10" s="717"/>
      <c r="EW10" s="717"/>
      <c r="EX10" s="717"/>
      <c r="EY10" s="717"/>
      <c r="EZ10" s="717"/>
      <c r="FA10" s="717"/>
      <c r="FB10" s="717"/>
      <c r="FC10" s="717"/>
      <c r="FD10" s="717"/>
      <c r="FE10" s="717"/>
      <c r="FF10" s="717"/>
      <c r="FG10" s="717"/>
      <c r="FH10" s="717"/>
      <c r="FI10" s="717"/>
      <c r="FJ10" s="717"/>
      <c r="FK10" s="717"/>
      <c r="FL10" s="717"/>
      <c r="FM10" s="717"/>
      <c r="FN10" s="717"/>
      <c r="FO10" s="717"/>
      <c r="FP10" s="717"/>
      <c r="FQ10" s="717"/>
      <c r="FR10" s="717"/>
      <c r="FS10" s="717"/>
      <c r="FT10" s="717"/>
      <c r="FU10" s="717"/>
      <c r="FV10" s="717"/>
      <c r="FW10" s="717"/>
      <c r="FX10" s="717"/>
      <c r="FY10" s="717"/>
      <c r="FZ10" s="717"/>
      <c r="GA10" s="717"/>
      <c r="GB10" s="717"/>
      <c r="GC10" s="717"/>
      <c r="GD10" s="717"/>
      <c r="GE10" s="717"/>
      <c r="GF10" s="717"/>
      <c r="GG10" s="717"/>
      <c r="GH10" s="717"/>
      <c r="GI10" s="717"/>
      <c r="GJ10" s="717"/>
      <c r="GK10" s="717"/>
      <c r="GL10" s="717"/>
      <c r="GM10" s="717"/>
      <c r="GN10" s="717"/>
      <c r="GO10" s="717"/>
      <c r="GP10" s="717"/>
      <c r="GQ10" s="717"/>
      <c r="GR10" s="718"/>
      <c r="GS10" s="719"/>
      <c r="GT10" s="725"/>
      <c r="GU10" s="720"/>
      <c r="GV10" s="720"/>
      <c r="GW10" s="720"/>
    </row>
    <row r="11" spans="1:225" ht="21.6">
      <c r="A11" s="716" t="s">
        <v>3716</v>
      </c>
      <c r="B11" s="716" t="s">
        <v>3717</v>
      </c>
      <c r="C11" s="716" t="s">
        <v>3718</v>
      </c>
      <c r="D11" s="716" t="s">
        <v>3719</v>
      </c>
      <c r="E11" s="716" t="s">
        <v>3720</v>
      </c>
      <c r="F11" s="716" t="s">
        <v>3721</v>
      </c>
      <c r="G11" s="716" t="s">
        <v>3722</v>
      </c>
      <c r="H11" s="716" t="s">
        <v>3723</v>
      </c>
      <c r="I11" s="716" t="s">
        <v>3724</v>
      </c>
      <c r="J11" s="716" t="s">
        <v>3725</v>
      </c>
      <c r="K11" s="717"/>
      <c r="L11" s="717"/>
      <c r="M11" s="717"/>
      <c r="N11" s="717"/>
      <c r="O11" s="717"/>
      <c r="P11" s="717"/>
      <c r="Q11" s="717"/>
      <c r="R11" s="717"/>
      <c r="S11" s="717"/>
      <c r="T11" s="717"/>
      <c r="U11" s="717"/>
      <c r="V11" s="717"/>
      <c r="W11" s="717"/>
      <c r="X11" s="717"/>
      <c r="Y11" s="717"/>
      <c r="Z11" s="717"/>
      <c r="AA11" s="717"/>
      <c r="AB11" s="717"/>
      <c r="AC11" s="717"/>
      <c r="AD11" s="717"/>
      <c r="AE11" s="717"/>
      <c r="AF11" s="717"/>
      <c r="AG11" s="717"/>
      <c r="AH11" s="717"/>
      <c r="AI11" s="717"/>
      <c r="AJ11" s="717"/>
      <c r="AK11" s="717"/>
      <c r="AL11" s="717"/>
      <c r="AM11" s="717"/>
      <c r="AN11" s="717"/>
      <c r="AO11" s="717"/>
      <c r="AP11" s="717"/>
      <c r="AQ11" s="717"/>
      <c r="AR11" s="717"/>
      <c r="AS11" s="717"/>
      <c r="AT11" s="717"/>
      <c r="AU11" s="717"/>
      <c r="AV11" s="717"/>
      <c r="AW11" s="717"/>
      <c r="AX11" s="717"/>
      <c r="AY11" s="717"/>
      <c r="AZ11" s="717"/>
      <c r="BA11" s="717"/>
      <c r="BB11" s="717"/>
      <c r="BC11" s="717"/>
      <c r="BD11" s="717"/>
      <c r="BE11" s="717"/>
      <c r="BF11" s="717"/>
      <c r="BG11" s="717"/>
      <c r="BH11" s="717"/>
      <c r="BI11" s="717"/>
      <c r="BJ11" s="717"/>
      <c r="BK11" s="717"/>
      <c r="BL11" s="717"/>
      <c r="BM11" s="717"/>
      <c r="BN11" s="717"/>
      <c r="BO11" s="717"/>
      <c r="BP11" s="717"/>
      <c r="BQ11" s="717"/>
      <c r="BR11" s="717"/>
      <c r="BS11" s="717"/>
      <c r="BT11" s="717"/>
      <c r="BU11" s="717"/>
      <c r="BV11" s="717"/>
      <c r="BW11" s="717"/>
      <c r="BX11" s="717"/>
      <c r="BY11" s="717"/>
      <c r="BZ11" s="717"/>
      <c r="CA11" s="717"/>
      <c r="CB11" s="717"/>
      <c r="CC11" s="717"/>
      <c r="CD11" s="717"/>
      <c r="CE11" s="717"/>
      <c r="CF11" s="717"/>
      <c r="CG11" s="717"/>
      <c r="CH11" s="717"/>
      <c r="CI11" s="717"/>
      <c r="CJ11" s="717"/>
      <c r="CK11" s="717"/>
      <c r="CL11" s="717"/>
      <c r="CM11" s="717"/>
      <c r="CN11" s="717"/>
      <c r="CO11" s="717"/>
      <c r="CP11" s="717"/>
      <c r="CQ11" s="717"/>
      <c r="CR11" s="717"/>
      <c r="CS11" s="717"/>
      <c r="CT11" s="717"/>
      <c r="CU11" s="717"/>
      <c r="CV11" s="717"/>
      <c r="CW11" s="717"/>
      <c r="CX11" s="717"/>
      <c r="CY11" s="717"/>
      <c r="CZ11" s="717"/>
      <c r="DA11" s="717"/>
      <c r="DB11" s="717"/>
      <c r="DC11" s="717"/>
      <c r="DD11" s="717"/>
      <c r="DE11" s="717"/>
      <c r="DF11" s="717"/>
      <c r="DG11" s="717"/>
      <c r="DH11" s="717"/>
      <c r="DI11" s="717"/>
      <c r="DJ11" s="717"/>
      <c r="DK11" s="717"/>
      <c r="DL11" s="717"/>
      <c r="DM11" s="717"/>
      <c r="DN11" s="717"/>
      <c r="DO11" s="717"/>
      <c r="DP11" s="717"/>
      <c r="DQ11" s="717"/>
      <c r="DR11" s="717"/>
      <c r="DS11" s="717"/>
      <c r="DT11" s="717"/>
      <c r="DU11" s="717"/>
      <c r="DV11" s="717"/>
      <c r="DW11" s="717"/>
      <c r="DX11" s="717"/>
      <c r="DY11" s="717"/>
      <c r="DZ11" s="717"/>
      <c r="EA11" s="717"/>
      <c r="EB11" s="717"/>
      <c r="EC11" s="717"/>
      <c r="ED11" s="717"/>
      <c r="EE11" s="717"/>
      <c r="EF11" s="717"/>
      <c r="EG11" s="717"/>
      <c r="EH11" s="717"/>
      <c r="EI11" s="717"/>
      <c r="EJ11" s="717"/>
      <c r="EK11" s="717"/>
      <c r="EL11" s="717"/>
      <c r="EM11" s="717"/>
      <c r="EN11" s="717"/>
      <c r="EO11" s="717"/>
      <c r="EP11" s="717"/>
      <c r="EQ11" s="717"/>
      <c r="ER11" s="717"/>
      <c r="ES11" s="717"/>
      <c r="ET11" s="717"/>
      <c r="EU11" s="717"/>
      <c r="EV11" s="717"/>
      <c r="EW11" s="717"/>
      <c r="EX11" s="717"/>
      <c r="EY11" s="717"/>
      <c r="EZ11" s="717"/>
      <c r="FA11" s="717"/>
      <c r="FB11" s="717"/>
      <c r="FC11" s="717"/>
      <c r="FD11" s="717"/>
      <c r="FE11" s="717"/>
      <c r="FF11" s="717"/>
      <c r="FG11" s="717"/>
      <c r="FH11" s="717"/>
      <c r="FI11" s="717"/>
      <c r="FJ11" s="717"/>
      <c r="FK11" s="717"/>
      <c r="FL11" s="717"/>
      <c r="FM11" s="717"/>
      <c r="FN11" s="717"/>
      <c r="FO11" s="717"/>
      <c r="FP11" s="717"/>
      <c r="FQ11" s="717"/>
      <c r="FR11" s="717"/>
      <c r="FS11" s="717"/>
      <c r="FT11" s="717"/>
      <c r="FU11" s="717"/>
      <c r="FV11" s="717"/>
      <c r="FW11" s="717"/>
      <c r="FX11" s="717"/>
      <c r="FY11" s="717"/>
      <c r="FZ11" s="717"/>
      <c r="GA11" s="717"/>
      <c r="GB11" s="717"/>
      <c r="GC11" s="717"/>
      <c r="GD11" s="717"/>
      <c r="GE11" s="717"/>
      <c r="GF11" s="717"/>
      <c r="GG11" s="717"/>
      <c r="GH11" s="717"/>
      <c r="GI11" s="717"/>
      <c r="GJ11" s="717"/>
      <c r="GK11" s="717"/>
      <c r="GL11" s="717"/>
      <c r="GM11" s="717"/>
      <c r="GN11" s="717"/>
      <c r="GO11" s="717"/>
      <c r="GP11" s="717"/>
      <c r="GQ11" s="717"/>
      <c r="GR11" s="718"/>
      <c r="GS11" s="719"/>
      <c r="GT11" s="725"/>
      <c r="GU11" s="720"/>
      <c r="GV11" s="720"/>
      <c r="GW11" s="720"/>
    </row>
    <row r="12" spans="1:225" ht="21.6">
      <c r="A12" s="716" t="s">
        <v>3726</v>
      </c>
      <c r="B12" s="716" t="s">
        <v>3727</v>
      </c>
      <c r="C12" s="716" t="s">
        <v>3728</v>
      </c>
      <c r="D12" s="716" t="s">
        <v>3729</v>
      </c>
      <c r="E12" s="717"/>
      <c r="F12" s="717"/>
      <c r="G12" s="717"/>
      <c r="H12" s="717"/>
      <c r="I12" s="717"/>
      <c r="J12" s="717"/>
      <c r="K12" s="717"/>
      <c r="L12" s="717"/>
      <c r="M12" s="717"/>
      <c r="N12" s="717"/>
      <c r="O12" s="717"/>
      <c r="P12" s="717"/>
      <c r="Q12" s="717"/>
      <c r="R12" s="717"/>
      <c r="S12" s="717"/>
      <c r="T12" s="717"/>
      <c r="U12" s="717"/>
      <c r="V12" s="717"/>
      <c r="W12" s="717"/>
      <c r="X12" s="717"/>
      <c r="Y12" s="717"/>
      <c r="Z12" s="717"/>
      <c r="AA12" s="717"/>
      <c r="AB12" s="717"/>
      <c r="AC12" s="717"/>
      <c r="AD12" s="717"/>
      <c r="AE12" s="717"/>
      <c r="AF12" s="717"/>
      <c r="AG12" s="717"/>
      <c r="AH12" s="717"/>
      <c r="AI12" s="717"/>
      <c r="AJ12" s="717"/>
      <c r="AK12" s="717"/>
      <c r="AL12" s="717"/>
      <c r="AM12" s="717"/>
      <c r="AN12" s="717"/>
      <c r="AO12" s="717"/>
      <c r="AP12" s="717"/>
      <c r="AQ12" s="717"/>
      <c r="AR12" s="717"/>
      <c r="AS12" s="717"/>
      <c r="AT12" s="717"/>
      <c r="AU12" s="717"/>
      <c r="AV12" s="717"/>
      <c r="AW12" s="717"/>
      <c r="AX12" s="717"/>
      <c r="AY12" s="717"/>
      <c r="AZ12" s="717"/>
      <c r="BA12" s="717"/>
      <c r="BB12" s="717"/>
      <c r="BC12" s="717"/>
      <c r="BD12" s="717"/>
      <c r="BE12" s="717"/>
      <c r="BF12" s="717"/>
      <c r="BG12" s="717"/>
      <c r="BH12" s="717"/>
      <c r="BI12" s="717"/>
      <c r="BJ12" s="717"/>
      <c r="BK12" s="717"/>
      <c r="BL12" s="717"/>
      <c r="BM12" s="717"/>
      <c r="BN12" s="717"/>
      <c r="BO12" s="717"/>
      <c r="BP12" s="717"/>
      <c r="BQ12" s="717"/>
      <c r="BR12" s="717"/>
      <c r="BS12" s="717"/>
      <c r="BT12" s="717"/>
      <c r="BU12" s="717"/>
      <c r="BV12" s="717"/>
      <c r="BW12" s="717"/>
      <c r="BX12" s="717"/>
      <c r="BY12" s="717"/>
      <c r="BZ12" s="717"/>
      <c r="CA12" s="717"/>
      <c r="CB12" s="717"/>
      <c r="CC12" s="717"/>
      <c r="CD12" s="717"/>
      <c r="CE12" s="717"/>
      <c r="CF12" s="717"/>
      <c r="CG12" s="717"/>
      <c r="CH12" s="717"/>
      <c r="CI12" s="717"/>
      <c r="CJ12" s="717"/>
      <c r="CK12" s="717"/>
      <c r="CL12" s="717"/>
      <c r="CM12" s="717"/>
      <c r="CN12" s="717"/>
      <c r="CO12" s="717"/>
      <c r="CP12" s="717"/>
      <c r="CQ12" s="717"/>
      <c r="CR12" s="717"/>
      <c r="CS12" s="717"/>
      <c r="CT12" s="717"/>
      <c r="CU12" s="717"/>
      <c r="CV12" s="717"/>
      <c r="CW12" s="717"/>
      <c r="CX12" s="717"/>
      <c r="CY12" s="717"/>
      <c r="CZ12" s="717"/>
      <c r="DA12" s="717"/>
      <c r="DB12" s="717"/>
      <c r="DC12" s="717"/>
      <c r="DD12" s="717"/>
      <c r="DE12" s="717"/>
      <c r="DF12" s="717"/>
      <c r="DG12" s="717"/>
      <c r="DH12" s="717"/>
      <c r="DI12" s="717"/>
      <c r="DJ12" s="717"/>
      <c r="DK12" s="717"/>
      <c r="DL12" s="717"/>
      <c r="DM12" s="717"/>
      <c r="DN12" s="717"/>
      <c r="DO12" s="717"/>
      <c r="DP12" s="717"/>
      <c r="DQ12" s="717"/>
      <c r="DR12" s="717"/>
      <c r="DS12" s="717"/>
      <c r="DT12" s="717"/>
      <c r="DU12" s="717"/>
      <c r="DV12" s="717"/>
      <c r="DW12" s="717"/>
      <c r="DX12" s="717"/>
      <c r="DY12" s="717"/>
      <c r="DZ12" s="717"/>
      <c r="EA12" s="717"/>
      <c r="EB12" s="717"/>
      <c r="EC12" s="717"/>
      <c r="ED12" s="717"/>
      <c r="EE12" s="717"/>
      <c r="EF12" s="717"/>
      <c r="EG12" s="717"/>
      <c r="EH12" s="717"/>
      <c r="EI12" s="717"/>
      <c r="EJ12" s="717"/>
      <c r="EK12" s="717"/>
      <c r="EL12" s="717"/>
      <c r="EM12" s="717"/>
      <c r="EN12" s="717"/>
      <c r="EO12" s="717"/>
      <c r="EP12" s="717"/>
      <c r="EQ12" s="717"/>
      <c r="ER12" s="717"/>
      <c r="ES12" s="717"/>
      <c r="ET12" s="717"/>
      <c r="EU12" s="717"/>
      <c r="EV12" s="717"/>
      <c r="EW12" s="717"/>
      <c r="EX12" s="717"/>
      <c r="EY12" s="717"/>
      <c r="EZ12" s="717"/>
      <c r="FA12" s="717"/>
      <c r="FB12" s="717"/>
      <c r="FC12" s="717"/>
      <c r="FD12" s="717"/>
      <c r="FE12" s="717"/>
      <c r="FF12" s="717"/>
      <c r="FG12" s="717"/>
      <c r="FH12" s="717"/>
      <c r="FI12" s="717"/>
      <c r="FJ12" s="717"/>
      <c r="FK12" s="717"/>
      <c r="FL12" s="717"/>
      <c r="FM12" s="717"/>
      <c r="FN12" s="717"/>
      <c r="FO12" s="717"/>
      <c r="FP12" s="717"/>
      <c r="FQ12" s="717"/>
      <c r="FR12" s="717"/>
      <c r="FS12" s="717"/>
      <c r="FT12" s="717"/>
      <c r="FU12" s="717"/>
      <c r="FV12" s="717"/>
      <c r="FW12" s="717"/>
      <c r="FX12" s="717"/>
      <c r="FY12" s="717"/>
      <c r="FZ12" s="717"/>
      <c r="GA12" s="717"/>
      <c r="GB12" s="717"/>
      <c r="GC12" s="717"/>
      <c r="GD12" s="717"/>
      <c r="GE12" s="717"/>
      <c r="GF12" s="717"/>
      <c r="GG12" s="717"/>
      <c r="GH12" s="717"/>
      <c r="GI12" s="717"/>
      <c r="GJ12" s="717"/>
      <c r="GK12" s="717"/>
      <c r="GL12" s="717"/>
      <c r="GM12" s="717"/>
      <c r="GN12" s="717"/>
      <c r="GO12" s="717"/>
      <c r="GP12" s="717"/>
      <c r="GQ12" s="717"/>
      <c r="GR12" s="718"/>
      <c r="GS12" s="719"/>
      <c r="GT12" s="725"/>
      <c r="GU12" s="720"/>
      <c r="GV12" s="720"/>
      <c r="GW12" s="720"/>
    </row>
    <row r="13" spans="1:225" ht="21.6">
      <c r="A13" s="716" t="s">
        <v>1969</v>
      </c>
      <c r="B13" s="716" t="s">
        <v>3730</v>
      </c>
      <c r="C13" s="716" t="s">
        <v>3731</v>
      </c>
      <c r="D13" s="716" t="s">
        <v>3732</v>
      </c>
      <c r="E13" s="716" t="s">
        <v>3733</v>
      </c>
      <c r="F13" s="717"/>
      <c r="G13" s="717"/>
      <c r="H13" s="717"/>
      <c r="I13" s="717"/>
      <c r="J13" s="717"/>
      <c r="K13" s="717"/>
      <c r="L13" s="717"/>
      <c r="M13" s="717"/>
      <c r="N13" s="717"/>
      <c r="O13" s="717"/>
      <c r="P13" s="717"/>
      <c r="Q13" s="717"/>
      <c r="R13" s="717"/>
      <c r="S13" s="717"/>
      <c r="T13" s="717"/>
      <c r="U13" s="717"/>
      <c r="V13" s="717"/>
      <c r="W13" s="717"/>
      <c r="X13" s="717"/>
      <c r="Y13" s="717"/>
      <c r="Z13" s="717"/>
      <c r="AA13" s="717"/>
      <c r="AB13" s="717"/>
      <c r="AC13" s="717"/>
      <c r="AD13" s="717"/>
      <c r="AE13" s="717"/>
      <c r="AF13" s="717"/>
      <c r="AG13" s="717"/>
      <c r="AH13" s="717"/>
      <c r="AI13" s="717"/>
      <c r="AJ13" s="717"/>
      <c r="AK13" s="717"/>
      <c r="AL13" s="717"/>
      <c r="AM13" s="717"/>
      <c r="AN13" s="717"/>
      <c r="AO13" s="717"/>
      <c r="AP13" s="717"/>
      <c r="AQ13" s="717"/>
      <c r="AR13" s="717"/>
      <c r="AS13" s="717"/>
      <c r="AT13" s="717"/>
      <c r="AU13" s="717"/>
      <c r="AV13" s="717"/>
      <c r="AW13" s="717"/>
      <c r="AX13" s="717"/>
      <c r="AY13" s="717"/>
      <c r="AZ13" s="717"/>
      <c r="BA13" s="717"/>
      <c r="BB13" s="717"/>
      <c r="BC13" s="717"/>
      <c r="BD13" s="717"/>
      <c r="BE13" s="717"/>
      <c r="BF13" s="717"/>
      <c r="BG13" s="717"/>
      <c r="BH13" s="717"/>
      <c r="BI13" s="717"/>
      <c r="BJ13" s="717"/>
      <c r="BK13" s="717"/>
      <c r="BL13" s="717"/>
      <c r="BM13" s="717"/>
      <c r="BN13" s="717"/>
      <c r="BO13" s="717"/>
      <c r="BP13" s="717"/>
      <c r="BQ13" s="717"/>
      <c r="BR13" s="717"/>
      <c r="BS13" s="717"/>
      <c r="BT13" s="717"/>
      <c r="BU13" s="717"/>
      <c r="BV13" s="717"/>
      <c r="BW13" s="717"/>
      <c r="BX13" s="717"/>
      <c r="BY13" s="717"/>
      <c r="BZ13" s="717"/>
      <c r="CA13" s="717"/>
      <c r="CB13" s="717"/>
      <c r="CC13" s="717"/>
      <c r="CD13" s="717"/>
      <c r="CE13" s="717"/>
      <c r="CF13" s="717"/>
      <c r="CG13" s="717"/>
      <c r="CH13" s="717"/>
      <c r="CI13" s="717"/>
      <c r="CJ13" s="717"/>
      <c r="CK13" s="717"/>
      <c r="CL13" s="717"/>
      <c r="CM13" s="717"/>
      <c r="CN13" s="717"/>
      <c r="CO13" s="717"/>
      <c r="CP13" s="717"/>
      <c r="CQ13" s="717"/>
      <c r="CR13" s="717"/>
      <c r="CS13" s="717"/>
      <c r="CT13" s="717"/>
      <c r="CU13" s="717"/>
      <c r="CV13" s="717"/>
      <c r="CW13" s="717"/>
      <c r="CX13" s="717"/>
      <c r="CY13" s="717"/>
      <c r="CZ13" s="717"/>
      <c r="DA13" s="717"/>
      <c r="DB13" s="717"/>
      <c r="DC13" s="717"/>
      <c r="DD13" s="717"/>
      <c r="DE13" s="717"/>
      <c r="DF13" s="717"/>
      <c r="DG13" s="717"/>
      <c r="DH13" s="717"/>
      <c r="DI13" s="717"/>
      <c r="DJ13" s="717"/>
      <c r="DK13" s="717"/>
      <c r="DL13" s="717"/>
      <c r="DM13" s="717"/>
      <c r="DN13" s="717"/>
      <c r="DO13" s="717"/>
      <c r="DP13" s="717"/>
      <c r="DQ13" s="717"/>
      <c r="DR13" s="717"/>
      <c r="DS13" s="717"/>
      <c r="DT13" s="717"/>
      <c r="DU13" s="717"/>
      <c r="DV13" s="717"/>
      <c r="DW13" s="717"/>
      <c r="DX13" s="717"/>
      <c r="DY13" s="717"/>
      <c r="DZ13" s="717"/>
      <c r="EA13" s="717"/>
      <c r="EB13" s="717"/>
      <c r="EC13" s="717"/>
      <c r="ED13" s="717"/>
      <c r="EE13" s="717"/>
      <c r="EF13" s="717"/>
      <c r="EG13" s="717"/>
      <c r="EH13" s="717"/>
      <c r="EI13" s="717"/>
      <c r="EJ13" s="717"/>
      <c r="EK13" s="717"/>
      <c r="EL13" s="717"/>
      <c r="EM13" s="717"/>
      <c r="EN13" s="717"/>
      <c r="EO13" s="717"/>
      <c r="EP13" s="717"/>
      <c r="EQ13" s="717"/>
      <c r="ER13" s="717"/>
      <c r="ES13" s="717"/>
      <c r="ET13" s="717"/>
      <c r="EU13" s="717"/>
      <c r="EV13" s="717"/>
      <c r="EW13" s="717"/>
      <c r="EX13" s="717"/>
      <c r="EY13" s="717"/>
      <c r="EZ13" s="717"/>
      <c r="FA13" s="717"/>
      <c r="FB13" s="717"/>
      <c r="FC13" s="717"/>
      <c r="FD13" s="717"/>
      <c r="FE13" s="717"/>
      <c r="FF13" s="717"/>
      <c r="FG13" s="717"/>
      <c r="FH13" s="717"/>
      <c r="FI13" s="717"/>
      <c r="FJ13" s="717"/>
      <c r="FK13" s="717"/>
      <c r="FL13" s="717"/>
      <c r="FM13" s="717"/>
      <c r="FN13" s="717"/>
      <c r="FO13" s="717"/>
      <c r="FP13" s="717"/>
      <c r="FQ13" s="717"/>
      <c r="FR13" s="717"/>
      <c r="FS13" s="717"/>
      <c r="FT13" s="717"/>
      <c r="FU13" s="717"/>
      <c r="FV13" s="717"/>
      <c r="FW13" s="717"/>
      <c r="FX13" s="717"/>
      <c r="FY13" s="717"/>
      <c r="FZ13" s="717"/>
      <c r="GA13" s="717"/>
      <c r="GB13" s="717"/>
      <c r="GC13" s="717"/>
      <c r="GD13" s="717"/>
      <c r="GE13" s="717"/>
      <c r="GF13" s="717"/>
      <c r="GG13" s="717"/>
      <c r="GH13" s="717"/>
      <c r="GI13" s="717"/>
      <c r="GJ13" s="717"/>
      <c r="GK13" s="717"/>
      <c r="GL13" s="717"/>
      <c r="GM13" s="717"/>
      <c r="GN13" s="717"/>
      <c r="GO13" s="717"/>
      <c r="GP13" s="717"/>
      <c r="GQ13" s="717"/>
      <c r="GR13" s="718"/>
      <c r="GS13" s="719"/>
      <c r="GT13" s="725"/>
      <c r="GU13" s="720"/>
      <c r="GV13" s="720"/>
      <c r="GW13" s="720"/>
    </row>
  </sheetData>
  <phoneticPr fontId="4"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5:M20"/>
  <sheetViews>
    <sheetView topLeftCell="A4" workbookViewId="0">
      <selection activeCell="U18" sqref="U18"/>
    </sheetView>
  </sheetViews>
  <sheetFormatPr defaultColWidth="8.77734375" defaultRowHeight="13.8"/>
  <cols>
    <col min="1" max="16384" width="8.77734375" style="726"/>
  </cols>
  <sheetData>
    <row r="5" spans="2:13">
      <c r="B5" s="726" t="s">
        <v>3734</v>
      </c>
      <c r="C5" s="726" t="s">
        <v>3735</v>
      </c>
      <c r="D5" s="726" t="s">
        <v>3736</v>
      </c>
      <c r="E5" s="726" t="s">
        <v>3737</v>
      </c>
    </row>
    <row r="6" spans="2:13">
      <c r="B6" s="727" t="s">
        <v>3738</v>
      </c>
      <c r="C6" s="727" t="s">
        <v>3739</v>
      </c>
      <c r="D6" s="727" t="s">
        <v>3740</v>
      </c>
      <c r="E6" s="727" t="s">
        <v>3741</v>
      </c>
      <c r="F6" s="727"/>
    </row>
    <row r="7" spans="2:13">
      <c r="B7" s="727"/>
      <c r="C7" s="727"/>
      <c r="D7" s="727"/>
      <c r="E7" s="727"/>
      <c r="F7" s="727"/>
    </row>
    <row r="8" spans="2:13">
      <c r="B8" s="727"/>
      <c r="C8" s="727"/>
      <c r="D8" s="727"/>
      <c r="E8" s="727"/>
      <c r="F8" s="727"/>
    </row>
    <row r="9" spans="2:13">
      <c r="B9" s="727"/>
      <c r="C9" s="728"/>
      <c r="D9" s="728"/>
      <c r="E9" s="728"/>
      <c r="F9" s="728"/>
      <c r="G9" s="729"/>
      <c r="H9" s="729"/>
      <c r="I9" s="729"/>
      <c r="J9" s="729"/>
      <c r="K9" s="729"/>
      <c r="L9" s="729"/>
      <c r="M9" s="729"/>
    </row>
    <row r="10" spans="2:13">
      <c r="B10" s="727"/>
      <c r="C10" s="728"/>
      <c r="D10" s="728"/>
      <c r="E10" s="728"/>
      <c r="F10" s="728"/>
      <c r="G10" s="729"/>
      <c r="H10" s="729"/>
      <c r="I10" s="729"/>
      <c r="J10" s="729"/>
      <c r="K10" s="729"/>
      <c r="L10" s="729"/>
      <c r="M10" s="729"/>
    </row>
    <row r="11" spans="2:13">
      <c r="C11" s="729"/>
      <c r="D11" s="729"/>
      <c r="E11" s="729"/>
      <c r="F11" s="729"/>
      <c r="G11" s="729"/>
      <c r="H11" s="729"/>
      <c r="I11" s="729"/>
      <c r="J11" s="729"/>
      <c r="K11" s="729"/>
      <c r="L11" s="729"/>
      <c r="M11" s="729"/>
    </row>
    <row r="12" spans="2:13">
      <c r="C12" s="729"/>
      <c r="D12" s="729"/>
      <c r="E12" s="729"/>
      <c r="F12" s="729"/>
      <c r="G12" s="729"/>
      <c r="H12" s="729"/>
      <c r="I12" s="729"/>
      <c r="J12" s="729"/>
      <c r="K12" s="729"/>
      <c r="L12" s="729"/>
      <c r="M12" s="729"/>
    </row>
    <row r="13" spans="2:13">
      <c r="C13" s="729"/>
      <c r="D13" s="729"/>
      <c r="E13" s="729"/>
      <c r="F13" s="729"/>
      <c r="G13" s="729"/>
      <c r="H13" s="729"/>
      <c r="I13" s="729"/>
      <c r="J13" s="729"/>
      <c r="K13" s="729"/>
      <c r="L13" s="729"/>
      <c r="M13" s="729"/>
    </row>
    <row r="14" spans="2:13">
      <c r="C14" s="729"/>
      <c r="D14" s="729"/>
      <c r="E14" s="729"/>
      <c r="F14" s="729"/>
      <c r="G14" s="729"/>
      <c r="H14" s="729"/>
      <c r="I14" s="729"/>
      <c r="J14" s="729"/>
      <c r="K14" s="729"/>
      <c r="L14" s="729"/>
      <c r="M14" s="729"/>
    </row>
    <row r="15" spans="2:13">
      <c r="C15" s="729"/>
      <c r="D15" s="729"/>
      <c r="E15" s="729"/>
      <c r="F15" s="729"/>
      <c r="G15" s="729"/>
      <c r="H15" s="729"/>
      <c r="I15" s="729"/>
      <c r="J15" s="729"/>
      <c r="K15" s="729"/>
      <c r="L15" s="729"/>
      <c r="M15" s="729"/>
    </row>
    <row r="16" spans="2:13">
      <c r="C16" s="729"/>
      <c r="D16" s="729"/>
      <c r="E16" s="729"/>
      <c r="F16" s="729"/>
      <c r="G16" s="729"/>
      <c r="H16" s="729"/>
      <c r="I16" s="729"/>
      <c r="J16" s="729"/>
      <c r="K16" s="729"/>
      <c r="L16" s="729"/>
      <c r="M16" s="729"/>
    </row>
    <row r="17" spans="3:13">
      <c r="C17" s="729"/>
      <c r="D17" s="729"/>
      <c r="E17" s="729"/>
      <c r="F17" s="729"/>
      <c r="G17" s="729"/>
      <c r="H17" s="729"/>
      <c r="I17" s="729"/>
      <c r="J17" s="729"/>
      <c r="K17" s="729"/>
      <c r="L17" s="729"/>
      <c r="M17" s="729"/>
    </row>
    <row r="18" spans="3:13">
      <c r="C18" s="729"/>
      <c r="D18" s="729"/>
      <c r="E18" s="729"/>
      <c r="F18" s="729"/>
      <c r="G18" s="729"/>
      <c r="H18" s="729"/>
      <c r="I18" s="729"/>
      <c r="J18" s="729"/>
      <c r="K18" s="729"/>
      <c r="L18" s="729"/>
      <c r="M18" s="729"/>
    </row>
    <row r="19" spans="3:13">
      <c r="C19" s="729"/>
      <c r="D19" s="729"/>
      <c r="E19" s="729"/>
      <c r="F19" s="729"/>
      <c r="G19" s="729"/>
      <c r="H19" s="729"/>
      <c r="I19" s="729"/>
      <c r="J19" s="729"/>
      <c r="K19" s="729"/>
      <c r="L19" s="729"/>
      <c r="M19" s="729"/>
    </row>
    <row r="20" spans="3:13">
      <c r="C20" s="729"/>
      <c r="D20" s="729"/>
      <c r="E20" s="729"/>
      <c r="F20" s="729"/>
      <c r="G20" s="729"/>
      <c r="H20" s="729"/>
      <c r="I20" s="729"/>
      <c r="J20" s="729"/>
      <c r="K20" s="729"/>
      <c r="L20" s="729"/>
      <c r="M20" s="729"/>
    </row>
  </sheetData>
  <phoneticPr fontId="4" type="noConversion"/>
  <pageMargins left="0.7" right="0.7" top="0.75" bottom="0.75" header="0.3" footer="0.3"/>
  <pageSetup paperSize="9" orientation="portrait" r:id="rId1"/>
</worksheet>
</file>

<file path=customUI/customUI.xml><?xml version="1.0" encoding="utf-8"?>
<customUI xmlns="http://schemas.microsoft.com/office/2006/01/customui">
  <ribbon>
    <tabs>
      <tab id="t1" label="CellFormat">
        <group id="t1g1" label="TextFond">
          <button id="t1g1b1" label="toSimhei" imageMso="none" size="normal" onAction="ToSimHei"/>
          <button id="t1g1b2" label="toMSYahei" imageMso="none" size="normal" onAction="ToMSYahei"/>
          <button id="t1g1b3" label="toSimSun" imageMso="none" size="normal" onAction="ToSimSun"/>
          <button id="t1g1b4" label="toGosic" imageMso="none" size="normal" onAction="ToGothic"/>
          <button id="t1g1b5" label="toMeiryo" imageMso="none" size="normal" onAction="ToMeiryo"/>
          <button id="t1g1b6" label="toNarrow" imageMso="none" size="normal" onAction="ToNarrow"/>
        </group>
        <group id="t1g2" label="BorderFont">
          <button id="t1g2b1" label="borderWhite" imageMso="none" size="normal" onAction="borderWhite"/>
          <button id="t1g2b2" label="borderGray" imageMso="none" size="normal" onAction="borderGray"/>
          <button id="t1g2b3" label="noHorizontal" imageMso="none" size="normal" onAction="noHorizontalBorder"/>
        </group>
        <group id="t1g3" label="CellColor">
          <button id="t1g3b1" label="cellColorGreen" imageMso="none" size="normal" onAction="cellColorGreen"/>
          <button id="t1g3b2" label="cellColorYellow" imageMso="none" size="normal" onAction="cellColorYellow"/>
          <button id="t1g3b3" label="textColorRed" imageMso="none" size="normal" onAction="textColorRed"/>
          <button id="t1g3b4" label="textColorBlue" imageMso="none" size="normal" onAction="textColorBlue"/>
          <button id="t1g3b5" label="textColorGray" imageMso="none" size="normal" onAction="textColorGray"/>
          <button id="t1g3b6" label="textColorWhite" imageMso="none" size="normal" onAction="textColorWhite"/>
        </group>
        <group id="t1g4" label="Type">
          <button id="t1g4b1" label="General" imageMso="none" size="normal" onAction="cellGeneral"/>
          <button id="t1g4b2" label="Number" imageMso="none" size="normal" onAction="cellNumber"/>
          <button id="t1g4b3" label="Text" imageMso="none" size="normal" onAction="cellText"/>
        </group>
      </tab>
      <tab id="t2" label="qcToSpss">
        <group id="t2g1" label="DataTransform">
          <button id="t2g1b1" label="1. VAR_LAB" imageMso="none" size="normal" onAction="AA_VAR_LAB"/>
          <button id="t2g1b2" label="2. VAL_LAB" imageMso="none" size="normal" onAction="BB_VAL_LAB"/>
          <button id="t2g1b3" label="3. VAR_LEVEL" imageMso="none" size="normal" onAction="CC_VAR_LEVEL"/>
          <button id="t2g1b4" label="4. MA_LAB_LAB" imageMso="none" size="normal" onAction="DD_MA_LAB_LAB"/>
          <button id="t2g1b5" label="5. MA_COMB" imageMso="none" size="normal" onAction="EE_MA_COMB"/>
          <button id="t2g1b6" label="6. CROSS_noOnAction" imageMso="none" size="normal" onAction="FF_cross"/>
        </group>
      </tab>
      <tab id="t3" label="Operation">
        <group id="t3g1" label="repTools">
          <button id="t3g1b1" label="1. plusMinus5to10" imageMso="none" size="normal" onAction="plusMinus5to10"/>
          <button id="t3g1b2" label="2. CreateSheetsIndex" imageMso="none" size="normal" onAction="CreateSheetsIndex"/>
          <button id="t3g1b3" label="3. getWebLink" imageMso="none" size="normal" onAction="getWebLink"/>
          <button id="t3g1b4" label="4. uniqueValue_forFA" imageMso="none" size="normal" onAction="uniqueValue_forFA"/>
          <button id="t3g1b5" label="5. replaceXlWhole" imageMso="none" size="normal" onAction="replaceXlWhole"/>
          <button id="t3g1b6" label="6. missReplace" imageMso="none" size="normal" onAction="missReplace"/>
          <button id="t3g1b7" label="7. getQnNoSpaceSplit" imageMso="none" size="normal" onAction="getQnNoSpaceSplit"/>
          <button id="t3g1b8" label="8. QnContentList_Cnjp" imageMso="none" size="normal" onAction="QnContentList_Cnjp"/>
          <button id="t3g1b9" label="9. codeToOnehot" imageMso="none" size="normal" onAction="codeToOnehot"/>
          <button id="t3g1b10" label="10. onehotToCode" imageMso="none" size="normal" onAction="onehotToCode"/>
          <button id="t3g1b11" label="11. fa_codeListTocode" imageMso="none" size="normal" onAction="fa_codeListTocode"/>
          <button id="t3g1b12" label="12. score_coloration" imageMso="none" size="normal" onAction="score_coloration"/>
          <button id="t3g1b13" label="13. get_file_names" imageMso="none" size="normal" onAction="get_file_names"/>
          <button id="t3g1b14" label="14. import_picture" imageMso="none" size="normal" onAction="import_picture"/>
          <button id="t3g1b15" label="15. lower_upper" imageMso="none" size="normal" onAction="lower_upper"/>
          <button id="t3g1b16" label="16. quota_full_join" imageMso="none" size="normal" onAction="quota_full_join"/>
          <button id="t3g1b17" label="17. rank_color_3rd" imageMso="none" size="normal" onAction="rank_color_3rd"/>
          <button id="t3g1b18" label="18. func_regex" imageMso="none" size="normal" onAction="func_regex"/>
          <button id="t3g1b19" label="19. cell_fill_down" imageMso="none" size="normal" onAction="cell_fill_down"/>
          <button id="t3g1b20" label="20. replace_02" imageMso="none" size="normal" onAction="replace_02"/>
          <button id="t3g1b21" label="21. rank_color_5th" imageMso="none" size="normal" onAction="rank_color_5th"/>
          <button id="t3g1b22" label="22. qnFrame" imageMso="none" size="normal" onAction="qnFrame"/>
          <button id="t3g1b23" label="23. replaceXlPart" imageMso="none" size="normal" onAction="replaceXlPart"/>
        </group>
      </tab>
      <tab id="t4" label="ctGenerator">
        <group id="t4g1" label="columnClustered">
          <button id="t4g1b1" label="1. columnClustered_OneSer" imageMso="none" size="normal" onAction="columnClustered_OneSer"/>
          <button id="t4g1b2" label="2. columnClustered_MaToSa" imageMso="none" size="normal" onAction="columnClustered_MaToSa"/>
          <button id="t4g1b3" label="3. columnClustered_2SerCompare" imageMso="none" size="normal" onAction="columnClustered_2SerCompare"/>
          <button id="t4g1b4" label="4. columnClustered_nSerTimes" imageMso="none" size="normal" onAction="columnClustered_nSerTimes"/>
          <button id="t4g1b5" label="5. columnClustered_3in1" imageMso="none" size="normal" onAction="columnClustered_3in1"/>
          <button id="t4g1b6" label="6. columnStacked_n" imageMso="none" size="normal" onAction="columnStacked_n"/>
        </group>
        <group id="t4g2" label="xlLineMarkers">
          <button id="t4g2b1" label="1. xlLineMarkers_nSegments" imageMso="none" size="normal" onAction="xlLineMarkers_nSegments"/>
          <button id="t4g2b2" label="2. xlLinePlusColumn_1" imageMso="none" size="normal" onAction="xlLinePlusColumn_1"/>
          <button id="t4g2b3" label="3. xlLinePlusColumn_2" imageMso="none" size="normal" onAction="xlLinePlusColumn_2"/>
        </group>
        <group id="t4g3" label="barClustered">
          <button id="t4g3b1" label="1. barClustered_OneSer" imageMso="none" size="normal" onAction="barClustered_OneSer"/>
          <button id="t4g3b2" label="2. xlBarStacked100_n" imageMso="none" size="normal" onAction="xlBarStacked100_n"/>
          <button id="t4g3b3" label="3. xlBarStacked100_5" imageMso="none" size="normal" onAction="xlBarStacked100_5"/>
          <button id="t4g3b4" label="4. xlBarStacked_n" imageMso="none" size="normal" onAction="xlBarStacked_n"/>
        </group>
        <group id="t4g4" label="xlDoughnut">
          <button id="t4g4b1" label="1. xlDoughnut_n" imageMso="none" size="normal" onAction="xlDoughnut_n"/>
        </group>
        <group id="t4g5" label="xlRadar">
          <button id="t4g5b1" label="1. xlRadar_n" imageMso="none" size="normal" onAction="xlRadar_n"/>
        </group>
      </tab>
      <tab id="t5" label="Statistics">
        <group id="t5g1" label="sig">
          <button id="t5g1b1" label="1. sig_segVStll" imageMso="none" size="normal" onAction="sig_segVStll"/>
          <button id="t5g1b2" label="2. sig_groupCompare_1" imageMso="none" size="normal" onAction="sig_groupCompare_1"/>
          <button id="t5g1b3" label="3. sig_groupCompare_2" imageMso="none" size="normal" onAction="sig_groupCompare_2"/>
          <button id="t5g1b4" label="4. swot_F_weight_CV" imageMso="none" size="normal" onAction="swot_F_weight_CV"/>
          <button id="t5g1b5" label="5. target_group_index" imageMso="none" size="normal" onAction="target_group_index"/>
        </group>
      </tab>
      <tab id="t6" label="QC_Tools">
        <group id="t6g1" label="qcMap_format">
          <button id="t6g1b1" label="1. rowVarJoin" imageMso="none" size="normal" onAction="rowVarJoin"/>
          <button id="t6g1b2" label="2. var_code_flatten" imageMso="none" size="normal" onAction="var_code_flatte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QN_CN</vt:lpstr>
      <vt:lpstr>colorCode</vt:lpstr>
      <vt:lpstr>my_func</vt:lpstr>
      <vt:lpstr>TH1</vt:lpstr>
      <vt:lpstr>TH0</vt:lpstr>
      <vt:lpstr>regex</vt:lpstr>
      <vt:lpstr>Code2oneHot</vt:lpstr>
      <vt:lpstr>FABrand</vt:lpstr>
      <vt:lpstr>FAcode</vt:lpstr>
      <vt:lpstr>FAraw</vt:lpstr>
      <vt:lpstr>sig</vt:lpstr>
      <vt:lpstr>pm510</vt:lpstr>
      <vt:lpstr>TH</vt:lpstr>
      <vt:lpstr>jp</vt:lpstr>
      <vt:lpstr>cn</vt:lpstr>
      <vt:lpstr>importPic</vt:lpstr>
      <vt:lpstr>coloration</vt:lpstr>
      <vt:lpstr>miss</vt:lpstr>
      <vt:lpstr>swot</vt:lpstr>
      <vt:lpstr>tu2</vt:lpstr>
      <vt:lpstr>quota</vt:lpstr>
      <vt:lpstr>varJoin</vt:lpstr>
      <vt:lpstr>flatten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田 蕴川</dc:creator>
  <cp:lastModifiedBy>[Macromill] Tian Yunchuan</cp:lastModifiedBy>
  <dcterms:created xsi:type="dcterms:W3CDTF">2015-06-05T18:19:34Z</dcterms:created>
  <dcterms:modified xsi:type="dcterms:W3CDTF">2023-11-01T05:49:05Z</dcterms:modified>
</cp:coreProperties>
</file>